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Projects\Est_v0.5\ImportData\"/>
    </mc:Choice>
  </mc:AlternateContent>
  <xr:revisionPtr revIDLastSave="0" documentId="8_{4EF5175C-2C8C-43B5-95B9-CFFA53E54AFC}" xr6:coauthVersionLast="47" xr6:coauthVersionMax="47" xr10:uidLastSave="{00000000-0000-0000-0000-000000000000}"/>
  <bookViews>
    <workbookView xWindow="28680" yWindow="-120" windowWidth="29040" windowHeight="15720" tabRatio="734" activeTab="3" xr2:uid="{A53420FF-F69B-467C-854F-F1C479ABB9A2}"/>
    <workbookView xWindow="28680" yWindow="-120" windowWidth="29040" windowHeight="15720" activeTab="3" xr2:uid="{A9CEDF25-EA17-4B31-8F14-A44F7C862696}"/>
  </bookViews>
  <sheets>
    <sheet name="CoverPage" sheetId="40" r:id="rId1"/>
    <sheet name="PartDB_Lookup" sheetId="27" state="hidden" r:id="rId2"/>
    <sheet name="Est_Summary" sheetId="43" r:id="rId3"/>
    <sheet name="MotorList" sheetId="36" r:id="rId4"/>
    <sheet name="EstDetail-###Master" sheetId="64" state="hidden" r:id="rId5"/>
    <sheet name="OptionsList" sheetId="33" r:id="rId6"/>
    <sheet name="NECMtrFLC" sheetId="39" state="hidden" r:id="rId7"/>
    <sheet name="Assemblies" sheetId="24" state="hidden" r:id="rId8"/>
    <sheet name="PartsDB" sheetId="31" state="hidden" r:id="rId9"/>
    <sheet name="VerHistory" sheetId="42" r:id="rId10"/>
    <sheet name="EstDetail-1010" sheetId="65" r:id="rId11"/>
    <sheet name="EstDetail-1020" sheetId="66" r:id="rId12"/>
  </sheets>
  <definedNames>
    <definedName name="_xleta.FILTER" hidden="1" xlm="1">#NAME?</definedName>
    <definedName name="_xleta.IF" hidden="1" xlm="1">#NAME?</definedName>
    <definedName name="_xleta.ISNA" hidden="1" xlm="1">#NAME?</definedName>
    <definedName name="_xleta.N" hidden="1" xlm="1">#NAME?</definedName>
    <definedName name="_xleta.SHEET" hidden="1" xlm="1">#NAME?</definedName>
    <definedName name="_xleta.TEXT" hidden="1" xlm="1">#NAME?</definedName>
    <definedName name="_xlpm.assemblyComponents" hidden="1" xlm="1">#NAME?</definedName>
    <definedName name="_xlpm.AssemblyParts" hidden="1" xlm="1">#NAME?</definedName>
    <definedName name="_xlpm.catalog" hidden="1" xlm="1">#NAME?</definedName>
    <definedName name="_xlpm.category" hidden="1" xlm="1">#NAME?</definedName>
    <definedName name="_xlpm.Costs" hidden="1" xlm="1">#NAME?</definedName>
    <definedName name="_xlpm.Descriptions" hidden="1" xlm="1">#NAME?</definedName>
    <definedName name="_xlpm.ID" hidden="1" xlm="1">#NAME?</definedName>
    <definedName name="_xlpm.isAssembly" hidden="1" xlm="1">#NAME?</definedName>
    <definedName name="_xlpm.LineTotals" hidden="1" xlm="1">#NAME?</definedName>
    <definedName name="_xlpm.lookupID" hidden="1" xlm="1">#NAME?</definedName>
    <definedName name="_xlpm.masterQty" hidden="1" xlm="1">#NAME?</definedName>
    <definedName name="_xlpm.PanelAssy" hidden="1" xlm="1">#NAME?</definedName>
    <definedName name="_xlpm.PartIDs" hidden="1" xlm="1">#NAME?</definedName>
    <definedName name="_xlpm.partNumbers" hidden="1" xlm="1">#NAME?</definedName>
    <definedName name="_xlpm.PartQtys" hidden="1" xlm="1">#NAME?</definedName>
    <definedName name="_xlpm.partQuantities" hidden="1" xlm="1">#NAME?</definedName>
    <definedName name="_xlpm.Qty" hidden="1" xlm="1">#NAME?</definedName>
    <definedName name="_xlpm.TotalCosts" hidden="1" xlm="1">#NAME?</definedName>
    <definedName name="_xlpm.unitCosts" hidden="1" xlm="1">#NAME?</definedName>
    <definedName name="Assemblies" localSheetId="7" hidden="1">Assemblies!$A$1:$I$795</definedName>
    <definedName name="AssemblyPartsList">OFFSET(Assemblies!$L$1,1,MATCH(INDIRECT("E"&amp;ROW()),Assemblies!$L$1:$CD$1,0)-1,COUNTA(OFFSET(Assemblies!$L$1,1,MATCH(INDIRECT("E"&amp;ROW()),Assemblies!$L$1:$CD$1,0)-1,75)),1)</definedName>
    <definedName name="PartDetailsList">OFFSET(PartDB_Lookup!$A$1,1,MATCH(INDIRECT("E"&amp;ROW()),PartDB_Lookup!$A$1:$BZ$1,0)-1,COUNTA(OFFSET(PartDB_Lookup!$A$1,1,MATCH(INDIRECT("E"&amp;ROW()),PartDB_Lookup!$A$1:$BZ$1,0)-1,75)),1)</definedName>
    <definedName name="query" localSheetId="8" hidden="1">PartsDB!$A$1:$AC$397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7" i="65" l="1" a="1"/>
  <c r="M37" i="65" s="1"/>
  <c r="H37" i="65" a="1"/>
  <c r="H37" i="65" s="1"/>
  <c r="M59" i="65" a="1"/>
  <c r="M59" i="65" s="1"/>
  <c r="H59" i="65" a="1"/>
  <c r="H59" i="65" s="1"/>
  <c r="M48" i="65" a="1"/>
  <c r="M48" i="65" s="1"/>
  <c r="H48" i="65" a="1"/>
  <c r="H48" i="65" s="1"/>
  <c r="E13" i="43"/>
  <c r="O30" i="66"/>
  <c r="Q30" i="66" s="1" a="1"/>
  <c r="Q30" i="66" s="1"/>
  <c r="P30" i="66"/>
  <c r="S30" i="66" a="1"/>
  <c r="S30" i="66" s="1"/>
  <c r="O31" i="66"/>
  <c r="R31" i="66" s="1" a="1"/>
  <c r="R31" i="66" s="1"/>
  <c r="P31" i="66"/>
  <c r="O32" i="66"/>
  <c r="P32" i="66" s="1"/>
  <c r="Q32" i="66" a="1"/>
  <c r="Q32" i="66" s="1"/>
  <c r="R32" i="66" a="1"/>
  <c r="R32" i="66"/>
  <c r="S32" i="66" a="1"/>
  <c r="S32" i="66"/>
  <c r="O33" i="66"/>
  <c r="Q33" i="66" s="1" a="1"/>
  <c r="Q33" i="66" s="1"/>
  <c r="P33" i="66"/>
  <c r="S33" i="66" a="1"/>
  <c r="S33" i="66" s="1"/>
  <c r="O34" i="66"/>
  <c r="R34" i="66" s="1" a="1"/>
  <c r="R34" i="66" s="1"/>
  <c r="P34" i="66"/>
  <c r="O35" i="66"/>
  <c r="P35" i="66" s="1"/>
  <c r="Q35" i="66" a="1"/>
  <c r="Q35" i="66" s="1"/>
  <c r="R35" i="66" a="1"/>
  <c r="R35" i="66"/>
  <c r="S35" i="66" a="1"/>
  <c r="S35" i="66"/>
  <c r="O36" i="66"/>
  <c r="Q36" i="66" s="1" a="1"/>
  <c r="Q36" i="66" s="1"/>
  <c r="P36" i="66"/>
  <c r="S36" i="66" a="1"/>
  <c r="S36" i="66" s="1"/>
  <c r="O37" i="66"/>
  <c r="R37" i="66" s="1" a="1"/>
  <c r="R37" i="66" s="1"/>
  <c r="P37" i="66"/>
  <c r="O38" i="66"/>
  <c r="P38" i="66" s="1"/>
  <c r="Q38" i="66" a="1"/>
  <c r="Q38" i="66" s="1"/>
  <c r="R38" i="66" a="1"/>
  <c r="R38" i="66"/>
  <c r="S38" i="66" a="1"/>
  <c r="S38" i="66"/>
  <c r="O39" i="66"/>
  <c r="Q39" i="66" s="1" a="1"/>
  <c r="Q39" i="66" s="1"/>
  <c r="P39" i="66"/>
  <c r="S39" i="66" a="1"/>
  <c r="S39" i="66" s="1"/>
  <c r="O40" i="66"/>
  <c r="R40" i="66" s="1" a="1"/>
  <c r="R40" i="66" s="1"/>
  <c r="P40" i="66"/>
  <c r="O41" i="66"/>
  <c r="P41" i="66" s="1"/>
  <c r="Q41" i="66" a="1"/>
  <c r="Q41" i="66" s="1"/>
  <c r="R41" i="66" a="1"/>
  <c r="R41" i="66"/>
  <c r="S41" i="66" a="1"/>
  <c r="S41" i="66"/>
  <c r="O42" i="66"/>
  <c r="Q42" i="66" s="1" a="1"/>
  <c r="Q42" i="66" s="1"/>
  <c r="P42" i="66"/>
  <c r="S42" i="66" a="1"/>
  <c r="S42" i="66" s="1"/>
  <c r="O43" i="66"/>
  <c r="R43" i="66" s="1" a="1"/>
  <c r="R43" i="66" s="1"/>
  <c r="P43" i="66"/>
  <c r="O44" i="66"/>
  <c r="P44" i="66" s="1"/>
  <c r="Q44" i="66" a="1"/>
  <c r="Q44" i="66" s="1"/>
  <c r="R44" i="66" a="1"/>
  <c r="R44" i="66"/>
  <c r="S44" i="66" a="1"/>
  <c r="S44" i="66"/>
  <c r="O45" i="66"/>
  <c r="Q45" i="66" s="1" a="1"/>
  <c r="Q45" i="66" s="1"/>
  <c r="P45" i="66"/>
  <c r="S45" i="66" a="1"/>
  <c r="S45" i="66" s="1"/>
  <c r="O46" i="66"/>
  <c r="R46" i="66" s="1" a="1"/>
  <c r="R46" i="66" s="1"/>
  <c r="P46" i="66"/>
  <c r="O47" i="66"/>
  <c r="P47" i="66" s="1"/>
  <c r="Q47" i="66" a="1"/>
  <c r="Q47" i="66" s="1"/>
  <c r="R47" i="66" a="1"/>
  <c r="R47" i="66"/>
  <c r="S47" i="66" a="1"/>
  <c r="S47" i="66"/>
  <c r="O48" i="66"/>
  <c r="Q48" i="66" s="1" a="1"/>
  <c r="Q48" i="66" s="1"/>
  <c r="P48" i="66"/>
  <c r="S48" i="66" a="1"/>
  <c r="S48" i="66" s="1"/>
  <c r="O49" i="66"/>
  <c r="R49" i="66" s="1" a="1"/>
  <c r="R49" i="66" s="1"/>
  <c r="P49" i="66"/>
  <c r="O50" i="66"/>
  <c r="P50" i="66" s="1"/>
  <c r="Q50" i="66" a="1"/>
  <c r="Q50" i="66" s="1"/>
  <c r="R50" i="66" a="1"/>
  <c r="R50" i="66"/>
  <c r="S50" i="66" a="1"/>
  <c r="S50" i="66"/>
  <c r="O51" i="66"/>
  <c r="Q51" i="66" s="1" a="1"/>
  <c r="Q51" i="66" s="1"/>
  <c r="P51" i="66"/>
  <c r="S51" i="66" a="1"/>
  <c r="S51" i="66" s="1"/>
  <c r="O52" i="66"/>
  <c r="R52" i="66" s="1" a="1"/>
  <c r="R52" i="66" s="1"/>
  <c r="P52" i="66"/>
  <c r="O53" i="66"/>
  <c r="P53" i="66" s="1"/>
  <c r="Q53" i="66" a="1"/>
  <c r="Q53" i="66" s="1"/>
  <c r="R53" i="66" a="1"/>
  <c r="R53" i="66"/>
  <c r="S53" i="66" a="1"/>
  <c r="S53" i="66"/>
  <c r="O54" i="66"/>
  <c r="Q54" i="66" s="1" a="1"/>
  <c r="Q54" i="66" s="1"/>
  <c r="P54" i="66"/>
  <c r="S54" i="66" a="1"/>
  <c r="S54" i="66" s="1"/>
  <c r="O55" i="66"/>
  <c r="R55" i="66" s="1" a="1"/>
  <c r="R55" i="66" s="1"/>
  <c r="P55" i="66"/>
  <c r="O56" i="66"/>
  <c r="P56" i="66" s="1"/>
  <c r="Q56" i="66" a="1"/>
  <c r="Q56" i="66" s="1"/>
  <c r="R56" i="66" a="1"/>
  <c r="R56" i="66"/>
  <c r="S56" i="66" a="1"/>
  <c r="S56" i="66"/>
  <c r="O57" i="66"/>
  <c r="Q57" i="66" s="1" a="1"/>
  <c r="Q57" i="66" s="1"/>
  <c r="P57" i="66"/>
  <c r="S57" i="66" a="1"/>
  <c r="S57" i="66" s="1"/>
  <c r="O58" i="66"/>
  <c r="R58" i="66" s="1" a="1"/>
  <c r="R58" i="66" s="1"/>
  <c r="P58" i="66"/>
  <c r="O59" i="66"/>
  <c r="P59" i="66" s="1"/>
  <c r="Q59" i="66" a="1"/>
  <c r="Q59" i="66" s="1"/>
  <c r="R59" i="66" a="1"/>
  <c r="R59" i="66"/>
  <c r="S59" i="66" a="1"/>
  <c r="S59" i="66"/>
  <c r="O60" i="66"/>
  <c r="Q60" i="66" s="1" a="1"/>
  <c r="Q60" i="66" s="1"/>
  <c r="P60" i="66"/>
  <c r="S60" i="66" a="1"/>
  <c r="S60" i="66" s="1"/>
  <c r="O61" i="66"/>
  <c r="R61" i="66" s="1" a="1"/>
  <c r="R61" i="66" s="1"/>
  <c r="P61" i="66"/>
  <c r="O62" i="66"/>
  <c r="P62" i="66" s="1"/>
  <c r="Q62" i="66" a="1"/>
  <c r="Q62" i="66" s="1"/>
  <c r="R62" i="66" a="1"/>
  <c r="R62" i="66"/>
  <c r="S62" i="66" a="1"/>
  <c r="S62" i="66"/>
  <c r="O63" i="66"/>
  <c r="Q63" i="66" s="1" a="1"/>
  <c r="Q63" i="66" s="1"/>
  <c r="P63" i="66"/>
  <c r="S63" i="66" a="1"/>
  <c r="S63" i="66" s="1"/>
  <c r="O64" i="66"/>
  <c r="R64" i="66" s="1" a="1"/>
  <c r="R64" i="66" s="1"/>
  <c r="P64" i="66"/>
  <c r="O65" i="66"/>
  <c r="P65" i="66" s="1"/>
  <c r="Q65" i="66" a="1"/>
  <c r="Q65" i="66" s="1"/>
  <c r="R65" i="66" a="1"/>
  <c r="R65" i="66"/>
  <c r="S65" i="66" a="1"/>
  <c r="S65" i="66"/>
  <c r="O66" i="66"/>
  <c r="Q66" i="66" s="1" a="1"/>
  <c r="Q66" i="66" s="1"/>
  <c r="P66" i="66"/>
  <c r="S66" i="66" a="1"/>
  <c r="S66" i="66" s="1"/>
  <c r="O67" i="66"/>
  <c r="R67" i="66" s="1" a="1"/>
  <c r="R67" i="66" s="1"/>
  <c r="P67" i="66"/>
  <c r="O68" i="66"/>
  <c r="P68" i="66" s="1"/>
  <c r="Q68" i="66" a="1"/>
  <c r="Q68" i="66" s="1"/>
  <c r="R68" i="66" a="1"/>
  <c r="R68" i="66"/>
  <c r="S68" i="66" a="1"/>
  <c r="S68" i="66"/>
  <c r="O69" i="66"/>
  <c r="Q69" i="66" s="1" a="1"/>
  <c r="Q69" i="66" s="1"/>
  <c r="P69" i="66"/>
  <c r="S69" i="66" a="1"/>
  <c r="S69" i="66" s="1"/>
  <c r="O70" i="66"/>
  <c r="R70" i="66" s="1" a="1"/>
  <c r="R70" i="66" s="1"/>
  <c r="P70" i="66"/>
  <c r="O71" i="66"/>
  <c r="S71" i="66" s="1" a="1"/>
  <c r="S71" i="66" s="1"/>
  <c r="P71" i="66"/>
  <c r="Q71" i="66" a="1"/>
  <c r="Q71" i="66"/>
  <c r="R71" i="66" a="1"/>
  <c r="R71" i="66" s="1"/>
  <c r="O72" i="66"/>
  <c r="P72" i="66"/>
  <c r="Q72" i="66" a="1"/>
  <c r="Q72" i="66" s="1"/>
  <c r="R72" i="66" a="1"/>
  <c r="R72" i="66" s="1"/>
  <c r="S72" i="66" a="1"/>
  <c r="S72" i="66"/>
  <c r="O73" i="66"/>
  <c r="P73" i="66"/>
  <c r="S73" i="66" a="1"/>
  <c r="S73" i="66" s="1"/>
  <c r="O74" i="66"/>
  <c r="S74" i="66" s="1" a="1"/>
  <c r="S74" i="66" s="1"/>
  <c r="P74" i="66"/>
  <c r="Q74" i="66" a="1"/>
  <c r="Q74" i="66" s="1"/>
  <c r="R74" i="66" a="1"/>
  <c r="R74" i="66" s="1"/>
  <c r="O75" i="66"/>
  <c r="P75" i="66"/>
  <c r="Q75" i="66" a="1"/>
  <c r="Q75" i="66"/>
  <c r="R75" i="66" a="1"/>
  <c r="R75" i="66" s="1"/>
  <c r="S75" i="66" a="1"/>
  <c r="S75" i="66"/>
  <c r="O76" i="66"/>
  <c r="P76" i="66" s="1"/>
  <c r="O77" i="66"/>
  <c r="S77" i="66" s="1" a="1"/>
  <c r="S77" i="66" s="1"/>
  <c r="P77" i="66"/>
  <c r="Q77" i="66" a="1"/>
  <c r="Q77" i="66"/>
  <c r="R77" i="66" a="1"/>
  <c r="R77" i="66" s="1"/>
  <c r="O78" i="66"/>
  <c r="P78" i="66"/>
  <c r="Q78" i="66" a="1"/>
  <c r="Q78" i="66" s="1"/>
  <c r="R78" i="66" a="1"/>
  <c r="R78" i="66" s="1"/>
  <c r="S78" i="66" a="1"/>
  <c r="S78" i="66"/>
  <c r="O79" i="66"/>
  <c r="P79" i="66"/>
  <c r="S79" i="66" a="1"/>
  <c r="S79" i="66" s="1"/>
  <c r="O80" i="66"/>
  <c r="S80" i="66" s="1" a="1"/>
  <c r="S80" i="66" s="1"/>
  <c r="P80" i="66"/>
  <c r="Q80" i="66" a="1"/>
  <c r="Q80" i="66" s="1"/>
  <c r="R80" i="66" a="1"/>
  <c r="R80" i="66" s="1"/>
  <c r="O81" i="66"/>
  <c r="P81" i="66"/>
  <c r="Q81" i="66" a="1"/>
  <c r="Q81" i="66"/>
  <c r="R81" i="66" a="1"/>
  <c r="R81" i="66" s="1"/>
  <c r="S81" i="66" a="1"/>
  <c r="S81" i="66"/>
  <c r="O82" i="66"/>
  <c r="P82" i="66" s="1"/>
  <c r="O83" i="66"/>
  <c r="S83" i="66" s="1" a="1"/>
  <c r="S83" i="66" s="1"/>
  <c r="P83" i="66"/>
  <c r="Q83" i="66" a="1"/>
  <c r="Q83" i="66"/>
  <c r="R83" i="66" a="1"/>
  <c r="R83" i="66" s="1"/>
  <c r="O84" i="66"/>
  <c r="P84" i="66"/>
  <c r="Q84" i="66" a="1"/>
  <c r="Q84" i="66" s="1"/>
  <c r="R84" i="66" a="1"/>
  <c r="R84" i="66" s="1"/>
  <c r="S84" i="66" a="1"/>
  <c r="S84" i="66"/>
  <c r="O85" i="66"/>
  <c r="P85" i="66"/>
  <c r="S85" i="66" a="1"/>
  <c r="S85" i="66" s="1"/>
  <c r="O86" i="66"/>
  <c r="S86" i="66" s="1" a="1"/>
  <c r="S86" i="66" s="1"/>
  <c r="P86" i="66"/>
  <c r="Q86" i="66" a="1"/>
  <c r="Q86" i="66" s="1"/>
  <c r="R86" i="66" a="1"/>
  <c r="R86" i="66" s="1"/>
  <c r="O87" i="66"/>
  <c r="P87" i="66"/>
  <c r="Q87" i="66" a="1"/>
  <c r="Q87" i="66"/>
  <c r="R87" i="66" a="1"/>
  <c r="R87" i="66" s="1"/>
  <c r="S87" i="66" a="1"/>
  <c r="S87" i="66"/>
  <c r="O88" i="66"/>
  <c r="P88" i="66" s="1"/>
  <c r="O89" i="66"/>
  <c r="S89" i="66" s="1" a="1"/>
  <c r="S89" i="66" s="1"/>
  <c r="P89" i="66"/>
  <c r="Q89" i="66" a="1"/>
  <c r="Q89" i="66"/>
  <c r="R89" i="66" a="1"/>
  <c r="R89" i="66" s="1"/>
  <c r="O90" i="66"/>
  <c r="P90" i="66"/>
  <c r="Q90" i="66" a="1"/>
  <c r="Q90" i="66" s="1"/>
  <c r="R90" i="66" a="1"/>
  <c r="R90" i="66" s="1"/>
  <c r="S90" i="66" a="1"/>
  <c r="S90" i="66"/>
  <c r="O91" i="66"/>
  <c r="P91" i="66"/>
  <c r="S91" i="66" a="1"/>
  <c r="S91" i="66" s="1"/>
  <c r="O92" i="66"/>
  <c r="S92" i="66" s="1" a="1"/>
  <c r="S92" i="66" s="1"/>
  <c r="P92" i="66"/>
  <c r="Q92" i="66" a="1"/>
  <c r="Q92" i="66" s="1"/>
  <c r="R92" i="66" a="1"/>
  <c r="R92" i="66" s="1"/>
  <c r="O93" i="66"/>
  <c r="P93" i="66"/>
  <c r="Q93" i="66" a="1"/>
  <c r="Q93" i="66"/>
  <c r="R93" i="66" a="1"/>
  <c r="R93" i="66" s="1"/>
  <c r="S93" i="66" a="1"/>
  <c r="S93" i="66"/>
  <c r="O94" i="66"/>
  <c r="P94" i="66" s="1"/>
  <c r="O95" i="66"/>
  <c r="S95" i="66" s="1" a="1"/>
  <c r="S95" i="66" s="1"/>
  <c r="P95" i="66"/>
  <c r="Q95" i="66" a="1"/>
  <c r="Q95" i="66"/>
  <c r="R95" i="66" a="1"/>
  <c r="R95" i="66" s="1"/>
  <c r="O96" i="66"/>
  <c r="P96" i="66" s="1"/>
  <c r="Q96" i="66" a="1"/>
  <c r="Q96" i="66"/>
  <c r="R96" i="66" a="1"/>
  <c r="R96" i="66"/>
  <c r="S96" i="66" a="1"/>
  <c r="S96" i="66"/>
  <c r="O97" i="66"/>
  <c r="P97" i="66" s="1"/>
  <c r="O98" i="66"/>
  <c r="S98" i="66" s="1" a="1"/>
  <c r="S98" i="66" s="1"/>
  <c r="Q98" i="66" a="1"/>
  <c r="Q98" i="66"/>
  <c r="R98" i="66" a="1"/>
  <c r="R98" i="66"/>
  <c r="O99" i="66"/>
  <c r="P99" i="66" s="1"/>
  <c r="Q99" i="66" a="1"/>
  <c r="Q99" i="66"/>
  <c r="R99" i="66" a="1"/>
  <c r="R99" i="66"/>
  <c r="S99" i="66" a="1"/>
  <c r="S99" i="66" s="1"/>
  <c r="O100" i="66"/>
  <c r="P100" i="66"/>
  <c r="S100" i="66" a="1"/>
  <c r="S100" i="66" s="1"/>
  <c r="O101" i="66"/>
  <c r="S101" i="66" s="1" a="1"/>
  <c r="S101" i="66" s="1"/>
  <c r="O102" i="66"/>
  <c r="P102" i="66" s="1"/>
  <c r="Q102" i="66" a="1"/>
  <c r="Q102" i="66" s="1"/>
  <c r="R102" i="66" a="1"/>
  <c r="R102" i="66"/>
  <c r="S102" i="66" a="1"/>
  <c r="S102" i="66"/>
  <c r="O103" i="66"/>
  <c r="P103" i="66"/>
  <c r="S103" i="66" a="1"/>
  <c r="S103" i="66" s="1"/>
  <c r="O104" i="66"/>
  <c r="S104" i="66" s="1" a="1"/>
  <c r="S104" i="66" s="1"/>
  <c r="P104" i="66"/>
  <c r="R104" i="66" a="1"/>
  <c r="R104" i="66"/>
  <c r="O105" i="66"/>
  <c r="P105" i="66" s="1"/>
  <c r="Q105" i="66" a="1"/>
  <c r="Q105" i="66" s="1"/>
  <c r="R105" i="66" a="1"/>
  <c r="R105" i="66"/>
  <c r="S105" i="66" a="1"/>
  <c r="S105" i="66"/>
  <c r="O106" i="66"/>
  <c r="P106" i="66" s="1"/>
  <c r="O107" i="66"/>
  <c r="S107" i="66" s="1" a="1"/>
  <c r="S107" i="66" s="1"/>
  <c r="Q107" i="66" a="1"/>
  <c r="Q107" i="66" s="1"/>
  <c r="O108" i="66"/>
  <c r="P108" i="66" s="1"/>
  <c r="Q108" i="66" a="1"/>
  <c r="Q108" i="66"/>
  <c r="R108" i="66" a="1"/>
  <c r="R108" i="66" s="1"/>
  <c r="S108" i="66" a="1"/>
  <c r="S108" i="66"/>
  <c r="O109" i="66"/>
  <c r="S109" i="66" s="1" a="1"/>
  <c r="S109" i="66" s="1"/>
  <c r="P109" i="66"/>
  <c r="O110" i="66"/>
  <c r="S110" i="66" s="1" a="1"/>
  <c r="S110" i="66" s="1"/>
  <c r="R110" i="66" a="1"/>
  <c r="R110" i="66" s="1"/>
  <c r="O111" i="66"/>
  <c r="P111" i="66" s="1"/>
  <c r="Q111" i="66" a="1"/>
  <c r="Q111" i="66" s="1"/>
  <c r="R111" i="66" a="1"/>
  <c r="R111" i="66" s="1"/>
  <c r="S111" i="66" a="1"/>
  <c r="S111" i="66"/>
  <c r="O112" i="66"/>
  <c r="P112" i="66"/>
  <c r="S112" i="66" a="1"/>
  <c r="S112" i="66"/>
  <c r="O113" i="66"/>
  <c r="S113" i="66" s="1" a="1"/>
  <c r="S113" i="66" s="1"/>
  <c r="P113" i="66"/>
  <c r="Q113" i="66" a="1"/>
  <c r="Q113" i="66" s="1"/>
  <c r="R113" i="66" a="1"/>
  <c r="R113" i="66" s="1"/>
  <c r="O114" i="66"/>
  <c r="P114" i="66" s="1"/>
  <c r="Q114" i="66" a="1"/>
  <c r="Q114" i="66" s="1"/>
  <c r="R114" i="66" a="1"/>
  <c r="R114" i="66"/>
  <c r="S114" i="66" a="1"/>
  <c r="S114" i="66" s="1"/>
  <c r="O115" i="66"/>
  <c r="S115" i="66" s="1" a="1"/>
  <c r="S115" i="66" s="1"/>
  <c r="P115" i="66"/>
  <c r="O116" i="66"/>
  <c r="S116" i="66" s="1" a="1"/>
  <c r="S116" i="66" s="1"/>
  <c r="P116" i="66"/>
  <c r="Q116" i="66" a="1"/>
  <c r="Q116" i="66" s="1"/>
  <c r="R116" i="66" a="1"/>
  <c r="R116" i="66"/>
  <c r="O117" i="66"/>
  <c r="P117" i="66" s="1"/>
  <c r="O118" i="66"/>
  <c r="Q118" i="66" s="1" a="1"/>
  <c r="Q118" i="66" s="1"/>
  <c r="P118" i="66"/>
  <c r="R118" i="66" a="1"/>
  <c r="R118" i="66" s="1"/>
  <c r="S118" i="66" a="1"/>
  <c r="S118" i="66"/>
  <c r="O119" i="66"/>
  <c r="S119" i="66" s="1" a="1"/>
  <c r="S119" i="66" s="1"/>
  <c r="O120" i="66"/>
  <c r="P120" i="66" s="1"/>
  <c r="Q120" i="66" a="1"/>
  <c r="Q120" i="66"/>
  <c r="R120" i="66" a="1"/>
  <c r="R120" i="66"/>
  <c r="S120" i="66" a="1"/>
  <c r="S120" i="66"/>
  <c r="O121" i="66"/>
  <c r="Q121" i="66" s="1" a="1"/>
  <c r="Q121" i="66" s="1"/>
  <c r="P121" i="66"/>
  <c r="R121" i="66" a="1"/>
  <c r="R121" i="66" s="1"/>
  <c r="S121" i="66" a="1"/>
  <c r="S121" i="66"/>
  <c r="O122" i="66"/>
  <c r="S122" i="66" s="1" a="1"/>
  <c r="S122" i="66" s="1"/>
  <c r="P122" i="66"/>
  <c r="Q122" i="66" a="1"/>
  <c r="Q122" i="66" s="1"/>
  <c r="R122" i="66" a="1"/>
  <c r="R122" i="66"/>
  <c r="O123" i="66"/>
  <c r="P123" i="66" s="1"/>
  <c r="O124" i="66"/>
  <c r="Q124" i="66" s="1" a="1"/>
  <c r="Q124" i="66" s="1"/>
  <c r="P124" i="66"/>
  <c r="R124" i="66" a="1"/>
  <c r="R124" i="66" s="1"/>
  <c r="S124" i="66" a="1"/>
  <c r="S124" i="66"/>
  <c r="O125" i="66"/>
  <c r="S125" i="66" s="1" a="1"/>
  <c r="S125" i="66" s="1"/>
  <c r="O126" i="66"/>
  <c r="P126" i="66" s="1"/>
  <c r="Q126" i="66" a="1"/>
  <c r="Q126" i="66"/>
  <c r="R126" i="66" a="1"/>
  <c r="R126" i="66"/>
  <c r="S126" i="66" a="1"/>
  <c r="S126" i="66"/>
  <c r="O127" i="66"/>
  <c r="P127" i="66"/>
  <c r="Q127" i="66" a="1"/>
  <c r="Q127" i="66" s="1"/>
  <c r="R127" i="66" a="1"/>
  <c r="R127" i="66" s="1"/>
  <c r="S127" i="66" a="1"/>
  <c r="S127" i="66" s="1"/>
  <c r="O128" i="66"/>
  <c r="S128" i="66" s="1" a="1"/>
  <c r="S128" i="66" s="1"/>
  <c r="P128" i="66"/>
  <c r="Q128" i="66" a="1"/>
  <c r="Q128" i="66"/>
  <c r="R128" i="66" a="1"/>
  <c r="R128" i="66"/>
  <c r="O129" i="66"/>
  <c r="P129" i="66" s="1"/>
  <c r="Q129" i="66" a="1"/>
  <c r="Q129" i="66" s="1"/>
  <c r="R129" i="66" a="1"/>
  <c r="R129" i="66" s="1"/>
  <c r="O130" i="66"/>
  <c r="P130" i="66"/>
  <c r="Q130" i="66" a="1"/>
  <c r="Q130" i="66" s="1"/>
  <c r="R130" i="66" a="1"/>
  <c r="R130" i="66" s="1"/>
  <c r="S130" i="66" a="1"/>
  <c r="S130" i="66"/>
  <c r="O131" i="66"/>
  <c r="Q131" i="66" s="1" a="1"/>
  <c r="Q131" i="66" s="1"/>
  <c r="P131" i="66"/>
  <c r="R131" i="66" a="1"/>
  <c r="R131" i="66" s="1"/>
  <c r="S131" i="66" a="1"/>
  <c r="S131" i="66" s="1"/>
  <c r="O132" i="66"/>
  <c r="Q132" i="66" s="1" a="1"/>
  <c r="Q132" i="66" s="1"/>
  <c r="P132" i="66"/>
  <c r="O133" i="66"/>
  <c r="P133" i="66"/>
  <c r="Q133" i="66" a="1"/>
  <c r="Q133" i="66" s="1"/>
  <c r="R133" i="66" a="1"/>
  <c r="R133" i="66"/>
  <c r="S133" i="66" a="1"/>
  <c r="S133" i="66" s="1"/>
  <c r="O134" i="66"/>
  <c r="Q134" i="66" s="1" a="1"/>
  <c r="Q134" i="66" s="1"/>
  <c r="P134" i="66"/>
  <c r="S134" i="66" a="1"/>
  <c r="S134" i="66" s="1"/>
  <c r="O135" i="66"/>
  <c r="R135" i="66" s="1" a="1"/>
  <c r="R135" i="66" s="1"/>
  <c r="P135" i="66"/>
  <c r="Q135" i="66" a="1"/>
  <c r="Q135" i="66"/>
  <c r="S135" i="66" a="1"/>
  <c r="S135" i="66" s="1"/>
  <c r="O136" i="66"/>
  <c r="P136" i="66" s="1"/>
  <c r="O137" i="66"/>
  <c r="P137" i="66" s="1"/>
  <c r="O138" i="66"/>
  <c r="S138" i="66" s="1" a="1"/>
  <c r="S138" i="66" s="1"/>
  <c r="P138" i="66"/>
  <c r="Q138" i="66" a="1"/>
  <c r="Q138" i="66"/>
  <c r="R138" i="66" a="1"/>
  <c r="R138" i="66"/>
  <c r="O139" i="66"/>
  <c r="P139" i="66" s="1"/>
  <c r="O140" i="66"/>
  <c r="R140" i="66" s="1" a="1"/>
  <c r="R140" i="66" s="1"/>
  <c r="P140" i="66"/>
  <c r="Q140" i="66" a="1"/>
  <c r="Q140" i="66" s="1"/>
  <c r="O141" i="66"/>
  <c r="P141" i="66" s="1"/>
  <c r="S141" i="66" a="1"/>
  <c r="S141" i="66"/>
  <c r="O142" i="66"/>
  <c r="P142" i="66"/>
  <c r="Q142" i="66" a="1"/>
  <c r="Q142" i="66" s="1"/>
  <c r="R142" i="66" a="1"/>
  <c r="R142" i="66"/>
  <c r="S142" i="66" a="1"/>
  <c r="S142" i="66"/>
  <c r="O143" i="66"/>
  <c r="S143" i="66" s="1" a="1"/>
  <c r="S143" i="66" s="1"/>
  <c r="R143" i="66" a="1"/>
  <c r="R143" i="66" s="1"/>
  <c r="O144" i="66"/>
  <c r="P144" i="66" s="1"/>
  <c r="O145" i="66"/>
  <c r="Q145" i="66" s="1" a="1"/>
  <c r="Q145" i="66" s="1"/>
  <c r="P145" i="66"/>
  <c r="O146" i="66"/>
  <c r="P146" i="66"/>
  <c r="Q146" i="66" a="1"/>
  <c r="Q146" i="66" s="1"/>
  <c r="R146" i="66" a="1"/>
  <c r="R146" i="66"/>
  <c r="S146" i="66" a="1"/>
  <c r="S146" i="66" s="1"/>
  <c r="O147" i="66"/>
  <c r="P147" i="66"/>
  <c r="Q147" i="66" a="1"/>
  <c r="Q147" i="66" s="1"/>
  <c r="R147" i="66" a="1"/>
  <c r="R147" i="66" s="1"/>
  <c r="S147" i="66" a="1"/>
  <c r="S147" i="66"/>
  <c r="O148" i="66"/>
  <c r="P148" i="66"/>
  <c r="Q148" i="66" a="1"/>
  <c r="Q148" i="66" s="1"/>
  <c r="R148" i="66" a="1"/>
  <c r="R148" i="66" s="1"/>
  <c r="S148" i="66" a="1"/>
  <c r="S148" i="66"/>
  <c r="O149" i="66"/>
  <c r="Q149" i="66" s="1" a="1"/>
  <c r="Q149" i="66" s="1"/>
  <c r="P149" i="66"/>
  <c r="R149" i="66" a="1"/>
  <c r="R149" i="66" s="1"/>
  <c r="S149" i="66" a="1"/>
  <c r="S149" i="66" s="1"/>
  <c r="O150" i="66"/>
  <c r="Q150" i="66" s="1" a="1"/>
  <c r="Q150" i="66" s="1"/>
  <c r="P150" i="66"/>
  <c r="O151" i="66"/>
  <c r="P151" i="66"/>
  <c r="Q151" i="66" a="1"/>
  <c r="Q151" i="66" s="1"/>
  <c r="R151" i="66" a="1"/>
  <c r="R151" i="66"/>
  <c r="S151" i="66" a="1"/>
  <c r="S151" i="66" s="1"/>
  <c r="O152" i="66"/>
  <c r="Q152" i="66" s="1" a="1"/>
  <c r="Q152" i="66" s="1"/>
  <c r="P152" i="66"/>
  <c r="S152" i="66" a="1"/>
  <c r="S152" i="66" s="1"/>
  <c r="O153" i="66"/>
  <c r="R153" i="66" s="1" a="1"/>
  <c r="R153" i="66" s="1"/>
  <c r="P153" i="66"/>
  <c r="Q153" i="66" a="1"/>
  <c r="Q153" i="66"/>
  <c r="S153" i="66" a="1"/>
  <c r="S153" i="66" s="1"/>
  <c r="O154" i="66"/>
  <c r="P154" i="66" s="1"/>
  <c r="O155" i="66"/>
  <c r="P155" i="66" s="1"/>
  <c r="O156" i="66"/>
  <c r="S156" i="66" s="1" a="1"/>
  <c r="S156" i="66" s="1"/>
  <c r="P156" i="66"/>
  <c r="Q156" i="66" a="1"/>
  <c r="Q156" i="66"/>
  <c r="R156" i="66" a="1"/>
  <c r="R156" i="66" s="1"/>
  <c r="O157" i="66"/>
  <c r="P157" i="66" s="1"/>
  <c r="O158" i="66"/>
  <c r="R158" i="66" s="1" a="1"/>
  <c r="R158" i="66" s="1"/>
  <c r="P158" i="66"/>
  <c r="Q158" i="66" a="1"/>
  <c r="Q158" i="66" s="1"/>
  <c r="Q159" i="66" a="1"/>
  <c r="Q159" i="66" s="1"/>
  <c r="R159" i="66" a="1"/>
  <c r="R159" i="66"/>
  <c r="S159" i="66" a="1"/>
  <c r="S159" i="66"/>
  <c r="Q160" i="66" a="1"/>
  <c r="Q160" i="66"/>
  <c r="R160" i="66" a="1"/>
  <c r="R160" i="66"/>
  <c r="S160" i="66" a="1"/>
  <c r="S160" i="66" s="1"/>
  <c r="Q161" i="66" a="1"/>
  <c r="Q161" i="66"/>
  <c r="R161" i="66" a="1"/>
  <c r="R161" i="66"/>
  <c r="S161" i="66" a="1"/>
  <c r="S161" i="66" s="1"/>
  <c r="Q162" i="66" a="1"/>
  <c r="Q162" i="66"/>
  <c r="R162" i="66" a="1"/>
  <c r="R162" i="66" s="1"/>
  <c r="S162" i="66" a="1"/>
  <c r="S162" i="66" s="1"/>
  <c r="Q163" i="66" a="1"/>
  <c r="Q163" i="66" s="1"/>
  <c r="R163" i="66" a="1"/>
  <c r="R163" i="66" s="1"/>
  <c r="S163" i="66" a="1"/>
  <c r="S163" i="66"/>
  <c r="Q164" i="66" a="1"/>
  <c r="Q164" i="66"/>
  <c r="R164" i="66" a="1"/>
  <c r="R164" i="66" s="1"/>
  <c r="S164" i="66" a="1"/>
  <c r="S164" i="66"/>
  <c r="Q165" i="66" a="1"/>
  <c r="Q165" i="66" s="1"/>
  <c r="R165" i="66" a="1"/>
  <c r="R165" i="66" s="1"/>
  <c r="S165" i="66" a="1"/>
  <c r="S165" i="66"/>
  <c r="Q166" i="66" a="1"/>
  <c r="Q166" i="66"/>
  <c r="R166" i="66" a="1"/>
  <c r="R166" i="66"/>
  <c r="S166" i="66" a="1"/>
  <c r="S166" i="66"/>
  <c r="Q167" i="66" a="1"/>
  <c r="Q167" i="66" s="1"/>
  <c r="R167" i="66" a="1"/>
  <c r="R167" i="66" s="1"/>
  <c r="S167" i="66" a="1"/>
  <c r="S167" i="66"/>
  <c r="Q168" i="66" a="1"/>
  <c r="Q168" i="66"/>
  <c r="R168" i="66" a="1"/>
  <c r="R168" i="66"/>
  <c r="S168" i="66" a="1"/>
  <c r="S168" i="66"/>
  <c r="Q169" i="66" a="1"/>
  <c r="Q169" i="66" s="1"/>
  <c r="R169" i="66" a="1"/>
  <c r="R169" i="66" s="1"/>
  <c r="S169" i="66" a="1"/>
  <c r="S169" i="66"/>
  <c r="Q170" i="66" a="1"/>
  <c r="Q170" i="66"/>
  <c r="R170" i="66" a="1"/>
  <c r="R170" i="66"/>
  <c r="S170" i="66" a="1"/>
  <c r="S170" i="66"/>
  <c r="Q171" i="66" a="1"/>
  <c r="Q171" i="66" s="1"/>
  <c r="R171" i="66" a="1"/>
  <c r="R171" i="66" s="1"/>
  <c r="S171" i="66" a="1"/>
  <c r="S171" i="66"/>
  <c r="Q172" i="66" a="1"/>
  <c r="Q172" i="66"/>
  <c r="R172" i="66" a="1"/>
  <c r="R172" i="66"/>
  <c r="S172" i="66" a="1"/>
  <c r="S172" i="66"/>
  <c r="Q173" i="66" a="1"/>
  <c r="Q173" i="66" s="1"/>
  <c r="R173" i="66" a="1"/>
  <c r="R173" i="66" s="1"/>
  <c r="S173" i="66" a="1"/>
  <c r="S173" i="66"/>
  <c r="Q174" i="66" a="1"/>
  <c r="Q174" i="66"/>
  <c r="R174" i="66" a="1"/>
  <c r="R174" i="66"/>
  <c r="S174" i="66" a="1"/>
  <c r="S174" i="66"/>
  <c r="Q175" i="66" a="1"/>
  <c r="Q175" i="66" s="1"/>
  <c r="R175" i="66" a="1"/>
  <c r="R175" i="66" s="1"/>
  <c r="S175" i="66" a="1"/>
  <c r="S175" i="66"/>
  <c r="Q176" i="66" a="1"/>
  <c r="Q176" i="66"/>
  <c r="R176" i="66" a="1"/>
  <c r="R176" i="66"/>
  <c r="S176" i="66" a="1"/>
  <c r="S176" i="66"/>
  <c r="Q177" i="66" a="1"/>
  <c r="Q177" i="66" s="1"/>
  <c r="R177" i="66" a="1"/>
  <c r="R177" i="66" s="1"/>
  <c r="S177" i="66" a="1"/>
  <c r="S177" i="66"/>
  <c r="Q178" i="66" a="1"/>
  <c r="Q178" i="66"/>
  <c r="R178" i="66" a="1"/>
  <c r="R178" i="66"/>
  <c r="S178" i="66" a="1"/>
  <c r="S178" i="66"/>
  <c r="Q179" i="66" a="1"/>
  <c r="Q179" i="66" s="1"/>
  <c r="R179" i="66" a="1"/>
  <c r="R179" i="66" s="1"/>
  <c r="S179" i="66" a="1"/>
  <c r="S179" i="66"/>
  <c r="Q180" i="66" a="1"/>
  <c r="Q180" i="66"/>
  <c r="R180" i="66" a="1"/>
  <c r="R180" i="66"/>
  <c r="S180" i="66" a="1"/>
  <c r="S180" i="66"/>
  <c r="O181" i="66"/>
  <c r="P181" i="66" s="1"/>
  <c r="O182" i="66"/>
  <c r="Q182" i="66" s="1" a="1"/>
  <c r="Q182" i="66" s="1"/>
  <c r="P182" i="66"/>
  <c r="O183" i="66"/>
  <c r="S183" i="66" s="1" a="1"/>
  <c r="S183" i="66" s="1"/>
  <c r="P183" i="66"/>
  <c r="Q183" i="66" a="1"/>
  <c r="Q183" i="66"/>
  <c r="R183" i="66" a="1"/>
  <c r="R183" i="66"/>
  <c r="O184" i="66"/>
  <c r="P184" i="66" s="1"/>
  <c r="O185" i="66"/>
  <c r="Q185" i="66" s="1" a="1"/>
  <c r="Q185" i="66" s="1"/>
  <c r="P185" i="66"/>
  <c r="O186" i="66"/>
  <c r="S186" i="66" s="1" a="1"/>
  <c r="S186" i="66" s="1"/>
  <c r="P186" i="66"/>
  <c r="Q186" i="66" a="1"/>
  <c r="Q186" i="66"/>
  <c r="R186" i="66" a="1"/>
  <c r="R186" i="66"/>
  <c r="O187" i="66"/>
  <c r="P187" i="66" s="1"/>
  <c r="O188" i="66"/>
  <c r="Q188" i="66" s="1" a="1"/>
  <c r="Q188" i="66" s="1"/>
  <c r="P188" i="66"/>
  <c r="O189" i="66"/>
  <c r="S189" i="66" s="1" a="1"/>
  <c r="S189" i="66" s="1"/>
  <c r="P189" i="66"/>
  <c r="Q189" i="66" a="1"/>
  <c r="Q189" i="66"/>
  <c r="R189" i="66" a="1"/>
  <c r="R189" i="66"/>
  <c r="O190" i="66"/>
  <c r="P190" i="66" s="1"/>
  <c r="O191" i="66"/>
  <c r="Q191" i="66" s="1" a="1"/>
  <c r="Q191" i="66" s="1"/>
  <c r="P191" i="66"/>
  <c r="O192" i="66"/>
  <c r="S192" i="66" s="1" a="1"/>
  <c r="S192" i="66" s="1"/>
  <c r="P192" i="66"/>
  <c r="Q192" i="66" a="1"/>
  <c r="Q192" i="66"/>
  <c r="R192" i="66" a="1"/>
  <c r="R192" i="66"/>
  <c r="O193" i="66"/>
  <c r="P193" i="66" s="1"/>
  <c r="O194" i="66"/>
  <c r="Q194" i="66" s="1" a="1"/>
  <c r="Q194" i="66" s="1"/>
  <c r="P194" i="66"/>
  <c r="O195" i="66"/>
  <c r="S195" i="66" s="1" a="1"/>
  <c r="S195" i="66" s="1"/>
  <c r="P195" i="66"/>
  <c r="Q195" i="66" a="1"/>
  <c r="Q195" i="66"/>
  <c r="R195" i="66" a="1"/>
  <c r="R195" i="66"/>
  <c r="O196" i="66"/>
  <c r="P196" i="66" s="1"/>
  <c r="O197" i="66"/>
  <c r="Q197" i="66" s="1" a="1"/>
  <c r="Q197" i="66" s="1"/>
  <c r="P197" i="66"/>
  <c r="O198" i="66"/>
  <c r="S198" i="66" s="1" a="1"/>
  <c r="S198" i="66" s="1"/>
  <c r="P198" i="66"/>
  <c r="Q198" i="66" a="1"/>
  <c r="Q198" i="66"/>
  <c r="R198" i="66" a="1"/>
  <c r="R198" i="66"/>
  <c r="O199" i="66"/>
  <c r="P199" i="66" s="1"/>
  <c r="O200" i="66"/>
  <c r="M4" i="66" a="1"/>
  <c r="M4" i="66" s="1"/>
  <c r="H4" i="66" a="1"/>
  <c r="H4" i="66" s="1"/>
  <c r="M103" i="65" a="1"/>
  <c r="M103" i="65" s="1"/>
  <c r="H103" i="65" a="1"/>
  <c r="H103" i="65" s="1"/>
  <c r="H35" i="65" a="1"/>
  <c r="H35" i="65" s="1"/>
  <c r="M26" i="65" a="1"/>
  <c r="M26" i="65" s="1"/>
  <c r="H26" i="65" a="1"/>
  <c r="H26" i="65" s="1"/>
  <c r="M23" i="65" a="1"/>
  <c r="M23" i="65" s="1"/>
  <c r="H23" i="65" a="1"/>
  <c r="H23" i="65" s="1"/>
  <c r="M18" i="65" a="1"/>
  <c r="M18" i="65" s="1"/>
  <c r="H18" i="65" a="1"/>
  <c r="H18" i="65" s="1"/>
  <c r="M10" i="65" a="1"/>
  <c r="M10" i="65" s="1"/>
  <c r="H10" i="65" a="1"/>
  <c r="H10" i="65" s="1"/>
  <c r="M4" i="65" a="1"/>
  <c r="M4" i="65" s="1"/>
  <c r="H4" i="65" a="1"/>
  <c r="H4" i="65" s="1"/>
  <c r="H81" i="65" a="1"/>
  <c r="H81" i="65" s="1"/>
  <c r="U6" i="36"/>
  <c r="U7" i="36"/>
  <c r="U8" i="36"/>
  <c r="H102" i="65" a="1"/>
  <c r="H102" i="65" s="1"/>
  <c r="G26" i="36"/>
  <c r="G29" i="36" s="1"/>
  <c r="C13" i="43"/>
  <c r="B13" i="43"/>
  <c r="O201" i="66"/>
  <c r="P201" i="66" s="1"/>
  <c r="B200" i="66"/>
  <c r="A200" i="66" s="1"/>
  <c r="B199" i="66"/>
  <c r="A199" i="66" s="1"/>
  <c r="B198" i="66"/>
  <c r="A198" i="66" s="1"/>
  <c r="B197" i="66"/>
  <c r="A197" i="66" s="1"/>
  <c r="B196" i="66"/>
  <c r="A196" i="66" s="1"/>
  <c r="B195" i="66"/>
  <c r="A195" i="66" s="1"/>
  <c r="B194" i="66"/>
  <c r="A194" i="66" s="1"/>
  <c r="B193" i="66"/>
  <c r="A193" i="66" s="1"/>
  <c r="B192" i="66"/>
  <c r="A192" i="66" s="1"/>
  <c r="B191" i="66"/>
  <c r="A191" i="66" s="1"/>
  <c r="B190" i="66"/>
  <c r="A190" i="66" s="1"/>
  <c r="B189" i="66"/>
  <c r="A189" i="66" s="1"/>
  <c r="B188" i="66"/>
  <c r="A188" i="66" s="1"/>
  <c r="B187" i="66"/>
  <c r="A187" i="66" s="1"/>
  <c r="B186" i="66"/>
  <c r="A186" i="66" s="1"/>
  <c r="B185" i="66"/>
  <c r="A185" i="66" s="1"/>
  <c r="B184" i="66"/>
  <c r="A184" i="66" s="1"/>
  <c r="B183" i="66"/>
  <c r="A183" i="66" s="1"/>
  <c r="B182" i="66"/>
  <c r="A182" i="66" s="1"/>
  <c r="B181" i="66"/>
  <c r="A181" i="66" s="1"/>
  <c r="B180" i="66"/>
  <c r="A180" i="66" s="1"/>
  <c r="B179" i="66"/>
  <c r="A179" i="66" s="1"/>
  <c r="B178" i="66"/>
  <c r="A178" i="66" s="1"/>
  <c r="B177" i="66"/>
  <c r="A177" i="66"/>
  <c r="B176" i="66"/>
  <c r="A176" i="66" s="1"/>
  <c r="B175" i="66"/>
  <c r="A175" i="66"/>
  <c r="B174" i="66"/>
  <c r="A174" i="66" s="1"/>
  <c r="B173" i="66"/>
  <c r="A173" i="66" s="1"/>
  <c r="B172" i="66"/>
  <c r="A172" i="66" s="1"/>
  <c r="B171" i="66"/>
  <c r="A171" i="66" s="1"/>
  <c r="B170" i="66"/>
  <c r="A170" i="66" s="1"/>
  <c r="B169" i="66"/>
  <c r="A169" i="66" s="1"/>
  <c r="B168" i="66"/>
  <c r="A168" i="66" s="1"/>
  <c r="B167" i="66"/>
  <c r="A167" i="66" s="1"/>
  <c r="B166" i="66"/>
  <c r="A166" i="66" s="1"/>
  <c r="B165" i="66"/>
  <c r="A165" i="66" s="1"/>
  <c r="B164" i="66"/>
  <c r="A164" i="66" s="1"/>
  <c r="B163" i="66"/>
  <c r="A163" i="66" s="1"/>
  <c r="B162" i="66"/>
  <c r="A162" i="66" s="1"/>
  <c r="B161" i="66"/>
  <c r="A161" i="66" s="1"/>
  <c r="B160" i="66"/>
  <c r="A160" i="66" s="1"/>
  <c r="B159" i="66"/>
  <c r="A159" i="66" s="1"/>
  <c r="B158" i="66"/>
  <c r="A158" i="66" s="1"/>
  <c r="B157" i="66"/>
  <c r="A157" i="66" s="1"/>
  <c r="B156" i="66"/>
  <c r="A156" i="66" s="1"/>
  <c r="B155" i="66"/>
  <c r="A155" i="66" s="1"/>
  <c r="B154" i="66"/>
  <c r="A154" i="66" s="1"/>
  <c r="B153" i="66"/>
  <c r="A153" i="66" s="1"/>
  <c r="B152" i="66"/>
  <c r="A152" i="66" s="1"/>
  <c r="B151" i="66"/>
  <c r="A151" i="66" s="1"/>
  <c r="B150" i="66"/>
  <c r="A150" i="66" s="1"/>
  <c r="B149" i="66"/>
  <c r="A149" i="66" s="1"/>
  <c r="B148" i="66"/>
  <c r="A148" i="66" s="1"/>
  <c r="B147" i="66"/>
  <c r="A147" i="66" s="1"/>
  <c r="B146" i="66"/>
  <c r="A146" i="66" s="1"/>
  <c r="B145" i="66"/>
  <c r="A145" i="66" s="1"/>
  <c r="B144" i="66"/>
  <c r="A144" i="66" s="1"/>
  <c r="B143" i="66"/>
  <c r="A143" i="66" s="1"/>
  <c r="B142" i="66"/>
  <c r="A142" i="66" s="1"/>
  <c r="B141" i="66"/>
  <c r="A141" i="66" s="1"/>
  <c r="B140" i="66"/>
  <c r="A140" i="66" s="1"/>
  <c r="B139" i="66"/>
  <c r="A139" i="66" s="1"/>
  <c r="B138" i="66"/>
  <c r="A138" i="66" s="1"/>
  <c r="B137" i="66"/>
  <c r="A137" i="66" s="1"/>
  <c r="B136" i="66"/>
  <c r="A136" i="66" s="1"/>
  <c r="B135" i="66"/>
  <c r="A135" i="66" s="1"/>
  <c r="B134" i="66"/>
  <c r="A134" i="66" s="1"/>
  <c r="B133" i="66"/>
  <c r="A133" i="66" s="1"/>
  <c r="B132" i="66"/>
  <c r="A132" i="66"/>
  <c r="B131" i="66"/>
  <c r="A131" i="66" s="1"/>
  <c r="B130" i="66"/>
  <c r="A130" i="66" s="1"/>
  <c r="B129" i="66"/>
  <c r="A129" i="66" s="1"/>
  <c r="B128" i="66"/>
  <c r="A128" i="66" s="1"/>
  <c r="B127" i="66"/>
  <c r="A127" i="66" s="1"/>
  <c r="B126" i="66"/>
  <c r="A126" i="66" s="1"/>
  <c r="B125" i="66"/>
  <c r="A125" i="66" s="1"/>
  <c r="B124" i="66"/>
  <c r="A124" i="66" s="1"/>
  <c r="B123" i="66"/>
  <c r="A123" i="66" s="1"/>
  <c r="B122" i="66"/>
  <c r="A122" i="66" s="1"/>
  <c r="B121" i="66"/>
  <c r="A121" i="66" s="1"/>
  <c r="B120" i="66"/>
  <c r="A120" i="66" s="1"/>
  <c r="B119" i="66"/>
  <c r="A119" i="66" s="1"/>
  <c r="B118" i="66"/>
  <c r="A118" i="66" s="1"/>
  <c r="B117" i="66"/>
  <c r="A117" i="66" s="1"/>
  <c r="B116" i="66"/>
  <c r="A116" i="66" s="1"/>
  <c r="B115" i="66"/>
  <c r="A115" i="66" s="1"/>
  <c r="B114" i="66"/>
  <c r="A114" i="66" s="1"/>
  <c r="B113" i="66"/>
  <c r="A113" i="66" s="1"/>
  <c r="B112" i="66"/>
  <c r="A112" i="66" s="1"/>
  <c r="B111" i="66"/>
  <c r="A111" i="66" s="1"/>
  <c r="B110" i="66"/>
  <c r="A110" i="66" s="1"/>
  <c r="B109" i="66"/>
  <c r="A109" i="66" s="1"/>
  <c r="B108" i="66"/>
  <c r="A108" i="66" s="1"/>
  <c r="B107" i="66"/>
  <c r="A107" i="66" s="1"/>
  <c r="B106" i="66"/>
  <c r="A106" i="66" s="1"/>
  <c r="B105" i="66"/>
  <c r="A105" i="66" s="1"/>
  <c r="B104" i="66"/>
  <c r="A104" i="66" s="1"/>
  <c r="B103" i="66"/>
  <c r="A103" i="66" s="1"/>
  <c r="B102" i="66"/>
  <c r="A102" i="66"/>
  <c r="B101" i="66"/>
  <c r="A101" i="66"/>
  <c r="B100" i="66"/>
  <c r="A100" i="66" s="1"/>
  <c r="B99" i="66"/>
  <c r="A99" i="66"/>
  <c r="B98" i="66"/>
  <c r="A98" i="66" s="1"/>
  <c r="B97" i="66"/>
  <c r="A97" i="66" s="1"/>
  <c r="B96" i="66"/>
  <c r="A96" i="66"/>
  <c r="B95" i="66"/>
  <c r="A95" i="66" s="1"/>
  <c r="B94" i="66"/>
  <c r="A94" i="66" s="1"/>
  <c r="B93" i="66"/>
  <c r="A93" i="66" s="1"/>
  <c r="B92" i="66"/>
  <c r="A92" i="66" s="1"/>
  <c r="B91" i="66"/>
  <c r="A91" i="66" s="1"/>
  <c r="B90" i="66"/>
  <c r="A90" i="66"/>
  <c r="B89" i="66"/>
  <c r="A89" i="66" s="1"/>
  <c r="B88" i="66"/>
  <c r="A88" i="66" s="1"/>
  <c r="B87" i="66"/>
  <c r="A87" i="66" s="1"/>
  <c r="B86" i="66"/>
  <c r="A86" i="66" s="1"/>
  <c r="B85" i="66"/>
  <c r="A85" i="66" s="1"/>
  <c r="B84" i="66"/>
  <c r="A84" i="66"/>
  <c r="B83" i="66"/>
  <c r="A83" i="66" s="1"/>
  <c r="B82" i="66"/>
  <c r="A82" i="66" s="1"/>
  <c r="B81" i="66"/>
  <c r="A81" i="66" s="1"/>
  <c r="B80" i="66"/>
  <c r="B79" i="66"/>
  <c r="A79" i="66" s="1"/>
  <c r="B78" i="66"/>
  <c r="A78" i="66" s="1"/>
  <c r="B77" i="66"/>
  <c r="A77" i="66" s="1"/>
  <c r="B76" i="66"/>
  <c r="A76" i="66" s="1"/>
  <c r="B75" i="66"/>
  <c r="A75" i="66" s="1"/>
  <c r="B74" i="66"/>
  <c r="A74" i="66" s="1"/>
  <c r="B73" i="66"/>
  <c r="A73" i="66" s="1"/>
  <c r="B72" i="66"/>
  <c r="A72" i="66" s="1"/>
  <c r="B71" i="66"/>
  <c r="A71" i="66" s="1"/>
  <c r="B70" i="66"/>
  <c r="A70" i="66" s="1"/>
  <c r="B69" i="66"/>
  <c r="A69" i="66" s="1"/>
  <c r="B68" i="66"/>
  <c r="A68" i="66" s="1"/>
  <c r="B67" i="66"/>
  <c r="A67" i="66"/>
  <c r="B66" i="66"/>
  <c r="A66" i="66" s="1"/>
  <c r="B65" i="66"/>
  <c r="A65" i="66" s="1"/>
  <c r="B64" i="66"/>
  <c r="A64" i="66" s="1"/>
  <c r="B63" i="66"/>
  <c r="A63" i="66" s="1"/>
  <c r="B62" i="66"/>
  <c r="A62" i="66" s="1"/>
  <c r="B61" i="66"/>
  <c r="A61" i="66" s="1"/>
  <c r="B60" i="66"/>
  <c r="B59" i="66"/>
  <c r="B58" i="66"/>
  <c r="A58" i="66" s="1"/>
  <c r="B57" i="66"/>
  <c r="A57" i="66" s="1"/>
  <c r="B56" i="66"/>
  <c r="A56" i="66" s="1"/>
  <c r="B55" i="66"/>
  <c r="A55" i="66" s="1"/>
  <c r="B54" i="66"/>
  <c r="A54" i="66" s="1"/>
  <c r="B53" i="66"/>
  <c r="A53" i="66" s="1"/>
  <c r="B52" i="66"/>
  <c r="A52" i="66" s="1"/>
  <c r="B51" i="66"/>
  <c r="A51" i="66" s="1"/>
  <c r="B50" i="66"/>
  <c r="B49" i="66"/>
  <c r="A49" i="66" s="1"/>
  <c r="B48" i="66"/>
  <c r="A48" i="66" s="1"/>
  <c r="B47" i="66"/>
  <c r="A47" i="66" s="1"/>
  <c r="B46" i="66"/>
  <c r="A46" i="66"/>
  <c r="B45" i="66"/>
  <c r="A45" i="66" s="1"/>
  <c r="B44" i="66"/>
  <c r="A44" i="66" s="1"/>
  <c r="B43" i="66"/>
  <c r="A43" i="66" s="1"/>
  <c r="B42" i="66"/>
  <c r="A42" i="66" s="1"/>
  <c r="B41" i="66"/>
  <c r="A41" i="66" s="1"/>
  <c r="B40" i="66"/>
  <c r="A40" i="66" s="1"/>
  <c r="B39" i="66"/>
  <c r="A39" i="66"/>
  <c r="B38" i="66"/>
  <c r="A38" i="66" s="1"/>
  <c r="B37" i="66"/>
  <c r="A37" i="66" s="1"/>
  <c r="B36" i="66"/>
  <c r="B35" i="66"/>
  <c r="B34" i="66"/>
  <c r="B33" i="66"/>
  <c r="A33" i="66" s="1"/>
  <c r="B32" i="66"/>
  <c r="A32" i="66" s="1"/>
  <c r="B31" i="66"/>
  <c r="A31" i="66" s="1"/>
  <c r="B30" i="66"/>
  <c r="A30" i="66" s="1"/>
  <c r="B29" i="66"/>
  <c r="A29" i="66" s="1"/>
  <c r="B28" i="66"/>
  <c r="B27" i="66"/>
  <c r="A27" i="66" s="1"/>
  <c r="B26" i="66"/>
  <c r="B25" i="66"/>
  <c r="A25" i="66" s="1"/>
  <c r="B24" i="66"/>
  <c r="A24" i="66" s="1"/>
  <c r="B23" i="66"/>
  <c r="B22" i="66"/>
  <c r="A22" i="66" s="1"/>
  <c r="B21" i="66"/>
  <c r="A21" i="66" s="1"/>
  <c r="B20" i="66"/>
  <c r="B19" i="66"/>
  <c r="A19" i="66" s="1"/>
  <c r="B18" i="66"/>
  <c r="B17" i="66"/>
  <c r="A17" i="66" s="1"/>
  <c r="B16" i="66"/>
  <c r="A16" i="66"/>
  <c r="B15" i="66"/>
  <c r="A15" i="66" s="1"/>
  <c r="B14" i="66"/>
  <c r="A14" i="66" s="1"/>
  <c r="B13" i="66"/>
  <c r="A13" i="66" s="1"/>
  <c r="B12" i="66"/>
  <c r="A12" i="66" s="1"/>
  <c r="B11" i="66"/>
  <c r="A11" i="66" s="1"/>
  <c r="B10" i="66"/>
  <c r="B9" i="66"/>
  <c r="A9" i="66" s="1"/>
  <c r="B8" i="66"/>
  <c r="A8" i="66" s="1"/>
  <c r="B7" i="66"/>
  <c r="A7" i="66" s="1"/>
  <c r="B6" i="66"/>
  <c r="A6" i="66" s="1"/>
  <c r="B5" i="66"/>
  <c r="A5" i="66" s="1"/>
  <c r="B4" i="66"/>
  <c r="A4" i="66" s="1"/>
  <c r="M82" i="65" a="1"/>
  <c r="M82" i="65" s="1"/>
  <c r="H82" i="65" a="1"/>
  <c r="H82" i="65" s="1"/>
  <c r="H36" i="65" a="1"/>
  <c r="H36" i="65" s="1"/>
  <c r="H34" i="65" a="1"/>
  <c r="H34" i="65" s="1"/>
  <c r="M28" i="65" a="1"/>
  <c r="M28" i="65" s="1"/>
  <c r="H28" i="65" a="1"/>
  <c r="H28" i="65" s="1"/>
  <c r="M20" i="65" a="1"/>
  <c r="M20" i="65" s="1"/>
  <c r="H20" i="65" a="1"/>
  <c r="H20" i="65" s="1"/>
  <c r="C12" i="43"/>
  <c r="B12" i="43"/>
  <c r="O201" i="65"/>
  <c r="P201" i="65" s="1"/>
  <c r="O200" i="65"/>
  <c r="B200" i="65"/>
  <c r="A200" i="65"/>
  <c r="S199" i="65" a="1"/>
  <c r="S199" i="65" s="1"/>
  <c r="O199" i="65"/>
  <c r="R199" i="65" s="1" a="1"/>
  <c r="R199" i="65" s="1"/>
  <c r="B199" i="65"/>
  <c r="A199" i="65" s="1"/>
  <c r="S198" i="65" a="1"/>
  <c r="S198" i="65" s="1"/>
  <c r="R198" i="65" a="1"/>
  <c r="R198" i="65" s="1"/>
  <c r="O198" i="65"/>
  <c r="Q198" i="65" s="1" a="1"/>
  <c r="Q198" i="65" s="1"/>
  <c r="B198" i="65"/>
  <c r="A198" i="65" s="1"/>
  <c r="S197" i="65" a="1"/>
  <c r="S197" i="65" s="1"/>
  <c r="R197" i="65" a="1"/>
  <c r="R197" i="65" s="1"/>
  <c r="Q197" i="65" a="1"/>
  <c r="Q197" i="65" s="1"/>
  <c r="P197" i="65"/>
  <c r="O197" i="65"/>
  <c r="B197" i="65"/>
  <c r="A197" i="65" s="1"/>
  <c r="O196" i="65"/>
  <c r="P196" i="65" s="1"/>
  <c r="B196" i="65"/>
  <c r="A196" i="65" s="1"/>
  <c r="O195" i="65"/>
  <c r="S195" i="65" s="1" a="1"/>
  <c r="S195" i="65" s="1"/>
  <c r="B195" i="65"/>
  <c r="A195" i="65" s="1"/>
  <c r="O194" i="65"/>
  <c r="S194" i="65" s="1" a="1"/>
  <c r="S194" i="65" s="1"/>
  <c r="B194" i="65"/>
  <c r="A194" i="65" s="1"/>
  <c r="S193" i="65" a="1"/>
  <c r="S193" i="65" s="1"/>
  <c r="R193" i="65"/>
  <c r="R193" i="65" a="1"/>
  <c r="O193" i="65"/>
  <c r="Q193" i="65" s="1" a="1"/>
  <c r="Q193" i="65" s="1"/>
  <c r="B193" i="65"/>
  <c r="A193" i="65"/>
  <c r="S192" i="65" a="1"/>
  <c r="S192" i="65" s="1"/>
  <c r="R192" i="65"/>
  <c r="R192" i="65" a="1"/>
  <c r="Q192" i="65" a="1"/>
  <c r="Q192" i="65" s="1"/>
  <c r="O192" i="65"/>
  <c r="P192" i="65" s="1"/>
  <c r="B192" i="65"/>
  <c r="A192" i="65" s="1"/>
  <c r="S191" i="65" a="1"/>
  <c r="S191" i="65" s="1"/>
  <c r="R191" i="65" a="1"/>
  <c r="R191" i="65" s="1"/>
  <c r="Q191" i="65" a="1"/>
  <c r="Q191" i="65" s="1"/>
  <c r="O191" i="65"/>
  <c r="P191" i="65" s="1"/>
  <c r="B191" i="65"/>
  <c r="A191" i="65" s="1"/>
  <c r="O190" i="65"/>
  <c r="B190" i="65"/>
  <c r="A190" i="65"/>
  <c r="O189" i="65"/>
  <c r="S189" i="65" s="1" a="1"/>
  <c r="S189" i="65" s="1"/>
  <c r="B189" i="65"/>
  <c r="A189" i="65"/>
  <c r="O188" i="65"/>
  <c r="S188" i="65" s="1" a="1"/>
  <c r="S188" i="65" s="1"/>
  <c r="B188" i="65"/>
  <c r="A188" i="65"/>
  <c r="S187" i="65"/>
  <c r="S187" i="65" a="1"/>
  <c r="R187" i="65" a="1"/>
  <c r="R187" i="65" s="1"/>
  <c r="O187" i="65"/>
  <c r="Q187" i="65" s="1" a="1"/>
  <c r="Q187" i="65" s="1"/>
  <c r="B187" i="65"/>
  <c r="A187" i="65"/>
  <c r="S186" i="65" a="1"/>
  <c r="S186" i="65" s="1"/>
  <c r="R186" i="65" a="1"/>
  <c r="R186" i="65" s="1"/>
  <c r="Q186" i="65" a="1"/>
  <c r="Q186" i="65" s="1"/>
  <c r="O186" i="65"/>
  <c r="P186" i="65" s="1"/>
  <c r="B186" i="65"/>
  <c r="A186" i="65" s="1"/>
  <c r="S185" i="65" a="1"/>
  <c r="S185" i="65" s="1"/>
  <c r="R185" i="65" a="1"/>
  <c r="R185" i="65" s="1"/>
  <c r="Q185" i="65" a="1"/>
  <c r="Q185" i="65" s="1"/>
  <c r="O185" i="65"/>
  <c r="P185" i="65" s="1"/>
  <c r="B185" i="65"/>
  <c r="A185" i="65" s="1"/>
  <c r="O184" i="65"/>
  <c r="B184" i="65"/>
  <c r="A184" i="65"/>
  <c r="O183" i="65"/>
  <c r="S183" i="65" s="1" a="1"/>
  <c r="S183" i="65" s="1"/>
  <c r="B183" i="65"/>
  <c r="A183" i="65" s="1"/>
  <c r="O182" i="65"/>
  <c r="S182" i="65" s="1" a="1"/>
  <c r="S182" i="65" s="1"/>
  <c r="B182" i="65"/>
  <c r="A182" i="65"/>
  <c r="S181" i="65" a="1"/>
  <c r="S181" i="65" s="1"/>
  <c r="R181" i="65" a="1"/>
  <c r="R181" i="65" s="1"/>
  <c r="Q181" i="65" a="1"/>
  <c r="Q181" i="65" s="1"/>
  <c r="O181" i="65"/>
  <c r="P181" i="65" s="1"/>
  <c r="B181" i="65"/>
  <c r="A181" i="65" s="1"/>
  <c r="S180" i="65" a="1"/>
  <c r="S180" i="65" s="1"/>
  <c r="R180" i="65" a="1"/>
  <c r="R180" i="65" s="1"/>
  <c r="Q180" i="65" a="1"/>
  <c r="Q180" i="65" s="1"/>
  <c r="B180" i="65"/>
  <c r="A180" i="65"/>
  <c r="S179" i="65" a="1"/>
  <c r="S179" i="65" s="1"/>
  <c r="R179" i="65" a="1"/>
  <c r="R179" i="65" s="1"/>
  <c r="Q179" i="65" a="1"/>
  <c r="Q179" i="65" s="1"/>
  <c r="B179" i="65"/>
  <c r="A179" i="65" s="1"/>
  <c r="S178" i="65" a="1"/>
  <c r="S178" i="65" s="1"/>
  <c r="R178" i="65" a="1"/>
  <c r="R178" i="65" s="1"/>
  <c r="Q178" i="65" a="1"/>
  <c r="Q178" i="65" s="1"/>
  <c r="B178" i="65"/>
  <c r="A178" i="65"/>
  <c r="S177" i="65" a="1"/>
  <c r="S177" i="65" s="1"/>
  <c r="R177" i="65" a="1"/>
  <c r="R177" i="65" s="1"/>
  <c r="Q177" i="65" a="1"/>
  <c r="Q177" i="65" s="1"/>
  <c r="B177" i="65"/>
  <c r="A177" i="65" s="1"/>
  <c r="S176" i="65" a="1"/>
  <c r="S176" i="65" s="1"/>
  <c r="R176" i="65" a="1"/>
  <c r="R176" i="65" s="1"/>
  <c r="Q176" i="65" a="1"/>
  <c r="Q176" i="65" s="1"/>
  <c r="B176" i="65"/>
  <c r="A176" i="65" s="1"/>
  <c r="S175" i="65" a="1"/>
  <c r="S175" i="65" s="1"/>
  <c r="R175" i="65" a="1"/>
  <c r="R175" i="65" s="1"/>
  <c r="Q175" i="65" a="1"/>
  <c r="Q175" i="65" s="1"/>
  <c r="B175" i="65"/>
  <c r="A175" i="65"/>
  <c r="S174" i="65" a="1"/>
  <c r="S174" i="65" s="1"/>
  <c r="R174" i="65" a="1"/>
  <c r="R174" i="65" s="1"/>
  <c r="Q174" i="65" a="1"/>
  <c r="Q174" i="65" s="1"/>
  <c r="B174" i="65"/>
  <c r="A174" i="65" s="1"/>
  <c r="S173" i="65" a="1"/>
  <c r="S173" i="65" s="1"/>
  <c r="R173" i="65" a="1"/>
  <c r="R173" i="65" s="1"/>
  <c r="Q173" i="65" a="1"/>
  <c r="Q173" i="65" s="1"/>
  <c r="B173" i="65"/>
  <c r="A173" i="65"/>
  <c r="S172" i="65" a="1"/>
  <c r="S172" i="65" s="1"/>
  <c r="R172" i="65" a="1"/>
  <c r="R172" i="65" s="1"/>
  <c r="Q172" i="65" a="1"/>
  <c r="Q172" i="65" s="1"/>
  <c r="B172" i="65"/>
  <c r="A172" i="65" s="1"/>
  <c r="S171" i="65" a="1"/>
  <c r="S171" i="65" s="1"/>
  <c r="R171" i="65" a="1"/>
  <c r="R171" i="65" s="1"/>
  <c r="Q171" i="65" a="1"/>
  <c r="Q171" i="65" s="1"/>
  <c r="B171" i="65"/>
  <c r="A171" i="65"/>
  <c r="S170" i="65" a="1"/>
  <c r="S170" i="65" s="1"/>
  <c r="R170" i="65" a="1"/>
  <c r="R170" i="65" s="1"/>
  <c r="Q170" i="65" a="1"/>
  <c r="Q170" i="65" s="1"/>
  <c r="B170" i="65"/>
  <c r="A170" i="65" s="1"/>
  <c r="S169" i="65" a="1"/>
  <c r="S169" i="65" s="1"/>
  <c r="R169" i="65" a="1"/>
  <c r="R169" i="65" s="1"/>
  <c r="Q169" i="65" a="1"/>
  <c r="Q169" i="65" s="1"/>
  <c r="B169" i="65"/>
  <c r="A169" i="65" s="1"/>
  <c r="S168" i="65" a="1"/>
  <c r="S168" i="65" s="1"/>
  <c r="R168" i="65" a="1"/>
  <c r="R168" i="65" s="1"/>
  <c r="Q168" i="65" a="1"/>
  <c r="Q168" i="65" s="1"/>
  <c r="B168" i="65"/>
  <c r="A168" i="65"/>
  <c r="S167" i="65" a="1"/>
  <c r="S167" i="65" s="1"/>
  <c r="R167" i="65" a="1"/>
  <c r="R167" i="65" s="1"/>
  <c r="Q167" i="65" a="1"/>
  <c r="Q167" i="65" s="1"/>
  <c r="B167" i="65"/>
  <c r="A167" i="65" s="1"/>
  <c r="S166" i="65" a="1"/>
  <c r="S166" i="65" s="1"/>
  <c r="R166" i="65" a="1"/>
  <c r="R166" i="65" s="1"/>
  <c r="Q166" i="65" a="1"/>
  <c r="Q166" i="65" s="1"/>
  <c r="B166" i="65"/>
  <c r="A166" i="65"/>
  <c r="S165" i="65" a="1"/>
  <c r="S165" i="65" s="1"/>
  <c r="R165" i="65"/>
  <c r="R165" i="65" a="1"/>
  <c r="Q165" i="65" a="1"/>
  <c r="Q165" i="65" s="1"/>
  <c r="B165" i="65"/>
  <c r="A165" i="65" s="1"/>
  <c r="S164" i="65" a="1"/>
  <c r="S164" i="65" s="1"/>
  <c r="R164" i="65" a="1"/>
  <c r="R164" i="65" s="1"/>
  <c r="Q164" i="65" a="1"/>
  <c r="Q164" i="65" s="1"/>
  <c r="B164" i="65"/>
  <c r="A164" i="65" s="1"/>
  <c r="S163" i="65" a="1"/>
  <c r="S163" i="65" s="1"/>
  <c r="R163" i="65" a="1"/>
  <c r="R163" i="65" s="1"/>
  <c r="Q163" i="65" a="1"/>
  <c r="Q163" i="65" s="1"/>
  <c r="B163" i="65"/>
  <c r="A163" i="65"/>
  <c r="S162" i="65" a="1"/>
  <c r="S162" i="65" s="1"/>
  <c r="R162" i="65" a="1"/>
  <c r="R162" i="65" s="1"/>
  <c r="Q162" i="65" a="1"/>
  <c r="Q162" i="65" s="1"/>
  <c r="B162" i="65"/>
  <c r="A162" i="65" s="1"/>
  <c r="S161" i="65" a="1"/>
  <c r="S161" i="65" s="1"/>
  <c r="R161" i="65" a="1"/>
  <c r="R161" i="65" s="1"/>
  <c r="Q161" i="65" a="1"/>
  <c r="Q161" i="65" s="1"/>
  <c r="B161" i="65"/>
  <c r="A161" i="65" s="1"/>
  <c r="S160" i="65" a="1"/>
  <c r="S160" i="65" s="1"/>
  <c r="R160" i="65" a="1"/>
  <c r="R160" i="65" s="1"/>
  <c r="Q160" i="65" a="1"/>
  <c r="Q160" i="65" s="1"/>
  <c r="B160" i="65"/>
  <c r="A160" i="65" s="1"/>
  <c r="S159" i="65" a="1"/>
  <c r="S159" i="65" s="1"/>
  <c r="R159" i="65" a="1"/>
  <c r="R159" i="65" s="1"/>
  <c r="Q159" i="65" a="1"/>
  <c r="Q159" i="65" s="1"/>
  <c r="B159" i="65"/>
  <c r="A159" i="65" s="1"/>
  <c r="O158" i="65"/>
  <c r="P158" i="65" s="1"/>
  <c r="B158" i="65"/>
  <c r="A158" i="65"/>
  <c r="O157" i="65"/>
  <c r="S157" i="65" s="1" a="1"/>
  <c r="S157" i="65" s="1"/>
  <c r="B157" i="65"/>
  <c r="A157" i="65" s="1"/>
  <c r="O156" i="65"/>
  <c r="S156" i="65" s="1" a="1"/>
  <c r="S156" i="65" s="1"/>
  <c r="B156" i="65"/>
  <c r="A156" i="65" s="1"/>
  <c r="S155" i="65" a="1"/>
  <c r="S155" i="65" s="1"/>
  <c r="R155" i="65" a="1"/>
  <c r="R155" i="65" s="1"/>
  <c r="Q155" i="65" a="1"/>
  <c r="Q155" i="65" s="1"/>
  <c r="O155" i="65"/>
  <c r="P155" i="65" s="1"/>
  <c r="B155" i="65"/>
  <c r="A155" i="65"/>
  <c r="S154" i="65" a="1"/>
  <c r="S154" i="65" s="1"/>
  <c r="R154" i="65"/>
  <c r="R154" i="65" a="1"/>
  <c r="Q154" i="65" a="1"/>
  <c r="Q154" i="65" s="1"/>
  <c r="O154" i="65"/>
  <c r="P154" i="65" s="1"/>
  <c r="B154" i="65"/>
  <c r="A154" i="65"/>
  <c r="R153" i="65" a="1"/>
  <c r="R153" i="65" s="1"/>
  <c r="Q153" i="65" a="1"/>
  <c r="Q153" i="65" s="1"/>
  <c r="O153" i="65"/>
  <c r="S153" i="65" s="1" a="1"/>
  <c r="S153" i="65" s="1"/>
  <c r="B153" i="65"/>
  <c r="A153" i="65"/>
  <c r="O152" i="65"/>
  <c r="B152" i="65"/>
  <c r="A152" i="65"/>
  <c r="O151" i="65"/>
  <c r="B151" i="65"/>
  <c r="A151" i="65" s="1"/>
  <c r="S150" i="65" a="1"/>
  <c r="S150" i="65" s="1"/>
  <c r="O150" i="65"/>
  <c r="R150" i="65" s="1" a="1"/>
  <c r="R150" i="65" s="1"/>
  <c r="B150" i="65"/>
  <c r="A150" i="65" s="1"/>
  <c r="S149" i="65"/>
  <c r="S149" i="65" a="1"/>
  <c r="R149" i="65" a="1"/>
  <c r="R149" i="65" s="1"/>
  <c r="Q149" i="65" a="1"/>
  <c r="Q149" i="65" s="1"/>
  <c r="O149" i="65"/>
  <c r="P149" i="65" s="1"/>
  <c r="B149" i="65"/>
  <c r="A149" i="65" s="1"/>
  <c r="S148" i="65" a="1"/>
  <c r="S148" i="65" s="1"/>
  <c r="R148" i="65"/>
  <c r="R148" i="65" a="1"/>
  <c r="Q148" i="65" a="1"/>
  <c r="Q148" i="65" s="1"/>
  <c r="O148" i="65"/>
  <c r="P148" i="65" s="1"/>
  <c r="B148" i="65"/>
  <c r="A148" i="65"/>
  <c r="R147" i="65" a="1"/>
  <c r="R147" i="65" s="1"/>
  <c r="Q147" i="65" a="1"/>
  <c r="Q147" i="65" s="1"/>
  <c r="O147" i="65"/>
  <c r="S147" i="65" s="1" a="1"/>
  <c r="S147" i="65" s="1"/>
  <c r="B147" i="65"/>
  <c r="A147" i="65" s="1"/>
  <c r="Q146" i="65" a="1"/>
  <c r="Q146" i="65" s="1"/>
  <c r="O146" i="65"/>
  <c r="B146" i="65"/>
  <c r="A146" i="65" s="1"/>
  <c r="O145" i="65"/>
  <c r="B145" i="65"/>
  <c r="A145" i="65" s="1"/>
  <c r="S144" i="65" a="1"/>
  <c r="S144" i="65" s="1"/>
  <c r="O144" i="65"/>
  <c r="R144" i="65" s="1" a="1"/>
  <c r="R144" i="65" s="1"/>
  <c r="B144" i="65"/>
  <c r="A144" i="65"/>
  <c r="S143" i="65"/>
  <c r="S143" i="65" a="1"/>
  <c r="R143" i="65" a="1"/>
  <c r="R143" i="65" s="1"/>
  <c r="Q143" i="65" a="1"/>
  <c r="Q143" i="65" s="1"/>
  <c r="O143" i="65"/>
  <c r="P143" i="65" s="1"/>
  <c r="B143" i="65"/>
  <c r="A143" i="65" s="1"/>
  <c r="S142" i="65" a="1"/>
  <c r="S142" i="65" s="1"/>
  <c r="R142" i="65" a="1"/>
  <c r="R142" i="65" s="1"/>
  <c r="Q142" i="65" a="1"/>
  <c r="Q142" i="65" s="1"/>
  <c r="O142" i="65"/>
  <c r="P142" i="65" s="1"/>
  <c r="B142" i="65"/>
  <c r="A142" i="65"/>
  <c r="R141" i="65" a="1"/>
  <c r="R141" i="65" s="1"/>
  <c r="Q141" i="65"/>
  <c r="Q141" i="65" a="1"/>
  <c r="O141" i="65"/>
  <c r="S141" i="65" s="1" a="1"/>
  <c r="S141" i="65" s="1"/>
  <c r="B141" i="65"/>
  <c r="A141" i="65" s="1"/>
  <c r="P140" i="65"/>
  <c r="O140" i="65"/>
  <c r="B140" i="65"/>
  <c r="A140" i="65" s="1"/>
  <c r="O139" i="65"/>
  <c r="B139" i="65"/>
  <c r="A139" i="65" s="1"/>
  <c r="S138" i="65" a="1"/>
  <c r="S138" i="65" s="1"/>
  <c r="O138" i="65"/>
  <c r="R138" i="65" s="1" a="1"/>
  <c r="R138" i="65" s="1"/>
  <c r="B138" i="65"/>
  <c r="A138" i="65"/>
  <c r="S137" i="65" a="1"/>
  <c r="S137" i="65" s="1"/>
  <c r="R137" i="65" a="1"/>
  <c r="R137" i="65" s="1"/>
  <c r="Q137" i="65" a="1"/>
  <c r="Q137" i="65" s="1"/>
  <c r="O137" i="65"/>
  <c r="P137" i="65" s="1"/>
  <c r="B137" i="65"/>
  <c r="A137" i="65"/>
  <c r="S136" i="65" a="1"/>
  <c r="S136" i="65" s="1"/>
  <c r="R136" i="65"/>
  <c r="R136" i="65" a="1"/>
  <c r="Q136" i="65" a="1"/>
  <c r="Q136" i="65" s="1"/>
  <c r="O136" i="65"/>
  <c r="P136" i="65" s="1"/>
  <c r="B136" i="65"/>
  <c r="A136" i="65" s="1"/>
  <c r="R135" i="65" a="1"/>
  <c r="R135" i="65" s="1"/>
  <c r="Q135" i="65" a="1"/>
  <c r="Q135" i="65" s="1"/>
  <c r="O135" i="65"/>
  <c r="B135" i="65"/>
  <c r="A135" i="65"/>
  <c r="O134" i="65"/>
  <c r="B134" i="65"/>
  <c r="A134" i="65" s="1"/>
  <c r="O133" i="65"/>
  <c r="B133" i="65"/>
  <c r="A133" i="65"/>
  <c r="S132" i="65" a="1"/>
  <c r="S132" i="65" s="1"/>
  <c r="O132" i="65"/>
  <c r="R132" i="65" s="1" a="1"/>
  <c r="R132" i="65" s="1"/>
  <c r="B132" i="65"/>
  <c r="A132" i="65"/>
  <c r="S131" i="65" a="1"/>
  <c r="S131" i="65" s="1"/>
  <c r="R131" i="65" a="1"/>
  <c r="R131" i="65" s="1"/>
  <c r="Q131" i="65" a="1"/>
  <c r="Q131" i="65" s="1"/>
  <c r="O131" i="65"/>
  <c r="P131" i="65" s="1"/>
  <c r="B131" i="65"/>
  <c r="A131" i="65" s="1"/>
  <c r="S130" i="65" a="1"/>
  <c r="S130" i="65" s="1"/>
  <c r="R130" i="65"/>
  <c r="R130" i="65" a="1"/>
  <c r="Q130" i="65" a="1"/>
  <c r="Q130" i="65" s="1"/>
  <c r="O130" i="65"/>
  <c r="P130" i="65" s="1"/>
  <c r="B130" i="65"/>
  <c r="A130" i="65" s="1"/>
  <c r="O129" i="65"/>
  <c r="B129" i="65"/>
  <c r="A129" i="65" s="1"/>
  <c r="Q128" i="65" a="1"/>
  <c r="Q128" i="65" s="1"/>
  <c r="O128" i="65"/>
  <c r="B128" i="65"/>
  <c r="A128" i="65"/>
  <c r="O127" i="65"/>
  <c r="B127" i="65"/>
  <c r="A127" i="65"/>
  <c r="S126" i="65" a="1"/>
  <c r="S126" i="65" s="1"/>
  <c r="O126" i="65"/>
  <c r="B126" i="65"/>
  <c r="A126" i="65"/>
  <c r="S125" i="65" a="1"/>
  <c r="S125" i="65" s="1"/>
  <c r="R125" i="65" a="1"/>
  <c r="R125" i="65" s="1"/>
  <c r="Q125" i="65" a="1"/>
  <c r="Q125" i="65" s="1"/>
  <c r="O125" i="65"/>
  <c r="P125" i="65" s="1"/>
  <c r="B125" i="65"/>
  <c r="A125" i="65" s="1"/>
  <c r="S124" i="65" a="1"/>
  <c r="S124" i="65" s="1"/>
  <c r="R124" i="65"/>
  <c r="R124" i="65" a="1"/>
  <c r="Q124" i="65" a="1"/>
  <c r="Q124" i="65" s="1"/>
  <c r="O124" i="65"/>
  <c r="P124" i="65" s="1"/>
  <c r="B124" i="65"/>
  <c r="A124" i="65" s="1"/>
  <c r="S123" i="65" a="1"/>
  <c r="S123" i="65" s="1"/>
  <c r="Q123" i="65" a="1"/>
  <c r="Q123" i="65" s="1"/>
  <c r="O123" i="65"/>
  <c r="P123" i="65" s="1"/>
  <c r="B123" i="65"/>
  <c r="A123" i="65" s="1"/>
  <c r="R122" i="65" a="1"/>
  <c r="R122" i="65" s="1"/>
  <c r="Q122" i="65" a="1"/>
  <c r="Q122" i="65" s="1"/>
  <c r="P122" i="65"/>
  <c r="O122" i="65"/>
  <c r="S122" i="65" s="1" a="1"/>
  <c r="S122" i="65" s="1"/>
  <c r="B122" i="65"/>
  <c r="A122" i="65"/>
  <c r="O121" i="65"/>
  <c r="B121" i="65"/>
  <c r="A121" i="65" s="1"/>
  <c r="O120" i="65"/>
  <c r="B120" i="65"/>
  <c r="A120" i="65"/>
  <c r="S119" i="65"/>
  <c r="S119" i="65" a="1"/>
  <c r="R119" i="65" a="1"/>
  <c r="R119" i="65" s="1"/>
  <c r="Q119" i="65" a="1"/>
  <c r="Q119" i="65" s="1"/>
  <c r="O119" i="65"/>
  <c r="P119" i="65" s="1"/>
  <c r="B119" i="65"/>
  <c r="A119" i="65"/>
  <c r="S118" i="65" a="1"/>
  <c r="S118" i="65" s="1"/>
  <c r="R118" i="65" a="1"/>
  <c r="R118" i="65" s="1"/>
  <c r="Q118" i="65" a="1"/>
  <c r="Q118" i="65" s="1"/>
  <c r="O118" i="65"/>
  <c r="P118" i="65" s="1"/>
  <c r="B118" i="65"/>
  <c r="A118" i="65" s="1"/>
  <c r="R117" i="65" a="1"/>
  <c r="R117" i="65" s="1"/>
  <c r="O117" i="65"/>
  <c r="P117" i="65" s="1"/>
  <c r="B117" i="65"/>
  <c r="A117" i="65" s="1"/>
  <c r="O116" i="65"/>
  <c r="B116" i="65"/>
  <c r="A116" i="65" s="1"/>
  <c r="S115" i="65" a="1"/>
  <c r="S115" i="65" s="1"/>
  <c r="O115" i="65"/>
  <c r="B115" i="65"/>
  <c r="A115" i="65" s="1"/>
  <c r="R114" i="65" a="1"/>
  <c r="R114" i="65" s="1"/>
  <c r="O114" i="65"/>
  <c r="B114" i="65"/>
  <c r="A114" i="65"/>
  <c r="S113" i="65" a="1"/>
  <c r="S113" i="65" s="1"/>
  <c r="R113" i="65" a="1"/>
  <c r="R113" i="65" s="1"/>
  <c r="Q113" i="65" a="1"/>
  <c r="Q113" i="65" s="1"/>
  <c r="O113" i="65"/>
  <c r="P113" i="65" s="1"/>
  <c r="B113" i="65"/>
  <c r="A113" i="65" s="1"/>
  <c r="O112" i="65"/>
  <c r="B112" i="65"/>
  <c r="A112" i="65" s="1"/>
  <c r="S111" i="65" a="1"/>
  <c r="S111" i="65" s="1"/>
  <c r="Q111" i="65" a="1"/>
  <c r="Q111" i="65" s="1"/>
  <c r="O111" i="65"/>
  <c r="P111" i="65" s="1"/>
  <c r="B111" i="65"/>
  <c r="A111" i="65" s="1"/>
  <c r="B110" i="65"/>
  <c r="A110" i="65"/>
  <c r="B109" i="65"/>
  <c r="A109" i="65" s="1"/>
  <c r="B108" i="65"/>
  <c r="A108" i="65" s="1"/>
  <c r="B107" i="65"/>
  <c r="A107" i="65" s="1"/>
  <c r="B106" i="65"/>
  <c r="A106" i="65"/>
  <c r="B105" i="65"/>
  <c r="A105" i="65"/>
  <c r="B104" i="65"/>
  <c r="A104" i="65"/>
  <c r="B103" i="65"/>
  <c r="A103" i="65"/>
  <c r="B102" i="65"/>
  <c r="O101" i="65"/>
  <c r="P101" i="65" s="1"/>
  <c r="B101" i="65"/>
  <c r="A101" i="65" s="1"/>
  <c r="O100" i="65"/>
  <c r="P100" i="65" s="1"/>
  <c r="B100" i="65"/>
  <c r="A100" i="65" s="1"/>
  <c r="B99" i="65"/>
  <c r="A99" i="65" s="1"/>
  <c r="P98" i="65"/>
  <c r="R98" i="65" a="1"/>
  <c r="R98" i="65" s="1"/>
  <c r="B98" i="65"/>
  <c r="A98" i="65" s="1"/>
  <c r="R97" i="65" a="1"/>
  <c r="R97" i="65" s="1"/>
  <c r="O97" i="65"/>
  <c r="P97" i="65" s="1"/>
  <c r="B97" i="65"/>
  <c r="A97" i="65"/>
  <c r="O96" i="65"/>
  <c r="P96" i="65" s="1"/>
  <c r="B96" i="65"/>
  <c r="A96" i="65" s="1"/>
  <c r="R95" i="65" a="1"/>
  <c r="R95" i="65" s="1"/>
  <c r="O95" i="65"/>
  <c r="P95" i="65" s="1"/>
  <c r="B95" i="65"/>
  <c r="A95" i="65" s="1"/>
  <c r="P94" i="65"/>
  <c r="B94" i="65"/>
  <c r="A94" i="65"/>
  <c r="O93" i="65"/>
  <c r="P93" i="65" s="1"/>
  <c r="B93" i="65"/>
  <c r="A93" i="65" s="1"/>
  <c r="O92" i="65"/>
  <c r="B92" i="65"/>
  <c r="A92" i="65" s="1"/>
  <c r="R91" i="65" a="1"/>
  <c r="R91" i="65" s="1"/>
  <c r="O91" i="65"/>
  <c r="P91" i="65" s="1"/>
  <c r="B91" i="65"/>
  <c r="A91" i="65" s="1"/>
  <c r="O90" i="65"/>
  <c r="P90" i="65" s="1"/>
  <c r="B90" i="65"/>
  <c r="A90" i="65" s="1"/>
  <c r="O89" i="65"/>
  <c r="P89" i="65" s="1"/>
  <c r="B89" i="65"/>
  <c r="A89" i="65" s="1"/>
  <c r="R88" i="65" a="1"/>
  <c r="R88" i="65" s="1"/>
  <c r="P88" i="65"/>
  <c r="B88" i="65"/>
  <c r="A88" i="65"/>
  <c r="P87" i="65"/>
  <c r="B87" i="65"/>
  <c r="A87" i="65" s="1"/>
  <c r="R86" i="65" a="1"/>
  <c r="R86" i="65" s="1"/>
  <c r="O86" i="65"/>
  <c r="B86" i="65"/>
  <c r="A86" i="65" s="1"/>
  <c r="O85" i="65"/>
  <c r="P85" i="65" s="1"/>
  <c r="B85" i="65"/>
  <c r="A85" i="65" s="1"/>
  <c r="O84" i="65"/>
  <c r="P84" i="65" s="1"/>
  <c r="B84" i="65"/>
  <c r="A84" i="65" s="1"/>
  <c r="O83" i="65"/>
  <c r="P83" i="65" s="1"/>
  <c r="B83" i="65"/>
  <c r="A83" i="65" s="1"/>
  <c r="P82" i="65"/>
  <c r="B82" i="65"/>
  <c r="B81" i="65"/>
  <c r="B80" i="65"/>
  <c r="A80" i="65" s="1"/>
  <c r="B79" i="65"/>
  <c r="A79" i="65"/>
  <c r="B78" i="65"/>
  <c r="A78" i="65"/>
  <c r="B77" i="65"/>
  <c r="A77" i="65"/>
  <c r="B76" i="65"/>
  <c r="A76" i="65"/>
  <c r="B75" i="65"/>
  <c r="A75" i="65" s="1"/>
  <c r="B74" i="65"/>
  <c r="A74" i="65"/>
  <c r="B73" i="65"/>
  <c r="A73" i="65"/>
  <c r="B72" i="65"/>
  <c r="A72" i="65" s="1"/>
  <c r="B71" i="65"/>
  <c r="A71" i="65"/>
  <c r="B70" i="65"/>
  <c r="B69" i="65"/>
  <c r="A69" i="65"/>
  <c r="B68" i="65"/>
  <c r="A68" i="65"/>
  <c r="B67" i="65"/>
  <c r="A67" i="65" s="1"/>
  <c r="B66" i="65"/>
  <c r="A66" i="65" s="1"/>
  <c r="B65" i="65"/>
  <c r="A65" i="65" s="1"/>
  <c r="B64" i="65"/>
  <c r="A64" i="65" s="1"/>
  <c r="B63" i="65"/>
  <c r="A63" i="65"/>
  <c r="B62" i="65"/>
  <c r="A62" i="65"/>
  <c r="B61" i="65"/>
  <c r="A61" i="65" s="1"/>
  <c r="B60" i="65"/>
  <c r="A60" i="65" s="1"/>
  <c r="B59" i="65"/>
  <c r="B58" i="65"/>
  <c r="A58" i="65" s="1"/>
  <c r="B57" i="65"/>
  <c r="A57" i="65"/>
  <c r="B56" i="65"/>
  <c r="A56" i="65"/>
  <c r="B55" i="65"/>
  <c r="A55" i="65" s="1"/>
  <c r="B54" i="65"/>
  <c r="A54" i="65"/>
  <c r="B53" i="65"/>
  <c r="A53" i="65" s="1"/>
  <c r="B52" i="65"/>
  <c r="A52" i="65" s="1"/>
  <c r="B51" i="65"/>
  <c r="A51" i="65" s="1"/>
  <c r="B50" i="65"/>
  <c r="A50" i="65" s="1"/>
  <c r="B49" i="65"/>
  <c r="A49" i="65" s="1"/>
  <c r="B48" i="65"/>
  <c r="B47" i="65"/>
  <c r="A47" i="65" s="1"/>
  <c r="B46" i="65"/>
  <c r="A46" i="65" s="1"/>
  <c r="B45" i="65"/>
  <c r="A45" i="65"/>
  <c r="B44" i="65"/>
  <c r="A44" i="65"/>
  <c r="B43" i="65"/>
  <c r="A43" i="65" s="1"/>
  <c r="B42" i="65"/>
  <c r="A42" i="65" s="1"/>
  <c r="B41" i="65"/>
  <c r="A41" i="65"/>
  <c r="B40" i="65"/>
  <c r="A40" i="65" s="1"/>
  <c r="B39" i="65"/>
  <c r="A39" i="65"/>
  <c r="B38" i="65"/>
  <c r="A38" i="65" s="1"/>
  <c r="B37" i="65"/>
  <c r="O36" i="65"/>
  <c r="B36" i="65"/>
  <c r="B35" i="65"/>
  <c r="O34" i="65"/>
  <c r="S34" i="65" s="1" a="1"/>
  <c r="S34" i="65" s="1"/>
  <c r="B34" i="65"/>
  <c r="B33" i="65"/>
  <c r="A33" i="65"/>
  <c r="B32" i="65"/>
  <c r="A32" i="65" s="1"/>
  <c r="B31" i="65"/>
  <c r="A31" i="65" s="1"/>
  <c r="B30" i="65"/>
  <c r="A30" i="65"/>
  <c r="B29" i="65"/>
  <c r="A29" i="65" s="1"/>
  <c r="B28" i="65"/>
  <c r="B27" i="65"/>
  <c r="A27" i="65" s="1"/>
  <c r="B26" i="65"/>
  <c r="B25" i="65"/>
  <c r="A25" i="65" s="1"/>
  <c r="B24" i="65"/>
  <c r="A24" i="65" s="1"/>
  <c r="B23" i="65"/>
  <c r="O22" i="65"/>
  <c r="B22" i="65"/>
  <c r="A22" i="65"/>
  <c r="O21" i="65"/>
  <c r="R21" i="65" s="1" a="1"/>
  <c r="R21" i="65" s="1"/>
  <c r="B21" i="65"/>
  <c r="A21" i="65"/>
  <c r="B20" i="65"/>
  <c r="B19" i="65"/>
  <c r="A19" i="65" s="1"/>
  <c r="B18" i="65"/>
  <c r="B17" i="65"/>
  <c r="A17" i="65"/>
  <c r="B16" i="65"/>
  <c r="A16" i="65"/>
  <c r="B15" i="65"/>
  <c r="B14" i="65"/>
  <c r="A14" i="65" s="1"/>
  <c r="B13" i="65"/>
  <c r="A13" i="65" s="1"/>
  <c r="B12" i="65"/>
  <c r="A12" i="65" s="1"/>
  <c r="B11" i="65"/>
  <c r="A11" i="65" s="1"/>
  <c r="B10" i="65"/>
  <c r="B9" i="65"/>
  <c r="A9" i="65"/>
  <c r="B8" i="65"/>
  <c r="A8" i="65" s="1"/>
  <c r="B7" i="65"/>
  <c r="A7" i="65" s="1"/>
  <c r="B6" i="65"/>
  <c r="A6" i="65" s="1"/>
  <c r="B5" i="65"/>
  <c r="A5" i="65" s="1"/>
  <c r="B4" i="65"/>
  <c r="A4" i="65" s="1"/>
  <c r="K5" i="36"/>
  <c r="L5" i="36" s="1"/>
  <c r="K6" i="36"/>
  <c r="L6" i="36" s="1"/>
  <c r="K7" i="36"/>
  <c r="L7" i="36" s="1"/>
  <c r="K8" i="36"/>
  <c r="N8" i="36" s="1"/>
  <c r="O3" i="43"/>
  <c r="O2" i="43"/>
  <c r="N46" i="43"/>
  <c r="O46" i="43" s="1"/>
  <c r="N47" i="43"/>
  <c r="O47" i="43" s="1"/>
  <c r="N48" i="43"/>
  <c r="O48" i="43" s="1"/>
  <c r="N49" i="43"/>
  <c r="O49" i="43" s="1"/>
  <c r="N50" i="43"/>
  <c r="O50" i="43" s="1"/>
  <c r="F51" i="43"/>
  <c r="G51" i="43"/>
  <c r="I51" i="43"/>
  <c r="S21" i="65" l="1" a="1"/>
  <c r="S21" i="65" s="1"/>
  <c r="Q70" i="66" a="1"/>
  <c r="Q70" i="66" s="1"/>
  <c r="Q67" i="66" a="1"/>
  <c r="Q67" i="66" s="1"/>
  <c r="Q64" i="66" a="1"/>
  <c r="Q64" i="66" s="1"/>
  <c r="Q61" i="66" a="1"/>
  <c r="Q61" i="66" s="1"/>
  <c r="Q58" i="66" a="1"/>
  <c r="Q58" i="66" s="1"/>
  <c r="Q55" i="66" a="1"/>
  <c r="Q55" i="66" s="1"/>
  <c r="Q52" i="66" a="1"/>
  <c r="Q52" i="66" s="1"/>
  <c r="Q49" i="66" a="1"/>
  <c r="Q49" i="66" s="1"/>
  <c r="Q46" i="66" a="1"/>
  <c r="Q46" i="66" s="1"/>
  <c r="Q43" i="66" a="1"/>
  <c r="Q43" i="66" s="1"/>
  <c r="Q40" i="66" a="1"/>
  <c r="Q40" i="66" s="1"/>
  <c r="Q37" i="66" a="1"/>
  <c r="Q37" i="66" s="1"/>
  <c r="Q34" i="66" a="1"/>
  <c r="Q34" i="66" s="1"/>
  <c r="Q31" i="66" a="1"/>
  <c r="Q31" i="66" s="1"/>
  <c r="R69" i="66" a="1"/>
  <c r="R69" i="66" s="1"/>
  <c r="R66" i="66" a="1"/>
  <c r="R66" i="66" s="1"/>
  <c r="R63" i="66" a="1"/>
  <c r="R63" i="66" s="1"/>
  <c r="R60" i="66" a="1"/>
  <c r="R60" i="66" s="1"/>
  <c r="R57" i="66" a="1"/>
  <c r="R57" i="66" s="1"/>
  <c r="R54" i="66" a="1"/>
  <c r="R54" i="66" s="1"/>
  <c r="R51" i="66" a="1"/>
  <c r="R51" i="66" s="1"/>
  <c r="R48" i="66" a="1"/>
  <c r="R48" i="66" s="1"/>
  <c r="R45" i="66" a="1"/>
  <c r="R45" i="66" s="1"/>
  <c r="R42" i="66" a="1"/>
  <c r="R42" i="66" s="1"/>
  <c r="R39" i="66" a="1"/>
  <c r="R39" i="66" s="1"/>
  <c r="R36" i="66" a="1"/>
  <c r="R36" i="66" s="1"/>
  <c r="R33" i="66" a="1"/>
  <c r="R33" i="66" s="1"/>
  <c r="R30" i="66" a="1"/>
  <c r="R30" i="66" s="1"/>
  <c r="S70" i="66" a="1"/>
  <c r="S70" i="66" s="1"/>
  <c r="S67" i="66" a="1"/>
  <c r="S67" i="66" s="1"/>
  <c r="S64" i="66" a="1"/>
  <c r="S64" i="66" s="1"/>
  <c r="S61" i="66" a="1"/>
  <c r="S61" i="66" s="1"/>
  <c r="S58" i="66" a="1"/>
  <c r="S58" i="66" s="1"/>
  <c r="S55" i="66" a="1"/>
  <c r="S55" i="66" s="1"/>
  <c r="S52" i="66" a="1"/>
  <c r="S52" i="66" s="1"/>
  <c r="S49" i="66" a="1"/>
  <c r="S49" i="66" s="1"/>
  <c r="S46" i="66" a="1"/>
  <c r="S46" i="66" s="1"/>
  <c r="S43" i="66" a="1"/>
  <c r="S43" i="66" s="1"/>
  <c r="S40" i="66" a="1"/>
  <c r="S40" i="66" s="1"/>
  <c r="S37" i="66" a="1"/>
  <c r="S37" i="66" s="1"/>
  <c r="S34" i="66" a="1"/>
  <c r="S34" i="66" s="1"/>
  <c r="S31" i="66" a="1"/>
  <c r="S31" i="66" s="1"/>
  <c r="Q104" i="66" a="1"/>
  <c r="Q104" i="66" s="1"/>
  <c r="Q106" i="66" a="1"/>
  <c r="Q106" i="66" s="1"/>
  <c r="R106" i="66" a="1"/>
  <c r="R106" i="66" s="1"/>
  <c r="S154" i="66" a="1"/>
  <c r="S154" i="66" s="1"/>
  <c r="Q143" i="66" a="1"/>
  <c r="Q143" i="66" s="1"/>
  <c r="S136" i="66" a="1"/>
  <c r="S136" i="66" s="1"/>
  <c r="Q110" i="66" a="1"/>
  <c r="Q110" i="66" s="1"/>
  <c r="S97" i="66" a="1"/>
  <c r="S97" i="66" s="1"/>
  <c r="S199" i="66" a="1"/>
  <c r="S199" i="66" s="1"/>
  <c r="S196" i="66" a="1"/>
  <c r="S196" i="66" s="1"/>
  <c r="S193" i="66" a="1"/>
  <c r="S193" i="66" s="1"/>
  <c r="S190" i="66" a="1"/>
  <c r="S190" i="66" s="1"/>
  <c r="S187" i="66" a="1"/>
  <c r="S187" i="66" s="1"/>
  <c r="S184" i="66" a="1"/>
  <c r="S184" i="66" s="1"/>
  <c r="S181" i="66" a="1"/>
  <c r="S181" i="66" s="1"/>
  <c r="S144" i="66" a="1"/>
  <c r="S144" i="66" s="1"/>
  <c r="P143" i="66"/>
  <c r="R141" i="66" a="1"/>
  <c r="R141" i="66" s="1"/>
  <c r="Q112" i="66" a="1"/>
  <c r="Q112" i="66" s="1"/>
  <c r="R112" i="66" a="1"/>
  <c r="R112" i="66" s="1"/>
  <c r="P110" i="66"/>
  <c r="R101" i="66" a="1"/>
  <c r="R101" i="66" s="1"/>
  <c r="Q91" i="66" a="1"/>
  <c r="Q91" i="66" s="1"/>
  <c r="R91" i="66" a="1"/>
  <c r="R91" i="66" s="1"/>
  <c r="Q85" i="66" a="1"/>
  <c r="Q85" i="66" s="1"/>
  <c r="R85" i="66" a="1"/>
  <c r="R85" i="66" s="1"/>
  <c r="Q79" i="66" a="1"/>
  <c r="Q79" i="66" s="1"/>
  <c r="R79" i="66" a="1"/>
  <c r="R79" i="66" s="1"/>
  <c r="Q73" i="66" a="1"/>
  <c r="Q73" i="66" s="1"/>
  <c r="R73" i="66" a="1"/>
  <c r="R73" i="66" s="1"/>
  <c r="S157" i="66" a="1"/>
  <c r="S157" i="66" s="1"/>
  <c r="R154" i="66" a="1"/>
  <c r="R154" i="66" s="1"/>
  <c r="S139" i="66" a="1"/>
  <c r="S139" i="66" s="1"/>
  <c r="R136" i="66" a="1"/>
  <c r="R136" i="66" s="1"/>
  <c r="Q97" i="66" a="1"/>
  <c r="Q97" i="66" s="1"/>
  <c r="R97" i="66" a="1"/>
  <c r="R97" i="66" s="1"/>
  <c r="R199" i="66" a="1"/>
  <c r="R199" i="66" s="1"/>
  <c r="R196" i="66" a="1"/>
  <c r="R196" i="66" s="1"/>
  <c r="R193" i="66" a="1"/>
  <c r="R193" i="66" s="1"/>
  <c r="R190" i="66" a="1"/>
  <c r="R190" i="66" s="1"/>
  <c r="R187" i="66" a="1"/>
  <c r="R187" i="66" s="1"/>
  <c r="R184" i="66" a="1"/>
  <c r="R184" i="66" s="1"/>
  <c r="R181" i="66" a="1"/>
  <c r="R181" i="66" s="1"/>
  <c r="Q154" i="66" a="1"/>
  <c r="Q154" i="66" s="1"/>
  <c r="R144" i="66" a="1"/>
  <c r="R144" i="66" s="1"/>
  <c r="Q141" i="66" a="1"/>
  <c r="Q141" i="66" s="1"/>
  <c r="Q136" i="66" a="1"/>
  <c r="Q136" i="66" s="1"/>
  <c r="S129" i="66" a="1"/>
  <c r="S129" i="66" s="1"/>
  <c r="R107" i="66" a="1"/>
  <c r="R107" i="66" s="1"/>
  <c r="Q101" i="66" a="1"/>
  <c r="Q101" i="66" s="1"/>
  <c r="R157" i="66" a="1"/>
  <c r="R157" i="66" s="1"/>
  <c r="S155" i="66" a="1"/>
  <c r="S155" i="66" s="1"/>
  <c r="R152" i="66" a="1"/>
  <c r="R152" i="66" s="1"/>
  <c r="R139" i="66" a="1"/>
  <c r="R139" i="66" s="1"/>
  <c r="S137" i="66" a="1"/>
  <c r="S137" i="66" s="1"/>
  <c r="R134" i="66" a="1"/>
  <c r="R134" i="66" s="1"/>
  <c r="Q103" i="66" a="1"/>
  <c r="Q103" i="66" s="1"/>
  <c r="R103" i="66" a="1"/>
  <c r="R103" i="66" s="1"/>
  <c r="P101" i="66"/>
  <c r="Q199" i="66" a="1"/>
  <c r="Q199" i="66" s="1"/>
  <c r="S197" i="66" a="1"/>
  <c r="S197" i="66" s="1"/>
  <c r="Q196" i="66" a="1"/>
  <c r="Q196" i="66" s="1"/>
  <c r="S194" i="66" a="1"/>
  <c r="S194" i="66" s="1"/>
  <c r="Q193" i="66" a="1"/>
  <c r="Q193" i="66" s="1"/>
  <c r="S191" i="66" a="1"/>
  <c r="S191" i="66" s="1"/>
  <c r="Q190" i="66" a="1"/>
  <c r="Q190" i="66" s="1"/>
  <c r="S188" i="66" a="1"/>
  <c r="S188" i="66" s="1"/>
  <c r="Q187" i="66" a="1"/>
  <c r="Q187" i="66" s="1"/>
  <c r="S185" i="66" a="1"/>
  <c r="S185" i="66" s="1"/>
  <c r="Q184" i="66" a="1"/>
  <c r="Q184" i="66" s="1"/>
  <c r="S182" i="66" a="1"/>
  <c r="S182" i="66" s="1"/>
  <c r="Q181" i="66" a="1"/>
  <c r="Q181" i="66" s="1"/>
  <c r="Q157" i="66" a="1"/>
  <c r="Q157" i="66" s="1"/>
  <c r="S150" i="66" a="1"/>
  <c r="S150" i="66" s="1"/>
  <c r="Q144" i="66" a="1"/>
  <c r="Q144" i="66" s="1"/>
  <c r="Q139" i="66" a="1"/>
  <c r="Q139" i="66" s="1"/>
  <c r="S132" i="66" a="1"/>
  <c r="S132" i="66" s="1"/>
  <c r="S123" i="66" a="1"/>
  <c r="S123" i="66" s="1"/>
  <c r="S117" i="66" a="1"/>
  <c r="S117" i="66" s="1"/>
  <c r="S94" i="66" a="1"/>
  <c r="S94" i="66" s="1"/>
  <c r="S88" i="66" a="1"/>
  <c r="S88" i="66" s="1"/>
  <c r="S82" i="66" a="1"/>
  <c r="S82" i="66" s="1"/>
  <c r="S76" i="66" a="1"/>
  <c r="S76" i="66" s="1"/>
  <c r="S158" i="66" a="1"/>
  <c r="S158" i="66" s="1"/>
  <c r="R155" i="66" a="1"/>
  <c r="R155" i="66" s="1"/>
  <c r="S145" i="66" a="1"/>
  <c r="S145" i="66" s="1"/>
  <c r="S140" i="66" a="1"/>
  <c r="S140" i="66" s="1"/>
  <c r="R137" i="66" a="1"/>
  <c r="R137" i="66" s="1"/>
  <c r="R125" i="66" a="1"/>
  <c r="R125" i="66" s="1"/>
  <c r="R119" i="66" a="1"/>
  <c r="R119" i="66" s="1"/>
  <c r="Q109" i="66" a="1"/>
  <c r="Q109" i="66" s="1"/>
  <c r="R109" i="66" a="1"/>
  <c r="R109" i="66" s="1"/>
  <c r="P107" i="66"/>
  <c r="R194" i="66" a="1"/>
  <c r="R194" i="66" s="1"/>
  <c r="R191" i="66" a="1"/>
  <c r="R191" i="66" s="1"/>
  <c r="R188" i="66" a="1"/>
  <c r="R188" i="66" s="1"/>
  <c r="R185" i="66" a="1"/>
  <c r="R185" i="66" s="1"/>
  <c r="R182" i="66" a="1"/>
  <c r="R182" i="66" s="1"/>
  <c r="R150" i="66" a="1"/>
  <c r="R150" i="66" s="1"/>
  <c r="R132" i="66" a="1"/>
  <c r="R132" i="66" s="1"/>
  <c r="R123" i="66" a="1"/>
  <c r="R123" i="66" s="1"/>
  <c r="R117" i="66" a="1"/>
  <c r="R117" i="66" s="1"/>
  <c r="Q94" i="66" a="1"/>
  <c r="Q94" i="66" s="1"/>
  <c r="R94" i="66" a="1"/>
  <c r="R94" i="66" s="1"/>
  <c r="Q88" i="66" a="1"/>
  <c r="Q88" i="66" s="1"/>
  <c r="R88" i="66" a="1"/>
  <c r="R88" i="66" s="1"/>
  <c r="Q82" i="66" a="1"/>
  <c r="Q82" i="66" s="1"/>
  <c r="R82" i="66" a="1"/>
  <c r="R82" i="66" s="1"/>
  <c r="Q76" i="66" a="1"/>
  <c r="Q76" i="66" s="1"/>
  <c r="R76" i="66" a="1"/>
  <c r="R76" i="66" s="1"/>
  <c r="R197" i="66" a="1"/>
  <c r="R197" i="66" s="1"/>
  <c r="Q155" i="66" a="1"/>
  <c r="Q155" i="66" s="1"/>
  <c r="R145" i="66" a="1"/>
  <c r="R145" i="66" s="1"/>
  <c r="Q137" i="66" a="1"/>
  <c r="Q137" i="66" s="1"/>
  <c r="Q125" i="66" a="1"/>
  <c r="Q125" i="66" s="1"/>
  <c r="Q119" i="66" a="1"/>
  <c r="Q119" i="66" s="1"/>
  <c r="Q115" i="66" a="1"/>
  <c r="Q115" i="66" s="1"/>
  <c r="R115" i="66" a="1"/>
  <c r="R115" i="66" s="1"/>
  <c r="P125" i="66"/>
  <c r="Q123" i="66" a="1"/>
  <c r="Q123" i="66" s="1"/>
  <c r="P119" i="66"/>
  <c r="Q117" i="66" a="1"/>
  <c r="Q117" i="66" s="1"/>
  <c r="S106" i="66" a="1"/>
  <c r="S106" i="66" s="1"/>
  <c r="Q100" i="66" a="1"/>
  <c r="Q100" i="66" s="1"/>
  <c r="R100" i="66" a="1"/>
  <c r="R100" i="66" s="1"/>
  <c r="P98" i="66"/>
  <c r="O16" i="66"/>
  <c r="O13" i="66"/>
  <c r="O29" i="66"/>
  <c r="O11" i="66"/>
  <c r="S11" i="66" s="1" a="1"/>
  <c r="S11" i="66" s="1"/>
  <c r="O14" i="66"/>
  <c r="P14" i="66" s="1"/>
  <c r="O18" i="66"/>
  <c r="O21" i="66"/>
  <c r="O28" i="66"/>
  <c r="R28" i="66" s="1" a="1"/>
  <c r="R28" i="66" s="1"/>
  <c r="O10" i="66"/>
  <c r="R10" i="66" s="1" a="1"/>
  <c r="R10" i="66" s="1"/>
  <c r="O12" i="66"/>
  <c r="S12" i="66" s="1" a="1"/>
  <c r="S12" i="66" s="1"/>
  <c r="O15" i="66"/>
  <c r="O17" i="66"/>
  <c r="O22" i="66"/>
  <c r="O19" i="66"/>
  <c r="O20" i="66"/>
  <c r="P20" i="66" s="1"/>
  <c r="O109" i="65"/>
  <c r="O106" i="65"/>
  <c r="O110" i="65"/>
  <c r="O103" i="65"/>
  <c r="P103" i="65" s="1"/>
  <c r="O104" i="65"/>
  <c r="S104" i="65" s="1" a="1"/>
  <c r="S104" i="65" s="1"/>
  <c r="O107" i="65"/>
  <c r="O105" i="65"/>
  <c r="P105" i="65" s="1"/>
  <c r="O108" i="65"/>
  <c r="S108" i="65" s="1" a="1"/>
  <c r="S108" i="65" s="1"/>
  <c r="O54" i="65"/>
  <c r="S54" i="65" s="1" a="1"/>
  <c r="S54" i="65" s="1"/>
  <c r="O58" i="65"/>
  <c r="P58" i="65" s="1"/>
  <c r="O51" i="65"/>
  <c r="R51" i="65" s="1" a="1"/>
  <c r="R51" i="65" s="1"/>
  <c r="O48" i="65"/>
  <c r="O56" i="65"/>
  <c r="S56" i="65" s="1" a="1"/>
  <c r="S56" i="65" s="1"/>
  <c r="O52" i="65"/>
  <c r="P52" i="65" s="1"/>
  <c r="O50" i="65"/>
  <c r="S50" i="65" s="1" a="1"/>
  <c r="S50" i="65" s="1"/>
  <c r="O55" i="65"/>
  <c r="P55" i="65" s="1"/>
  <c r="O49" i="65"/>
  <c r="Q49" i="65" s="1" a="1"/>
  <c r="Q49" i="65" s="1"/>
  <c r="O53" i="65"/>
  <c r="O57" i="65"/>
  <c r="R57" i="65" s="1" a="1"/>
  <c r="R57" i="65" s="1"/>
  <c r="O65" i="65"/>
  <c r="R65" i="65" s="1" a="1"/>
  <c r="R65" i="65" s="1"/>
  <c r="O62" i="65"/>
  <c r="Q62" i="65" s="1" a="1"/>
  <c r="Q62" i="65" s="1"/>
  <c r="O66" i="65"/>
  <c r="P66" i="65" s="1"/>
  <c r="O59" i="65"/>
  <c r="P59" i="65" s="1"/>
  <c r="O63" i="65"/>
  <c r="R63" i="65" s="1" a="1"/>
  <c r="R63" i="65" s="1"/>
  <c r="O69" i="65"/>
  <c r="R69" i="65" s="1" a="1"/>
  <c r="R69" i="65" s="1"/>
  <c r="O60" i="65"/>
  <c r="S60" i="65" s="1" a="1"/>
  <c r="S60" i="65" s="1"/>
  <c r="O67" i="65"/>
  <c r="O64" i="65"/>
  <c r="P64" i="65" s="1"/>
  <c r="O68" i="65"/>
  <c r="O61" i="65"/>
  <c r="S61" i="65" s="1" a="1"/>
  <c r="S61" i="65" s="1"/>
  <c r="O43" i="65"/>
  <c r="Q43" i="65" s="1" a="1"/>
  <c r="Q43" i="65" s="1"/>
  <c r="O46" i="65"/>
  <c r="S46" i="65" s="1" a="1"/>
  <c r="S46" i="65" s="1"/>
  <c r="O39" i="65"/>
  <c r="Q39" i="65" s="1" a="1"/>
  <c r="Q39" i="65" s="1"/>
  <c r="O37" i="65"/>
  <c r="O40" i="65"/>
  <c r="S40" i="65" s="1" a="1"/>
  <c r="S40" i="65" s="1"/>
  <c r="O44" i="65"/>
  <c r="Q44" i="65" s="1" a="1"/>
  <c r="Q44" i="65" s="1"/>
  <c r="O38" i="65"/>
  <c r="Q38" i="65" s="1" a="1"/>
  <c r="Q38" i="65" s="1"/>
  <c r="O41" i="65"/>
  <c r="R41" i="65" s="1" a="1"/>
  <c r="R41" i="65" s="1"/>
  <c r="O42" i="65"/>
  <c r="P42" i="65" s="1"/>
  <c r="O47" i="65"/>
  <c r="S47" i="65" s="1" a="1"/>
  <c r="S47" i="65" s="1"/>
  <c r="O45" i="65"/>
  <c r="R45" i="65" s="1" a="1"/>
  <c r="R45" i="65" s="1"/>
  <c r="S88" i="65" a="1"/>
  <c r="S88" i="65" s="1"/>
  <c r="S92" i="65" a="1"/>
  <c r="S92" i="65" s="1"/>
  <c r="S98" i="65" a="1"/>
  <c r="S98" i="65" s="1"/>
  <c r="Q86" i="65" a="1"/>
  <c r="Q86" i="65" s="1"/>
  <c r="Q96" i="65" a="1"/>
  <c r="Q96" i="65" s="1"/>
  <c r="S29" i="66" a="1"/>
  <c r="S29" i="66" s="1"/>
  <c r="S86" i="65" a="1"/>
  <c r="S86" i="65" s="1"/>
  <c r="S93" i="65" a="1"/>
  <c r="S93" i="65" s="1"/>
  <c r="S17" i="66" a="1"/>
  <c r="S17" i="66" s="1"/>
  <c r="S22" i="65" a="1"/>
  <c r="S22" i="65" s="1"/>
  <c r="Q67" i="65" a="1"/>
  <c r="Q67" i="65" s="1"/>
  <c r="Q97" i="65" a="1"/>
  <c r="Q97" i="65" s="1"/>
  <c r="Q101" i="65" a="1"/>
  <c r="Q101" i="65" s="1"/>
  <c r="S69" i="65" a="1"/>
  <c r="S69" i="65" s="1"/>
  <c r="Q83" i="65" a="1"/>
  <c r="Q83" i="65" s="1"/>
  <c r="S67" i="65" a="1"/>
  <c r="S67" i="65" s="1"/>
  <c r="S97" i="65" a="1"/>
  <c r="S97" i="65" s="1"/>
  <c r="S89" i="65" a="1"/>
  <c r="S89" i="65" s="1"/>
  <c r="Q93" i="65" a="1"/>
  <c r="Q93" i="65" s="1"/>
  <c r="S58" i="65" a="1"/>
  <c r="S58" i="65" s="1"/>
  <c r="Q91" i="65" a="1"/>
  <c r="Q91" i="65" s="1"/>
  <c r="S84" i="65" a="1"/>
  <c r="S84" i="65" s="1"/>
  <c r="Q88" i="65" a="1"/>
  <c r="Q88" i="65" s="1"/>
  <c r="S91" i="65" a="1"/>
  <c r="S91" i="65" s="1"/>
  <c r="S65" i="65" a="1"/>
  <c r="S65" i="65" s="1"/>
  <c r="S95" i="65" a="1"/>
  <c r="S95" i="65" s="1"/>
  <c r="Q15" i="66" a="1"/>
  <c r="Q15" i="66" s="1"/>
  <c r="A50" i="66"/>
  <c r="A59" i="66"/>
  <c r="A60" i="66" s="1"/>
  <c r="O35" i="65"/>
  <c r="S35" i="65" s="1" a="1"/>
  <c r="S35" i="65" s="1"/>
  <c r="O26" i="66"/>
  <c r="Q26" i="66" s="1" a="1"/>
  <c r="Q26" i="66" s="1"/>
  <c r="O27" i="66"/>
  <c r="P27" i="66" s="1"/>
  <c r="O24" i="66"/>
  <c r="R24" i="66" s="1" a="1"/>
  <c r="R24" i="66" s="1"/>
  <c r="O25" i="66"/>
  <c r="O23" i="66"/>
  <c r="P23" i="66" s="1"/>
  <c r="O4" i="66"/>
  <c r="R4" i="66" s="1" a="1"/>
  <c r="R4" i="66" s="1"/>
  <c r="O7" i="66"/>
  <c r="O9" i="66"/>
  <c r="O5" i="66"/>
  <c r="R5" i="66" s="1" a="1"/>
  <c r="R5" i="66" s="1"/>
  <c r="O6" i="66"/>
  <c r="R6" i="66" s="1" a="1"/>
  <c r="R6" i="66" s="1"/>
  <c r="O8" i="66"/>
  <c r="P8" i="66" s="1"/>
  <c r="O102" i="65"/>
  <c r="P102" i="65" s="1"/>
  <c r="O81" i="65"/>
  <c r="Q81" i="65" s="1" a="1"/>
  <c r="Q81" i="65" s="1"/>
  <c r="O79" i="65"/>
  <c r="O76" i="65"/>
  <c r="P76" i="65" s="1"/>
  <c r="O72" i="65"/>
  <c r="O75" i="65"/>
  <c r="P75" i="65" s="1"/>
  <c r="O78" i="65"/>
  <c r="P78" i="65" s="1"/>
  <c r="O77" i="65"/>
  <c r="O74" i="65"/>
  <c r="S74" i="65" s="1" a="1"/>
  <c r="S74" i="65" s="1"/>
  <c r="O71" i="65"/>
  <c r="O70" i="65"/>
  <c r="Q70" i="65" s="1" a="1"/>
  <c r="Q70" i="65" s="1"/>
  <c r="O80" i="65"/>
  <c r="O73" i="65"/>
  <c r="P73" i="65" s="1"/>
  <c r="O27" i="65"/>
  <c r="P27" i="65" s="1"/>
  <c r="O26" i="65"/>
  <c r="G30" i="36"/>
  <c r="G31" i="36" s="1"/>
  <c r="G32" i="36" s="1"/>
  <c r="S102" i="65" a="1"/>
  <c r="S102" i="65" s="1"/>
  <c r="A10" i="66"/>
  <c r="A18" i="66"/>
  <c r="S28" i="66" a="1"/>
  <c r="S28" i="66" s="1"/>
  <c r="S18" i="66" a="1"/>
  <c r="S18" i="66" s="1"/>
  <c r="A10" i="65"/>
  <c r="R29" i="66" a="1"/>
  <c r="R29" i="66" s="1"/>
  <c r="Q29" i="66" a="1"/>
  <c r="Q29" i="66" s="1"/>
  <c r="P29" i="66"/>
  <c r="Q20" i="66" a="1"/>
  <c r="Q20" i="66" s="1"/>
  <c r="R20" i="66" a="1"/>
  <c r="R20" i="66" s="1"/>
  <c r="S26" i="66" a="1"/>
  <c r="S26" i="66" s="1"/>
  <c r="R17" i="66" a="1"/>
  <c r="R17" i="66" s="1"/>
  <c r="Q17" i="66" a="1"/>
  <c r="Q17" i="66" s="1"/>
  <c r="P17" i="66"/>
  <c r="S20" i="66" a="1"/>
  <c r="S20" i="66" s="1"/>
  <c r="R18" i="66" a="1"/>
  <c r="R18" i="66" s="1"/>
  <c r="P16" i="66"/>
  <c r="P22" i="66"/>
  <c r="Q4" i="66" a="1"/>
  <c r="Q4" i="66" s="1"/>
  <c r="Q16" i="66" a="1"/>
  <c r="Q16" i="66" s="1"/>
  <c r="Q22" i="66" a="1"/>
  <c r="Q22" i="66" s="1"/>
  <c r="R82" i="65" a="1"/>
  <c r="R82" i="65" s="1"/>
  <c r="R100" i="65" a="1"/>
  <c r="R100" i="65" s="1"/>
  <c r="S70" i="65" a="1"/>
  <c r="S70" i="65" s="1"/>
  <c r="Q78" i="65" a="1"/>
  <c r="Q78" i="65" s="1"/>
  <c r="Q75" i="65" a="1"/>
  <c r="Q75" i="65" s="1"/>
  <c r="S75" i="65" a="1"/>
  <c r="S75" i="65" s="1"/>
  <c r="S59" i="65" a="1"/>
  <c r="S59" i="65" s="1"/>
  <c r="P65" i="65"/>
  <c r="O30" i="65"/>
  <c r="P30" i="65" s="1"/>
  <c r="O31" i="65"/>
  <c r="O32" i="65"/>
  <c r="O33" i="65"/>
  <c r="P33" i="65" s="1"/>
  <c r="O29" i="65"/>
  <c r="S29" i="65" s="1" a="1"/>
  <c r="S29" i="65" s="1"/>
  <c r="O28" i="65"/>
  <c r="Q28" i="65" s="1" a="1"/>
  <c r="Q28" i="65" s="1"/>
  <c r="O23" i="65"/>
  <c r="Q23" i="65" s="1" a="1"/>
  <c r="Q23" i="65" s="1"/>
  <c r="O25" i="65"/>
  <c r="O24" i="65"/>
  <c r="P24" i="65" s="1"/>
  <c r="L8" i="36"/>
  <c r="O17" i="65"/>
  <c r="Q17" i="65" s="1" a="1"/>
  <c r="Q17" i="65" s="1"/>
  <c r="O19" i="65"/>
  <c r="Q19" i="65" s="1" a="1"/>
  <c r="Q19" i="65" s="1"/>
  <c r="O20" i="65"/>
  <c r="R20" i="65" s="1" a="1"/>
  <c r="R20" i="65" s="1"/>
  <c r="O18" i="65"/>
  <c r="S18" i="65" s="1" a="1"/>
  <c r="S18" i="65" s="1"/>
  <c r="O15" i="65"/>
  <c r="R15" i="65" s="1" a="1"/>
  <c r="R15" i="65" s="1"/>
  <c r="O16" i="65"/>
  <c r="P16" i="65" s="1"/>
  <c r="O12" i="65"/>
  <c r="P12" i="65" s="1"/>
  <c r="O13" i="65"/>
  <c r="Q13" i="65" s="1" a="1"/>
  <c r="Q13" i="65" s="1"/>
  <c r="O8" i="65"/>
  <c r="S8" i="65" s="1" a="1"/>
  <c r="S8" i="65" s="1"/>
  <c r="O9" i="65"/>
  <c r="R9" i="65" s="1" a="1"/>
  <c r="R9" i="65" s="1"/>
  <c r="O4" i="65"/>
  <c r="S4" i="65" s="1" a="1"/>
  <c r="S4" i="65" s="1"/>
  <c r="O10" i="65"/>
  <c r="S10" i="65" s="1" a="1"/>
  <c r="S10" i="65" s="1"/>
  <c r="O14" i="65"/>
  <c r="S14" i="65" s="1" a="1"/>
  <c r="S14" i="65" s="1"/>
  <c r="O6" i="65"/>
  <c r="P6" i="65" s="1"/>
  <c r="O11" i="65"/>
  <c r="P11" i="65" s="1"/>
  <c r="O5" i="65"/>
  <c r="S5" i="65" s="1" a="1"/>
  <c r="S5" i="65" s="1"/>
  <c r="O7" i="65"/>
  <c r="P7" i="65" s="1"/>
  <c r="A15" i="65"/>
  <c r="O8" i="36"/>
  <c r="N6" i="36"/>
  <c r="O6" i="36" s="1"/>
  <c r="N7" i="36"/>
  <c r="O7" i="36" s="1"/>
  <c r="S16" i="65" a="1"/>
  <c r="S16" i="65" s="1"/>
  <c r="Q20" i="65" a="1"/>
  <c r="Q20" i="65" s="1"/>
  <c r="P20" i="65"/>
  <c r="S36" i="65" a="1"/>
  <c r="S36" i="65" s="1"/>
  <c r="R36" i="65" a="1"/>
  <c r="R36" i="65" s="1"/>
  <c r="Q36" i="65" a="1"/>
  <c r="Q36" i="65" s="1"/>
  <c r="P112" i="65"/>
  <c r="S112" i="65" a="1"/>
  <c r="S112" i="65" s="1"/>
  <c r="R112" i="65" a="1"/>
  <c r="R112" i="65" s="1"/>
  <c r="Q112" i="65" a="1"/>
  <c r="Q112" i="65" s="1"/>
  <c r="Q60" i="65" a="1"/>
  <c r="Q60" i="65" s="1"/>
  <c r="S116" i="65" a="1"/>
  <c r="S116" i="65" s="1"/>
  <c r="P116" i="65"/>
  <c r="R116" i="65" a="1"/>
  <c r="R116" i="65" s="1"/>
  <c r="Q116" i="65" a="1"/>
  <c r="Q116" i="65" s="1"/>
  <c r="S48" i="65" a="1"/>
  <c r="S48" i="65" s="1"/>
  <c r="R48" i="65" a="1"/>
  <c r="R48" i="65" s="1"/>
  <c r="Q48" i="65" a="1"/>
  <c r="Q48" i="65" s="1"/>
  <c r="P36" i="65"/>
  <c r="P48" i="65"/>
  <c r="R66" i="65" a="1"/>
  <c r="R66" i="65" s="1"/>
  <c r="P99" i="65"/>
  <c r="S99" i="65" a="1"/>
  <c r="S99" i="65" s="1"/>
  <c r="Q99" i="65" a="1"/>
  <c r="Q99" i="65" s="1"/>
  <c r="R99" i="65" a="1"/>
  <c r="R99" i="65" s="1"/>
  <c r="P74" i="65"/>
  <c r="Q90" i="65" a="1"/>
  <c r="Q90" i="65" s="1"/>
  <c r="P92" i="65"/>
  <c r="Q114" i="65" a="1"/>
  <c r="Q114" i="65" s="1"/>
  <c r="P114" i="65"/>
  <c r="R126" i="65" a="1"/>
  <c r="R126" i="65" s="1"/>
  <c r="Q126" i="65" a="1"/>
  <c r="Q126" i="65" s="1"/>
  <c r="P126" i="65"/>
  <c r="S140" i="65" a="1"/>
  <c r="S140" i="65" s="1"/>
  <c r="R140" i="65" a="1"/>
  <c r="R140" i="65" s="1"/>
  <c r="P41" i="65"/>
  <c r="P47" i="65"/>
  <c r="Q74" i="65" a="1"/>
  <c r="Q74" i="65" s="1"/>
  <c r="R90" i="65" a="1"/>
  <c r="R90" i="65" s="1"/>
  <c r="Q92" i="65" a="1"/>
  <c r="Q92" i="65" s="1"/>
  <c r="R120" i="65" a="1"/>
  <c r="R120" i="65" s="1"/>
  <c r="Q120" i="65" a="1"/>
  <c r="Q120" i="65" s="1"/>
  <c r="P120" i="65"/>
  <c r="S129" i="65" a="1"/>
  <c r="S129" i="65" s="1"/>
  <c r="P129" i="65"/>
  <c r="S133" i="65" a="1"/>
  <c r="S133" i="65" s="1"/>
  <c r="R133" i="65" a="1"/>
  <c r="R133" i="65" s="1"/>
  <c r="Q133" i="65" a="1"/>
  <c r="Q133" i="65" s="1"/>
  <c r="P133" i="65"/>
  <c r="S151" i="65" a="1"/>
  <c r="S151" i="65" s="1"/>
  <c r="R151" i="65" a="1"/>
  <c r="R151" i="65" s="1"/>
  <c r="Q151" i="65" a="1"/>
  <c r="Q151" i="65" s="1"/>
  <c r="P151" i="65"/>
  <c r="S196" i="65" a="1"/>
  <c r="S196" i="65" s="1"/>
  <c r="R196" i="65" a="1"/>
  <c r="R196" i="65" s="1"/>
  <c r="Q196" i="65" a="1"/>
  <c r="Q196" i="65" s="1"/>
  <c r="Q65" i="65" a="1"/>
  <c r="Q65" i="65" s="1"/>
  <c r="Q71" i="65" a="1"/>
  <c r="Q71" i="65" s="1"/>
  <c r="R83" i="65" a="1"/>
  <c r="R83" i="65" s="1"/>
  <c r="Q85" i="65" a="1"/>
  <c r="Q85" i="65" s="1"/>
  <c r="S90" i="65" a="1"/>
  <c r="S90" i="65" s="1"/>
  <c r="R92" i="65" a="1"/>
  <c r="R92" i="65" s="1"/>
  <c r="Q94" i="65" a="1"/>
  <c r="Q94" i="65" s="1"/>
  <c r="R101" i="65" a="1"/>
  <c r="R101" i="65" s="1"/>
  <c r="Q103" i="65" a="1"/>
  <c r="Q103" i="65" s="1"/>
  <c r="S114" i="65" a="1"/>
  <c r="S114" i="65" s="1"/>
  <c r="S120" i="65" a="1"/>
  <c r="S120" i="65" s="1"/>
  <c r="Q129" i="65" a="1"/>
  <c r="Q129" i="65" s="1"/>
  <c r="Q140" i="65" a="1"/>
  <c r="Q140" i="65" s="1"/>
  <c r="S184" i="65" a="1"/>
  <c r="S184" i="65" s="1"/>
  <c r="R184" i="65" a="1"/>
  <c r="R184" i="65" s="1"/>
  <c r="Q184" i="65" a="1"/>
  <c r="Q184" i="65" s="1"/>
  <c r="P22" i="65"/>
  <c r="P34" i="65"/>
  <c r="P40" i="65"/>
  <c r="P70" i="65"/>
  <c r="S83" i="65" a="1"/>
  <c r="S83" i="65" s="1"/>
  <c r="R85" i="65" a="1"/>
  <c r="R85" i="65" s="1"/>
  <c r="Q87" i="65" a="1"/>
  <c r="Q87" i="65" s="1"/>
  <c r="R94" i="65" a="1"/>
  <c r="R94" i="65" s="1"/>
  <c r="S101" i="65" a="1"/>
  <c r="S101" i="65" s="1"/>
  <c r="R103" i="65" a="1"/>
  <c r="R103" i="65" s="1"/>
  <c r="Q105" i="65" a="1"/>
  <c r="Q105" i="65" s="1"/>
  <c r="P184" i="65"/>
  <c r="Q34" i="65" a="1"/>
  <c r="Q34" i="65" s="1"/>
  <c r="Q40" i="65" a="1"/>
  <c r="Q40" i="65" s="1"/>
  <c r="Q58" i="65" a="1"/>
  <c r="Q58" i="65" s="1"/>
  <c r="S85" i="65" a="1"/>
  <c r="S85" i="65" s="1"/>
  <c r="R109" i="65" a="1"/>
  <c r="R109" i="65" s="1"/>
  <c r="P109" i="65"/>
  <c r="S127" i="65" a="1"/>
  <c r="S127" i="65" s="1"/>
  <c r="R127" i="65" a="1"/>
  <c r="R127" i="65" s="1"/>
  <c r="P127" i="65"/>
  <c r="R129" i="65" a="1"/>
  <c r="R129" i="65" s="1"/>
  <c r="S134" i="65" a="1"/>
  <c r="S134" i="65" s="1"/>
  <c r="R134" i="65" a="1"/>
  <c r="R134" i="65" s="1"/>
  <c r="S152" i="65" a="1"/>
  <c r="S152" i="65" s="1"/>
  <c r="R152" i="65" a="1"/>
  <c r="R152" i="65" s="1"/>
  <c r="P21" i="65"/>
  <c r="P63" i="65"/>
  <c r="P69" i="65"/>
  <c r="Q73" i="65" a="1"/>
  <c r="Q73" i="65" s="1"/>
  <c r="R78" i="65" a="1"/>
  <c r="R78" i="65" s="1"/>
  <c r="Q80" i="65" a="1"/>
  <c r="Q80" i="65" s="1"/>
  <c r="R87" i="65" a="1"/>
  <c r="R87" i="65" s="1"/>
  <c r="Q89" i="65" a="1"/>
  <c r="Q89" i="65" s="1"/>
  <c r="S94" i="65" a="1"/>
  <c r="S94" i="65" s="1"/>
  <c r="R96" i="65" a="1"/>
  <c r="R96" i="65" s="1"/>
  <c r="Q98" i="65" a="1"/>
  <c r="Q98" i="65" s="1"/>
  <c r="R105" i="65" a="1"/>
  <c r="R105" i="65" s="1"/>
  <c r="Q107" i="65" a="1"/>
  <c r="Q107" i="65" s="1"/>
  <c r="Q109" i="65" a="1"/>
  <c r="Q109" i="65" s="1"/>
  <c r="R115" i="65" a="1"/>
  <c r="R115" i="65" s="1"/>
  <c r="P115" i="65"/>
  <c r="Q117" i="65" a="1"/>
  <c r="Q117" i="65" s="1"/>
  <c r="S121" i="65" a="1"/>
  <c r="S121" i="65" s="1"/>
  <c r="R121" i="65" a="1"/>
  <c r="R121" i="65" s="1"/>
  <c r="P121" i="65"/>
  <c r="Q127" i="65" a="1"/>
  <c r="Q127" i="65" s="1"/>
  <c r="P134" i="65"/>
  <c r="S145" i="65" a="1"/>
  <c r="S145" i="65" s="1"/>
  <c r="R145" i="65" a="1"/>
  <c r="R145" i="65" s="1"/>
  <c r="Q145" i="65" a="1"/>
  <c r="Q145" i="65" s="1"/>
  <c r="P145" i="65"/>
  <c r="P152" i="65"/>
  <c r="S158" i="65" a="1"/>
  <c r="S158" i="65" s="1"/>
  <c r="R158" i="65" a="1"/>
  <c r="R158" i="65" s="1"/>
  <c r="Q158" i="65" a="1"/>
  <c r="Q158" i="65" s="1"/>
  <c r="Q22" i="65" a="1"/>
  <c r="Q22" i="65" s="1"/>
  <c r="Q21" i="65" a="1"/>
  <c r="Q21" i="65" s="1"/>
  <c r="R22" i="65" a="1"/>
  <c r="R22" i="65" s="1"/>
  <c r="R34" i="65" a="1"/>
  <c r="R34" i="65" s="1"/>
  <c r="R58" i="65" a="1"/>
  <c r="R58" i="65" s="1"/>
  <c r="Q69" i="65" a="1"/>
  <c r="Q69" i="65" s="1"/>
  <c r="R70" i="65" a="1"/>
  <c r="R70" i="65" s="1"/>
  <c r="R73" i="65" a="1"/>
  <c r="R73" i="65" s="1"/>
  <c r="S78" i="65" a="1"/>
  <c r="S78" i="65" s="1"/>
  <c r="Q82" i="65" a="1"/>
  <c r="Q82" i="65" s="1"/>
  <c r="S87" i="65" a="1"/>
  <c r="S87" i="65" s="1"/>
  <c r="R89" i="65" a="1"/>
  <c r="R89" i="65" s="1"/>
  <c r="S96" i="65" a="1"/>
  <c r="S96" i="65" s="1"/>
  <c r="Q100" i="65" a="1"/>
  <c r="Q100" i="65" s="1"/>
  <c r="S105" i="65" a="1"/>
  <c r="S105" i="65" s="1"/>
  <c r="R107" i="65" a="1"/>
  <c r="R107" i="65" s="1"/>
  <c r="S109" i="65" a="1"/>
  <c r="S109" i="65" s="1"/>
  <c r="R111" i="65" a="1"/>
  <c r="R111" i="65" s="1"/>
  <c r="Q115" i="65" a="1"/>
  <c r="Q115" i="65" s="1"/>
  <c r="Q121" i="65" a="1"/>
  <c r="Q121" i="65" s="1"/>
  <c r="R123" i="65" a="1"/>
  <c r="R123" i="65" s="1"/>
  <c r="Q134" i="65" a="1"/>
  <c r="Q134" i="65" s="1"/>
  <c r="Q152" i="65" a="1"/>
  <c r="Q152" i="65" s="1"/>
  <c r="S190" i="65" a="1"/>
  <c r="S190" i="65" s="1"/>
  <c r="R190" i="65" a="1"/>
  <c r="R190" i="65" s="1"/>
  <c r="Q190" i="65" a="1"/>
  <c r="Q190" i="65" s="1"/>
  <c r="Q84" i="65" a="1"/>
  <c r="Q84" i="65" s="1"/>
  <c r="P86" i="65"/>
  <c r="Q102" i="65" a="1"/>
  <c r="Q102" i="65" s="1"/>
  <c r="P104" i="65"/>
  <c r="S117" i="65" a="1"/>
  <c r="S117" i="65" s="1"/>
  <c r="S128" i="65" a="1"/>
  <c r="S128" i="65" s="1"/>
  <c r="R128" i="65" a="1"/>
  <c r="R128" i="65" s="1"/>
  <c r="S146" i="65" a="1"/>
  <c r="S146" i="65" s="1"/>
  <c r="R146" i="65" a="1"/>
  <c r="R146" i="65" s="1"/>
  <c r="P190" i="65"/>
  <c r="Q108" i="65" a="1"/>
  <c r="Q108" i="65" s="1"/>
  <c r="R75" i="65" a="1"/>
  <c r="R75" i="65" s="1"/>
  <c r="Q77" i="65" a="1"/>
  <c r="Q77" i="65" s="1"/>
  <c r="S82" i="65" a="1"/>
  <c r="S82" i="65" s="1"/>
  <c r="R84" i="65" a="1"/>
  <c r="R84" i="65" s="1"/>
  <c r="R93" i="65" a="1"/>
  <c r="R93" i="65" s="1"/>
  <c r="Q95" i="65" a="1"/>
  <c r="Q95" i="65" s="1"/>
  <c r="S100" i="65" a="1"/>
  <c r="S100" i="65" s="1"/>
  <c r="R102" i="65" a="1"/>
  <c r="R102" i="65" s="1"/>
  <c r="P128" i="65"/>
  <c r="S135" i="65" a="1"/>
  <c r="S135" i="65" s="1"/>
  <c r="P135" i="65"/>
  <c r="S139" i="65" a="1"/>
  <c r="S139" i="65" s="1"/>
  <c r="R139" i="65" a="1"/>
  <c r="R139" i="65" s="1"/>
  <c r="Q139" i="65" a="1"/>
  <c r="Q139" i="65" s="1"/>
  <c r="P139" i="65"/>
  <c r="P146" i="65"/>
  <c r="P141" i="65"/>
  <c r="P147" i="65"/>
  <c r="P153" i="65"/>
  <c r="P157" i="65"/>
  <c r="P183" i="65"/>
  <c r="P189" i="65"/>
  <c r="P195" i="65"/>
  <c r="Q157" i="65" a="1"/>
  <c r="Q157" i="65" s="1"/>
  <c r="Q183" i="65" a="1"/>
  <c r="Q183" i="65" s="1"/>
  <c r="Q189" i="65" a="1"/>
  <c r="Q189" i="65" s="1"/>
  <c r="Q195" i="65" a="1"/>
  <c r="Q195" i="65" s="1"/>
  <c r="P132" i="65"/>
  <c r="P138" i="65"/>
  <c r="P144" i="65"/>
  <c r="P150" i="65"/>
  <c r="P156" i="65"/>
  <c r="P182" i="65"/>
  <c r="P188" i="65"/>
  <c r="P194" i="65"/>
  <c r="Q132" i="65" a="1"/>
  <c r="Q132" i="65" s="1"/>
  <c r="Q138" i="65" a="1"/>
  <c r="Q138" i="65" s="1"/>
  <c r="Q144" i="65" a="1"/>
  <c r="Q144" i="65" s="1"/>
  <c r="Q150" i="65" a="1"/>
  <c r="Q150" i="65" s="1"/>
  <c r="Q156" i="65" a="1"/>
  <c r="Q156" i="65" s="1"/>
  <c r="R157" i="65" a="1"/>
  <c r="R157" i="65" s="1"/>
  <c r="Q182" i="65" a="1"/>
  <c r="Q182" i="65" s="1"/>
  <c r="R183" i="65" a="1"/>
  <c r="R183" i="65" s="1"/>
  <c r="Q188" i="65" a="1"/>
  <c r="Q188" i="65" s="1"/>
  <c r="R189" i="65" a="1"/>
  <c r="R189" i="65" s="1"/>
  <c r="Q194" i="65" a="1"/>
  <c r="Q194" i="65" s="1"/>
  <c r="R195" i="65" a="1"/>
  <c r="R195" i="65" s="1"/>
  <c r="P187" i="65"/>
  <c r="P193" i="65"/>
  <c r="P199" i="65"/>
  <c r="R156" i="65" a="1"/>
  <c r="R156" i="65" s="1"/>
  <c r="R182" i="65" a="1"/>
  <c r="R182" i="65" s="1"/>
  <c r="R188" i="65" a="1"/>
  <c r="R188" i="65" s="1"/>
  <c r="R194" i="65" a="1"/>
  <c r="R194" i="65" s="1"/>
  <c r="Q199" i="65" a="1"/>
  <c r="Q199" i="65" s="1"/>
  <c r="P198" i="65"/>
  <c r="N5" i="36"/>
  <c r="N19" i="43"/>
  <c r="N18" i="43"/>
  <c r="N17" i="43"/>
  <c r="N16" i="43"/>
  <c r="O1" i="43"/>
  <c r="S158" i="64" a="1"/>
  <c r="S158" i="64" s="1"/>
  <c r="Q159" i="64" a="1"/>
  <c r="Q159" i="64" s="1"/>
  <c r="R159" i="64" a="1"/>
  <c r="R159" i="64" s="1"/>
  <c r="S159" i="64" a="1"/>
  <c r="S159" i="64" s="1"/>
  <c r="Q160" i="64" a="1"/>
  <c r="Q160" i="64" s="1"/>
  <c r="R160" i="64" a="1"/>
  <c r="R160" i="64" s="1"/>
  <c r="S160" i="64" a="1"/>
  <c r="S160" i="64" s="1"/>
  <c r="Q161" i="64" a="1"/>
  <c r="Q161" i="64" s="1"/>
  <c r="R161" i="64" a="1"/>
  <c r="R161" i="64" s="1"/>
  <c r="S161" i="64" a="1"/>
  <c r="S161" i="64" s="1"/>
  <c r="Q162" i="64" a="1"/>
  <c r="Q162" i="64" s="1"/>
  <c r="R162" i="64" a="1"/>
  <c r="R162" i="64" s="1"/>
  <c r="S162" i="64" a="1"/>
  <c r="S162" i="64" s="1"/>
  <c r="Q163" i="64" a="1"/>
  <c r="Q163" i="64" s="1"/>
  <c r="R163" i="64" a="1"/>
  <c r="R163" i="64" s="1"/>
  <c r="S163" i="64" a="1"/>
  <c r="S163" i="64" s="1"/>
  <c r="Q164" i="64" a="1"/>
  <c r="Q164" i="64" s="1"/>
  <c r="R164" i="64" a="1"/>
  <c r="R164" i="64" s="1"/>
  <c r="S164" i="64" a="1"/>
  <c r="S164" i="64" s="1"/>
  <c r="Q165" i="64" a="1"/>
  <c r="Q165" i="64" s="1"/>
  <c r="R165" i="64" a="1"/>
  <c r="R165" i="64" s="1"/>
  <c r="S165" i="64" a="1"/>
  <c r="S165" i="64" s="1"/>
  <c r="Q166" i="64" a="1"/>
  <c r="Q166" i="64" s="1"/>
  <c r="R166" i="64" a="1"/>
  <c r="R166" i="64" s="1"/>
  <c r="S166" i="64" a="1"/>
  <c r="S166" i="64" s="1"/>
  <c r="Q167" i="64" a="1"/>
  <c r="Q167" i="64" s="1"/>
  <c r="R167" i="64" a="1"/>
  <c r="R167" i="64" s="1"/>
  <c r="S167" i="64" a="1"/>
  <c r="S167" i="64" s="1"/>
  <c r="Q168" i="64" a="1"/>
  <c r="Q168" i="64" s="1"/>
  <c r="R168" i="64" a="1"/>
  <c r="R168" i="64" s="1"/>
  <c r="S168" i="64" a="1"/>
  <c r="S168" i="64" s="1"/>
  <c r="Q169" i="64" a="1"/>
  <c r="Q169" i="64" s="1"/>
  <c r="R169" i="64" a="1"/>
  <c r="R169" i="64" s="1"/>
  <c r="S169" i="64" a="1"/>
  <c r="S169" i="64" s="1"/>
  <c r="Q170" i="64" a="1"/>
  <c r="Q170" i="64" s="1"/>
  <c r="R170" i="64" a="1"/>
  <c r="R170" i="64" s="1"/>
  <c r="S170" i="64" a="1"/>
  <c r="S170" i="64" s="1"/>
  <c r="Q171" i="64" a="1"/>
  <c r="Q171" i="64" s="1"/>
  <c r="R171" i="64" a="1"/>
  <c r="R171" i="64" s="1"/>
  <c r="S171" i="64" a="1"/>
  <c r="S171" i="64" s="1"/>
  <c r="Q172" i="64" a="1"/>
  <c r="Q172" i="64" s="1"/>
  <c r="R172" i="64" a="1"/>
  <c r="R172" i="64" s="1"/>
  <c r="S172" i="64" a="1"/>
  <c r="S172" i="64" s="1"/>
  <c r="Q173" i="64" a="1"/>
  <c r="Q173" i="64" s="1"/>
  <c r="R173" i="64" a="1"/>
  <c r="R173" i="64" s="1"/>
  <c r="S173" i="64" a="1"/>
  <c r="S173" i="64" s="1"/>
  <c r="Q174" i="64" a="1"/>
  <c r="Q174" i="64" s="1"/>
  <c r="R174" i="64" a="1"/>
  <c r="R174" i="64" s="1"/>
  <c r="S174" i="64" a="1"/>
  <c r="S174" i="64" s="1"/>
  <c r="Q175" i="64" a="1"/>
  <c r="Q175" i="64" s="1"/>
  <c r="R175" i="64" a="1"/>
  <c r="R175" i="64" s="1"/>
  <c r="S175" i="64" a="1"/>
  <c r="S175" i="64" s="1"/>
  <c r="Q176" i="64" a="1"/>
  <c r="Q176" i="64" s="1"/>
  <c r="R176" i="64" a="1"/>
  <c r="R176" i="64" s="1"/>
  <c r="S176" i="64" a="1"/>
  <c r="S176" i="64" s="1"/>
  <c r="Q177" i="64" a="1"/>
  <c r="Q177" i="64" s="1"/>
  <c r="R177" i="64" a="1"/>
  <c r="R177" i="64" s="1"/>
  <c r="S177" i="64" a="1"/>
  <c r="S177" i="64" s="1"/>
  <c r="Q178" i="64" a="1"/>
  <c r="Q178" i="64" s="1"/>
  <c r="R178" i="64" a="1"/>
  <c r="R178" i="64" s="1"/>
  <c r="S178" i="64" a="1"/>
  <c r="S178" i="64" s="1"/>
  <c r="Q179" i="64" a="1"/>
  <c r="Q179" i="64" s="1"/>
  <c r="R179" i="64" a="1"/>
  <c r="R179" i="64" s="1"/>
  <c r="S179" i="64" a="1"/>
  <c r="S179" i="64" s="1"/>
  <c r="Q180" i="64" a="1"/>
  <c r="Q180" i="64" s="1"/>
  <c r="R180" i="64" a="1"/>
  <c r="R180" i="64" s="1"/>
  <c r="S180" i="64" a="1"/>
  <c r="S180" i="64" s="1"/>
  <c r="O201" i="64"/>
  <c r="P201" i="64" s="1"/>
  <c r="O200" i="64"/>
  <c r="B200" i="64"/>
  <c r="A200" i="64" s="1"/>
  <c r="O199" i="64"/>
  <c r="P199" i="64" s="1"/>
  <c r="B199" i="64"/>
  <c r="A199" i="64" s="1"/>
  <c r="O198" i="64"/>
  <c r="P198" i="64" s="1"/>
  <c r="B198" i="64"/>
  <c r="A198" i="64" s="1"/>
  <c r="O197" i="64"/>
  <c r="P197" i="64" s="1"/>
  <c r="B197" i="64"/>
  <c r="A197" i="64" s="1"/>
  <c r="O196" i="64"/>
  <c r="S196" i="64" s="1" a="1"/>
  <c r="S196" i="64" s="1"/>
  <c r="B196" i="64"/>
  <c r="A196" i="64" s="1"/>
  <c r="O195" i="64"/>
  <c r="P195" i="64" s="1"/>
  <c r="B195" i="64"/>
  <c r="A195" i="64" s="1"/>
  <c r="O194" i="64"/>
  <c r="P194" i="64" s="1"/>
  <c r="B194" i="64"/>
  <c r="A194" i="64" s="1"/>
  <c r="O193" i="64"/>
  <c r="P193" i="64" s="1"/>
  <c r="B193" i="64"/>
  <c r="A193" i="64" s="1"/>
  <c r="O192" i="64"/>
  <c r="P192" i="64" s="1"/>
  <c r="B192" i="64"/>
  <c r="A192" i="64" s="1"/>
  <c r="O191" i="64"/>
  <c r="P191" i="64" s="1"/>
  <c r="B191" i="64"/>
  <c r="A191" i="64" s="1"/>
  <c r="O190" i="64"/>
  <c r="S190" i="64" s="1" a="1"/>
  <c r="S190" i="64" s="1"/>
  <c r="B190" i="64"/>
  <c r="A190" i="64" s="1"/>
  <c r="O189" i="64"/>
  <c r="P189" i="64" s="1"/>
  <c r="B189" i="64"/>
  <c r="A189" i="64" s="1"/>
  <c r="O188" i="64"/>
  <c r="P188" i="64" s="1"/>
  <c r="B188" i="64"/>
  <c r="A188" i="64" s="1"/>
  <c r="O187" i="64"/>
  <c r="P187" i="64" s="1"/>
  <c r="B187" i="64"/>
  <c r="A187" i="64" s="1"/>
  <c r="O186" i="64"/>
  <c r="R186" i="64" s="1" a="1"/>
  <c r="R186" i="64" s="1"/>
  <c r="B186" i="64"/>
  <c r="A186" i="64" s="1"/>
  <c r="O185" i="64"/>
  <c r="P185" i="64" s="1"/>
  <c r="B185" i="64"/>
  <c r="A185" i="64" s="1"/>
  <c r="O184" i="64"/>
  <c r="Q184" i="64" s="1" a="1"/>
  <c r="Q184" i="64" s="1"/>
  <c r="B184" i="64"/>
  <c r="A184" i="64" s="1"/>
  <c r="O183" i="64"/>
  <c r="P183" i="64" s="1"/>
  <c r="B183" i="64"/>
  <c r="A183" i="64" s="1"/>
  <c r="O182" i="64"/>
  <c r="P182" i="64" s="1"/>
  <c r="B182" i="64"/>
  <c r="A182" i="64" s="1"/>
  <c r="O181" i="64"/>
  <c r="P181" i="64" s="1"/>
  <c r="B181" i="64"/>
  <c r="A181" i="64" s="1"/>
  <c r="B180" i="64"/>
  <c r="A180" i="64" s="1"/>
  <c r="B179" i="64"/>
  <c r="A179" i="64" s="1"/>
  <c r="B178" i="64"/>
  <c r="A178" i="64" s="1"/>
  <c r="B177" i="64"/>
  <c r="A177" i="64" s="1"/>
  <c r="B176" i="64"/>
  <c r="A176" i="64" s="1"/>
  <c r="B175" i="64"/>
  <c r="A175" i="64" s="1"/>
  <c r="B174" i="64"/>
  <c r="A174" i="64" s="1"/>
  <c r="B173" i="64"/>
  <c r="A173" i="64" s="1"/>
  <c r="B172" i="64"/>
  <c r="A172" i="64" s="1"/>
  <c r="B171" i="64"/>
  <c r="A171" i="64" s="1"/>
  <c r="B170" i="64"/>
  <c r="A170" i="64" s="1"/>
  <c r="B169" i="64"/>
  <c r="A169" i="64" s="1"/>
  <c r="B168" i="64"/>
  <c r="A168" i="64" s="1"/>
  <c r="B167" i="64"/>
  <c r="A167" i="64" s="1"/>
  <c r="B166" i="64"/>
  <c r="A166" i="64" s="1"/>
  <c r="B165" i="64"/>
  <c r="A165" i="64" s="1"/>
  <c r="B164" i="64"/>
  <c r="A164" i="64" s="1"/>
  <c r="B163" i="64"/>
  <c r="A163" i="64" s="1"/>
  <c r="B162" i="64"/>
  <c r="A162" i="64" s="1"/>
  <c r="B161" i="64"/>
  <c r="A161" i="64" s="1"/>
  <c r="B160" i="64"/>
  <c r="A160" i="64" s="1"/>
  <c r="B159" i="64"/>
  <c r="A159" i="64" s="1"/>
  <c r="O158" i="64"/>
  <c r="P158" i="64" s="1"/>
  <c r="B158" i="64"/>
  <c r="A158" i="64" s="1"/>
  <c r="O157" i="64"/>
  <c r="Q157" i="64" s="1" a="1"/>
  <c r="Q157" i="64" s="1"/>
  <c r="B157" i="64"/>
  <c r="A157" i="64" s="1"/>
  <c r="O156" i="64"/>
  <c r="P156" i="64" s="1"/>
  <c r="B156" i="64"/>
  <c r="A156" i="64" s="1"/>
  <c r="O155" i="64"/>
  <c r="P155" i="64" s="1"/>
  <c r="B155" i="64"/>
  <c r="A155" i="64"/>
  <c r="O154" i="64"/>
  <c r="Q154" i="64" s="1" a="1"/>
  <c r="Q154" i="64" s="1"/>
  <c r="B154" i="64"/>
  <c r="A154" i="64" s="1"/>
  <c r="O153" i="64"/>
  <c r="P153" i="64" s="1"/>
  <c r="B153" i="64"/>
  <c r="A153" i="64" s="1"/>
  <c r="O152" i="64"/>
  <c r="P152" i="64" s="1"/>
  <c r="B152" i="64"/>
  <c r="A152" i="64" s="1"/>
  <c r="O151" i="64"/>
  <c r="Q151" i="64" s="1" a="1"/>
  <c r="Q151" i="64" s="1"/>
  <c r="B151" i="64"/>
  <c r="A151" i="64" s="1"/>
  <c r="O150" i="64"/>
  <c r="P150" i="64" s="1"/>
  <c r="B150" i="64"/>
  <c r="A150" i="64" s="1"/>
  <c r="O149" i="64"/>
  <c r="P149" i="64" s="1"/>
  <c r="B149" i="64"/>
  <c r="A149" i="64" s="1"/>
  <c r="O148" i="64"/>
  <c r="Q148" i="64" s="1" a="1"/>
  <c r="Q148" i="64" s="1"/>
  <c r="B148" i="64"/>
  <c r="A148" i="64" s="1"/>
  <c r="O147" i="64"/>
  <c r="P147" i="64" s="1"/>
  <c r="B147" i="64"/>
  <c r="A147" i="64" s="1"/>
  <c r="O146" i="64"/>
  <c r="S146" i="64" s="1" a="1"/>
  <c r="S146" i="64" s="1"/>
  <c r="B146" i="64"/>
  <c r="A146" i="64" s="1"/>
  <c r="O145" i="64"/>
  <c r="P145" i="64" s="1"/>
  <c r="B145" i="64"/>
  <c r="A145" i="64" s="1"/>
  <c r="O144" i="64"/>
  <c r="P144" i="64" s="1"/>
  <c r="B144" i="64"/>
  <c r="A144" i="64" s="1"/>
  <c r="O143" i="64"/>
  <c r="P143" i="64" s="1"/>
  <c r="B143" i="64"/>
  <c r="A143" i="64" s="1"/>
  <c r="O142" i="64"/>
  <c r="Q142" i="64" s="1" a="1"/>
  <c r="Q142" i="64" s="1"/>
  <c r="B142" i="64"/>
  <c r="A142" i="64" s="1"/>
  <c r="O141" i="64"/>
  <c r="P141" i="64" s="1"/>
  <c r="B141" i="64"/>
  <c r="A141" i="64" s="1"/>
  <c r="O140" i="64"/>
  <c r="P140" i="64" s="1"/>
  <c r="B140" i="64"/>
  <c r="A140" i="64" s="1"/>
  <c r="O139" i="64"/>
  <c r="Q139" i="64" s="1" a="1"/>
  <c r="Q139" i="64" s="1"/>
  <c r="B139" i="64"/>
  <c r="A139" i="64" s="1"/>
  <c r="O138" i="64"/>
  <c r="P138" i="64" s="1"/>
  <c r="B138" i="64"/>
  <c r="A138" i="64" s="1"/>
  <c r="O137" i="64"/>
  <c r="P137" i="64" s="1"/>
  <c r="B137" i="64"/>
  <c r="A137" i="64" s="1"/>
  <c r="O136" i="64"/>
  <c r="P136" i="64" s="1"/>
  <c r="B136" i="64"/>
  <c r="A136" i="64" s="1"/>
  <c r="O135" i="64"/>
  <c r="P135" i="64" s="1"/>
  <c r="B135" i="64"/>
  <c r="A135" i="64" s="1"/>
  <c r="O134" i="64"/>
  <c r="P134" i="64" s="1"/>
  <c r="B134" i="64"/>
  <c r="A134" i="64" s="1"/>
  <c r="O133" i="64"/>
  <c r="P133" i="64" s="1"/>
  <c r="B133" i="64"/>
  <c r="A133" i="64" s="1"/>
  <c r="O132" i="64"/>
  <c r="P132" i="64" s="1"/>
  <c r="B132" i="64"/>
  <c r="A132" i="64" s="1"/>
  <c r="O131" i="64"/>
  <c r="P131" i="64" s="1"/>
  <c r="B131" i="64"/>
  <c r="A131" i="64" s="1"/>
  <c r="O130" i="64"/>
  <c r="P130" i="64" s="1"/>
  <c r="B130" i="64"/>
  <c r="A130" i="64" s="1"/>
  <c r="O129" i="64"/>
  <c r="P129" i="64" s="1"/>
  <c r="B129" i="64"/>
  <c r="A129" i="64" s="1"/>
  <c r="O128" i="64"/>
  <c r="P128" i="64" s="1"/>
  <c r="B128" i="64"/>
  <c r="A128" i="64" s="1"/>
  <c r="O127" i="64"/>
  <c r="R127" i="64" s="1" a="1"/>
  <c r="R127" i="64" s="1"/>
  <c r="B127" i="64"/>
  <c r="A127" i="64" s="1"/>
  <c r="O126" i="64"/>
  <c r="P126" i="64" s="1"/>
  <c r="B126" i="64"/>
  <c r="A126" i="64" s="1"/>
  <c r="O125" i="64"/>
  <c r="P125" i="64" s="1"/>
  <c r="B125" i="64"/>
  <c r="A125" i="64" s="1"/>
  <c r="O124" i="64"/>
  <c r="P124" i="64" s="1"/>
  <c r="B124" i="64"/>
  <c r="A124" i="64" s="1"/>
  <c r="O123" i="64"/>
  <c r="P123" i="64" s="1"/>
  <c r="B123" i="64"/>
  <c r="A123" i="64" s="1"/>
  <c r="O122" i="64"/>
  <c r="Q122" i="64" s="1" a="1"/>
  <c r="Q122" i="64" s="1"/>
  <c r="B122" i="64"/>
  <c r="A122" i="64" s="1"/>
  <c r="O121" i="64"/>
  <c r="P121" i="64" s="1"/>
  <c r="B121" i="64"/>
  <c r="A121" i="64" s="1"/>
  <c r="O120" i="64"/>
  <c r="P120" i="64" s="1"/>
  <c r="B120" i="64"/>
  <c r="A120" i="64" s="1"/>
  <c r="O119" i="64"/>
  <c r="P119" i="64" s="1"/>
  <c r="B119" i="64"/>
  <c r="A119" i="64" s="1"/>
  <c r="O118" i="64"/>
  <c r="P118" i="64" s="1"/>
  <c r="B118" i="64"/>
  <c r="A118" i="64" s="1"/>
  <c r="O117" i="64"/>
  <c r="P117" i="64" s="1"/>
  <c r="B117" i="64"/>
  <c r="A117" i="64" s="1"/>
  <c r="O116" i="64"/>
  <c r="P116" i="64" s="1"/>
  <c r="B116" i="64"/>
  <c r="A116" i="64" s="1"/>
  <c r="O115" i="64"/>
  <c r="S115" i="64" s="1" a="1"/>
  <c r="S115" i="64" s="1"/>
  <c r="B115" i="64"/>
  <c r="A115" i="64" s="1"/>
  <c r="O114" i="64"/>
  <c r="P114" i="64" s="1"/>
  <c r="B114" i="64"/>
  <c r="A114" i="64" s="1"/>
  <c r="O113" i="64"/>
  <c r="P113" i="64" s="1"/>
  <c r="B113" i="64"/>
  <c r="A113" i="64" s="1"/>
  <c r="O112" i="64"/>
  <c r="S112" i="64" s="1" a="1"/>
  <c r="S112" i="64" s="1"/>
  <c r="B112" i="64"/>
  <c r="A112" i="64" s="1"/>
  <c r="O111" i="64"/>
  <c r="P111" i="64" s="1"/>
  <c r="B111" i="64"/>
  <c r="A111" i="64" s="1"/>
  <c r="O110" i="64"/>
  <c r="Q110" i="64" s="1" a="1"/>
  <c r="Q110" i="64" s="1"/>
  <c r="B110" i="64"/>
  <c r="A110" i="64" s="1"/>
  <c r="O109" i="64"/>
  <c r="P109" i="64" s="1"/>
  <c r="B109" i="64"/>
  <c r="A109" i="64" s="1"/>
  <c r="O108" i="64"/>
  <c r="P108" i="64" s="1"/>
  <c r="B108" i="64"/>
  <c r="A108" i="64" s="1"/>
  <c r="O107" i="64"/>
  <c r="P107" i="64" s="1"/>
  <c r="B107" i="64"/>
  <c r="A107" i="64" s="1"/>
  <c r="O106" i="64"/>
  <c r="Q106" i="64" s="1" a="1"/>
  <c r="Q106" i="64" s="1"/>
  <c r="B106" i="64"/>
  <c r="A106" i="64" s="1"/>
  <c r="O105" i="64"/>
  <c r="P105" i="64" s="1"/>
  <c r="B105" i="64"/>
  <c r="A105" i="64" s="1"/>
  <c r="O104" i="64"/>
  <c r="P104" i="64" s="1"/>
  <c r="B104" i="64"/>
  <c r="A104" i="64" s="1"/>
  <c r="O103" i="64"/>
  <c r="P103" i="64" s="1"/>
  <c r="B103" i="64"/>
  <c r="A103" i="64" s="1"/>
  <c r="O102" i="64"/>
  <c r="P102" i="64" s="1"/>
  <c r="B102" i="64"/>
  <c r="A102" i="64" s="1"/>
  <c r="O101" i="64"/>
  <c r="P101" i="64" s="1"/>
  <c r="B101" i="64"/>
  <c r="A101" i="64" s="1"/>
  <c r="O100" i="64"/>
  <c r="Q100" i="64" s="1" a="1"/>
  <c r="Q100" i="64" s="1"/>
  <c r="B100" i="64"/>
  <c r="A100" i="64" s="1"/>
  <c r="O99" i="64"/>
  <c r="P99" i="64" s="1"/>
  <c r="B99" i="64"/>
  <c r="A99" i="64" s="1"/>
  <c r="O98" i="64"/>
  <c r="P98" i="64" s="1"/>
  <c r="B98" i="64"/>
  <c r="A98" i="64" s="1"/>
  <c r="O97" i="64"/>
  <c r="P97" i="64" s="1"/>
  <c r="B97" i="64"/>
  <c r="A97" i="64" s="1"/>
  <c r="O96" i="64"/>
  <c r="P96" i="64" s="1"/>
  <c r="B96" i="64"/>
  <c r="A96" i="64" s="1"/>
  <c r="O95" i="64"/>
  <c r="P95" i="64" s="1"/>
  <c r="B95" i="64"/>
  <c r="A95" i="64" s="1"/>
  <c r="O94" i="64"/>
  <c r="Q94" i="64" s="1" a="1"/>
  <c r="Q94" i="64" s="1"/>
  <c r="B94" i="64"/>
  <c r="A94" i="64" s="1"/>
  <c r="O93" i="64"/>
  <c r="P93" i="64" s="1"/>
  <c r="B93" i="64"/>
  <c r="A93" i="64" s="1"/>
  <c r="O92" i="64"/>
  <c r="Q92" i="64" s="1" a="1"/>
  <c r="Q92" i="64" s="1"/>
  <c r="B92" i="64"/>
  <c r="A92" i="64" s="1"/>
  <c r="O91" i="64"/>
  <c r="Q91" i="64" s="1" a="1"/>
  <c r="Q91" i="64" s="1"/>
  <c r="B91" i="64"/>
  <c r="A91" i="64" s="1"/>
  <c r="O90" i="64"/>
  <c r="P90" i="64" s="1"/>
  <c r="B90" i="64"/>
  <c r="A90" i="64" s="1"/>
  <c r="O89" i="64"/>
  <c r="P89" i="64" s="1"/>
  <c r="B89" i="64"/>
  <c r="A89" i="64" s="1"/>
  <c r="O88" i="64"/>
  <c r="P88" i="64" s="1"/>
  <c r="B88" i="64"/>
  <c r="A88" i="64" s="1"/>
  <c r="O87" i="64"/>
  <c r="P87" i="64" s="1"/>
  <c r="B87" i="64"/>
  <c r="A87" i="64" s="1"/>
  <c r="O86" i="64"/>
  <c r="P86" i="64" s="1"/>
  <c r="B86" i="64"/>
  <c r="A86" i="64" s="1"/>
  <c r="O85" i="64"/>
  <c r="Q85" i="64" s="1" a="1"/>
  <c r="Q85" i="64" s="1"/>
  <c r="B85" i="64"/>
  <c r="A85" i="64" s="1"/>
  <c r="O84" i="64"/>
  <c r="P84" i="64" s="1"/>
  <c r="B84" i="64"/>
  <c r="A84" i="64" s="1"/>
  <c r="O83" i="64"/>
  <c r="P83" i="64" s="1"/>
  <c r="B83" i="64"/>
  <c r="A83" i="64" s="1"/>
  <c r="O82" i="64"/>
  <c r="P82" i="64" s="1"/>
  <c r="B82" i="64"/>
  <c r="A82" i="64" s="1"/>
  <c r="O81" i="64"/>
  <c r="P81" i="64" s="1"/>
  <c r="B81" i="64"/>
  <c r="A81" i="64" s="1"/>
  <c r="O80" i="64"/>
  <c r="Q80" i="64" s="1" a="1"/>
  <c r="Q80" i="64" s="1"/>
  <c r="B80" i="64"/>
  <c r="A80" i="64" s="1"/>
  <c r="O79" i="64"/>
  <c r="P79" i="64" s="1"/>
  <c r="B79" i="64"/>
  <c r="A79" i="64" s="1"/>
  <c r="O78" i="64"/>
  <c r="P78" i="64" s="1"/>
  <c r="B78" i="64"/>
  <c r="A78" i="64" s="1"/>
  <c r="O77" i="64"/>
  <c r="P77" i="64" s="1"/>
  <c r="B77" i="64"/>
  <c r="A77" i="64" s="1"/>
  <c r="O76" i="64"/>
  <c r="R76" i="64" s="1" a="1"/>
  <c r="R76" i="64" s="1"/>
  <c r="B76" i="64"/>
  <c r="A76" i="64" s="1"/>
  <c r="O75" i="64"/>
  <c r="P75" i="64" s="1"/>
  <c r="B75" i="64"/>
  <c r="A75" i="64" s="1"/>
  <c r="O74" i="64"/>
  <c r="Q74" i="64" s="1" a="1"/>
  <c r="Q74" i="64" s="1"/>
  <c r="B74" i="64"/>
  <c r="A74" i="64" s="1"/>
  <c r="O73" i="64"/>
  <c r="P73" i="64" s="1"/>
  <c r="B73" i="64"/>
  <c r="A73" i="64" s="1"/>
  <c r="O72" i="64"/>
  <c r="P72" i="64" s="1"/>
  <c r="B72" i="64"/>
  <c r="A72" i="64" s="1"/>
  <c r="O71" i="64"/>
  <c r="P71" i="64" s="1"/>
  <c r="B71" i="64"/>
  <c r="A71" i="64" s="1"/>
  <c r="O70" i="64"/>
  <c r="P70" i="64" s="1"/>
  <c r="B70" i="64"/>
  <c r="A70" i="64" s="1"/>
  <c r="O69" i="64"/>
  <c r="P69" i="64" s="1"/>
  <c r="B69" i="64"/>
  <c r="A69" i="64" s="1"/>
  <c r="O68" i="64"/>
  <c r="P68" i="64" s="1"/>
  <c r="B68" i="64"/>
  <c r="A68" i="64" s="1"/>
  <c r="O67" i="64"/>
  <c r="S67" i="64" s="1" a="1"/>
  <c r="S67" i="64" s="1"/>
  <c r="B67" i="64"/>
  <c r="A67" i="64" s="1"/>
  <c r="O66" i="64"/>
  <c r="P66" i="64" s="1"/>
  <c r="B66" i="64"/>
  <c r="A66" i="64" s="1"/>
  <c r="O65" i="64"/>
  <c r="P65" i="64" s="1"/>
  <c r="B65" i="64"/>
  <c r="A65" i="64" s="1"/>
  <c r="O64" i="64"/>
  <c r="Q64" i="64" s="1" a="1"/>
  <c r="Q64" i="64" s="1"/>
  <c r="B64" i="64"/>
  <c r="A64" i="64" s="1"/>
  <c r="O63" i="64"/>
  <c r="P63" i="64" s="1"/>
  <c r="B63" i="64"/>
  <c r="A63" i="64" s="1"/>
  <c r="O62" i="64"/>
  <c r="Q62" i="64" s="1" a="1"/>
  <c r="Q62" i="64" s="1"/>
  <c r="B62" i="64"/>
  <c r="A62" i="64" s="1"/>
  <c r="O61" i="64"/>
  <c r="Q61" i="64" s="1" a="1"/>
  <c r="Q61" i="64" s="1"/>
  <c r="B61" i="64"/>
  <c r="A61" i="64" s="1"/>
  <c r="O60" i="64"/>
  <c r="P60" i="64" s="1"/>
  <c r="B60" i="64"/>
  <c r="A60" i="64" s="1"/>
  <c r="O59" i="64"/>
  <c r="P59" i="64" s="1"/>
  <c r="B59" i="64"/>
  <c r="A59" i="64" s="1"/>
  <c r="O58" i="64"/>
  <c r="P58" i="64" s="1"/>
  <c r="B58" i="64"/>
  <c r="A58" i="64" s="1"/>
  <c r="O57" i="64"/>
  <c r="P57" i="64" s="1"/>
  <c r="B57" i="64"/>
  <c r="A57" i="64" s="1"/>
  <c r="O56" i="64"/>
  <c r="Q56" i="64" s="1" a="1"/>
  <c r="Q56" i="64" s="1"/>
  <c r="B56" i="64"/>
  <c r="A56" i="64" s="1"/>
  <c r="O55" i="64"/>
  <c r="S55" i="64" s="1" a="1"/>
  <c r="S55" i="64" s="1"/>
  <c r="B55" i="64"/>
  <c r="A55" i="64" s="1"/>
  <c r="O54" i="64"/>
  <c r="P54" i="64" s="1"/>
  <c r="B54" i="64"/>
  <c r="A54" i="64" s="1"/>
  <c r="O53" i="64"/>
  <c r="P53" i="64" s="1"/>
  <c r="B53" i="64"/>
  <c r="A53" i="64" s="1"/>
  <c r="O52" i="64"/>
  <c r="Q52" i="64" s="1" a="1"/>
  <c r="Q52" i="64" s="1"/>
  <c r="B52" i="64"/>
  <c r="A52" i="64" s="1"/>
  <c r="O51" i="64"/>
  <c r="P51" i="64" s="1"/>
  <c r="B51" i="64"/>
  <c r="A51" i="64" s="1"/>
  <c r="O50" i="64"/>
  <c r="P50" i="64" s="1"/>
  <c r="B50" i="64"/>
  <c r="A50" i="64" s="1"/>
  <c r="O49" i="64"/>
  <c r="S49" i="64" s="1" a="1"/>
  <c r="S49" i="64" s="1"/>
  <c r="B49" i="64"/>
  <c r="A49" i="64" s="1"/>
  <c r="O48" i="64"/>
  <c r="P48" i="64" s="1"/>
  <c r="B48" i="64"/>
  <c r="A48" i="64" s="1"/>
  <c r="O47" i="64"/>
  <c r="P47" i="64" s="1"/>
  <c r="B47" i="64"/>
  <c r="A47" i="64" s="1"/>
  <c r="O46" i="64"/>
  <c r="Q46" i="64" s="1" a="1"/>
  <c r="Q46" i="64" s="1"/>
  <c r="B46" i="64"/>
  <c r="A46" i="64" s="1"/>
  <c r="O45" i="64"/>
  <c r="P45" i="64" s="1"/>
  <c r="B45" i="64"/>
  <c r="A45" i="64" s="1"/>
  <c r="O44" i="64"/>
  <c r="Q44" i="64" s="1" a="1"/>
  <c r="Q44" i="64" s="1"/>
  <c r="B44" i="64"/>
  <c r="A44" i="64" s="1"/>
  <c r="O43" i="64"/>
  <c r="S43" i="64" s="1" a="1"/>
  <c r="S43" i="64" s="1"/>
  <c r="B43" i="64"/>
  <c r="A43" i="64" s="1"/>
  <c r="O42" i="64"/>
  <c r="P42" i="64" s="1"/>
  <c r="B42" i="64"/>
  <c r="A42" i="64" s="1"/>
  <c r="O41" i="64"/>
  <c r="P41" i="64" s="1"/>
  <c r="B41" i="64"/>
  <c r="A41" i="64" s="1"/>
  <c r="O40" i="64"/>
  <c r="P40" i="64" s="1"/>
  <c r="B40" i="64"/>
  <c r="A40" i="64" s="1"/>
  <c r="B39" i="64"/>
  <c r="A39" i="64" s="1"/>
  <c r="B38" i="64"/>
  <c r="A38" i="64" s="1"/>
  <c r="B37" i="64"/>
  <c r="A37" i="64" s="1"/>
  <c r="B36" i="64"/>
  <c r="A36" i="64" s="1"/>
  <c r="B35" i="64"/>
  <c r="A35" i="64" s="1"/>
  <c r="B34" i="64"/>
  <c r="A34" i="64" s="1"/>
  <c r="B33" i="64"/>
  <c r="A33" i="64" s="1"/>
  <c r="B32" i="64"/>
  <c r="A32" i="64" s="1"/>
  <c r="B31" i="64"/>
  <c r="A31" i="64" s="1"/>
  <c r="B30" i="64"/>
  <c r="A30" i="64" s="1"/>
  <c r="B29" i="64"/>
  <c r="A29" i="64" s="1"/>
  <c r="B28" i="64"/>
  <c r="A28" i="64" s="1"/>
  <c r="B27" i="64"/>
  <c r="A27" i="64" s="1"/>
  <c r="B26" i="64"/>
  <c r="A26" i="64" s="1"/>
  <c r="B25" i="64"/>
  <c r="A25" i="64" s="1"/>
  <c r="B24" i="64"/>
  <c r="A24" i="64" s="1"/>
  <c r="B23" i="64"/>
  <c r="A23" i="64" s="1"/>
  <c r="B22" i="64"/>
  <c r="A22" i="64" s="1"/>
  <c r="B21" i="64"/>
  <c r="A21" i="64" s="1"/>
  <c r="B20" i="64"/>
  <c r="A20" i="64" s="1"/>
  <c r="B19" i="64"/>
  <c r="A19" i="64" s="1"/>
  <c r="B18" i="64"/>
  <c r="A18" i="64" s="1"/>
  <c r="B17" i="64"/>
  <c r="A17" i="64" s="1"/>
  <c r="B16" i="64"/>
  <c r="A16" i="64" s="1"/>
  <c r="B15" i="64"/>
  <c r="B14" i="64"/>
  <c r="A14" i="64" s="1"/>
  <c r="B13" i="64"/>
  <c r="A13" i="64" s="1"/>
  <c r="B12" i="64"/>
  <c r="A12" i="64" s="1"/>
  <c r="B11" i="64"/>
  <c r="A11" i="64" s="1"/>
  <c r="B10" i="64"/>
  <c r="A10" i="64" s="1"/>
  <c r="B9" i="64"/>
  <c r="A9" i="64" s="1"/>
  <c r="B8" i="64"/>
  <c r="A8" i="64" s="1"/>
  <c r="B7" i="64"/>
  <c r="A7" i="64" s="1"/>
  <c r="B6" i="64"/>
  <c r="A6" i="64" s="1"/>
  <c r="B5" i="64"/>
  <c r="A5" i="64" s="1"/>
  <c r="B4" i="64"/>
  <c r="A4" i="64" s="1"/>
  <c r="N20" i="43"/>
  <c r="O20" i="43" s="1"/>
  <c r="N21" i="43"/>
  <c r="O21" i="43" s="1"/>
  <c r="N22" i="43"/>
  <c r="O22" i="43" s="1"/>
  <c r="N23" i="43"/>
  <c r="O23" i="43" s="1"/>
  <c r="N24" i="43"/>
  <c r="O24" i="43" s="1"/>
  <c r="N25" i="43"/>
  <c r="O25" i="43" s="1"/>
  <c r="N26" i="43"/>
  <c r="O26" i="43" s="1"/>
  <c r="N27" i="43"/>
  <c r="O27" i="43" s="1"/>
  <c r="N28" i="43"/>
  <c r="O28" i="43" s="1"/>
  <c r="N29" i="43"/>
  <c r="O29" i="43" s="1"/>
  <c r="N30" i="43"/>
  <c r="O30" i="43" s="1"/>
  <c r="N31" i="43"/>
  <c r="O31" i="43" s="1"/>
  <c r="N32" i="43"/>
  <c r="O32" i="43" s="1"/>
  <c r="N33" i="43"/>
  <c r="O33" i="43" s="1"/>
  <c r="N34" i="43"/>
  <c r="O34" i="43" s="1"/>
  <c r="N35" i="43"/>
  <c r="O35" i="43" s="1"/>
  <c r="N36" i="43"/>
  <c r="O36" i="43" s="1"/>
  <c r="N37" i="43"/>
  <c r="O37" i="43" s="1"/>
  <c r="N38" i="43"/>
  <c r="O38" i="43" s="1"/>
  <c r="N39" i="43"/>
  <c r="O39" i="43" s="1"/>
  <c r="N40" i="43"/>
  <c r="O40" i="43" s="1"/>
  <c r="N41" i="43"/>
  <c r="O41" i="43" s="1"/>
  <c r="N42" i="43"/>
  <c r="O42" i="43" s="1"/>
  <c r="N43" i="43"/>
  <c r="O43" i="43" s="1"/>
  <c r="N44" i="43"/>
  <c r="O44" i="43" s="1"/>
  <c r="N45" i="43"/>
  <c r="O45" i="43" s="1"/>
  <c r="Q66" i="65" l="1" a="1"/>
  <c r="Q66" i="65" s="1"/>
  <c r="R60" i="65" a="1"/>
  <c r="R60" i="65" s="1"/>
  <c r="R59" i="65" a="1"/>
  <c r="R59" i="65" s="1"/>
  <c r="S66" i="65" a="1"/>
  <c r="S66" i="65" s="1"/>
  <c r="R64" i="65" a="1"/>
  <c r="R64" i="65" s="1"/>
  <c r="R47" i="65" a="1"/>
  <c r="R47" i="65" s="1"/>
  <c r="P54" i="65"/>
  <c r="R54" i="65" a="1"/>
  <c r="R54" i="65" s="1"/>
  <c r="R52" i="65" a="1"/>
  <c r="R52" i="65" s="1"/>
  <c r="R200" i="66"/>
  <c r="P200" i="66"/>
  <c r="P4" i="66"/>
  <c r="R8" i="66" a="1"/>
  <c r="R8" i="66" s="1"/>
  <c r="S10" i="66" a="1"/>
  <c r="S10" i="66" s="1"/>
  <c r="R12" i="66" a="1"/>
  <c r="R12" i="66" s="1"/>
  <c r="Q8" i="66" a="1"/>
  <c r="Q8" i="66" s="1"/>
  <c r="R14" i="66" a="1"/>
  <c r="R14" i="66" s="1"/>
  <c r="Q14" i="66" a="1"/>
  <c r="Q14" i="66" s="1"/>
  <c r="P10" i="66"/>
  <c r="S14" i="66" a="1"/>
  <c r="S14" i="66" s="1"/>
  <c r="S8" i="66" a="1"/>
  <c r="S8" i="66" s="1"/>
  <c r="R11" i="66" a="1"/>
  <c r="R11" i="66" s="1"/>
  <c r="S4" i="66" a="1"/>
  <c r="S4" i="66" s="1"/>
  <c r="P28" i="66"/>
  <c r="R21" i="66" a="1"/>
  <c r="R21" i="66" s="1"/>
  <c r="P21" i="66"/>
  <c r="Q10" i="66" a="1"/>
  <c r="Q10" i="66" s="1"/>
  <c r="P11" i="66"/>
  <c r="S21" i="66" a="1"/>
  <c r="S21" i="66" s="1"/>
  <c r="Q21" i="66" a="1"/>
  <c r="Q21" i="66" s="1"/>
  <c r="Q18" i="66" a="1"/>
  <c r="Q18" i="66" s="1"/>
  <c r="P18" i="66"/>
  <c r="S22" i="66" a="1"/>
  <c r="S22" i="66" s="1"/>
  <c r="R22" i="66" a="1"/>
  <c r="R22" i="66" s="1"/>
  <c r="S19" i="66" a="1"/>
  <c r="S19" i="66" s="1"/>
  <c r="R19" i="66" a="1"/>
  <c r="R19" i="66" s="1"/>
  <c r="Q19" i="66" a="1"/>
  <c r="Q19" i="66" s="1"/>
  <c r="P19" i="66"/>
  <c r="R15" i="66" a="1"/>
  <c r="R15" i="66" s="1"/>
  <c r="S15" i="66" a="1"/>
  <c r="S15" i="66" s="1"/>
  <c r="P15" i="66"/>
  <c r="Q12" i="66" a="1"/>
  <c r="Q12" i="66" s="1"/>
  <c r="P12" i="66"/>
  <c r="Q13" i="66" a="1"/>
  <c r="Q13" i="66" s="1"/>
  <c r="P13" i="66"/>
  <c r="S13" i="66" a="1"/>
  <c r="S13" i="66" s="1"/>
  <c r="R13" i="66" a="1"/>
  <c r="R13" i="66" s="1"/>
  <c r="Q23" i="66" a="1"/>
  <c r="Q23" i="66" s="1"/>
  <c r="S16" i="66" a="1"/>
  <c r="S16" i="66" s="1"/>
  <c r="R16" i="66" a="1"/>
  <c r="R16" i="66" s="1"/>
  <c r="Q28" i="66" a="1"/>
  <c r="Q28" i="66" s="1"/>
  <c r="Q11" i="66" a="1"/>
  <c r="Q11" i="66" s="1"/>
  <c r="S103" i="65" a="1"/>
  <c r="S103" i="65" s="1"/>
  <c r="P107" i="65"/>
  <c r="S107" i="65" a="1"/>
  <c r="S107" i="65" s="1"/>
  <c r="R108" i="65" a="1"/>
  <c r="R108" i="65" s="1"/>
  <c r="Q104" i="65" a="1"/>
  <c r="Q104" i="65" s="1"/>
  <c r="R104" i="65" a="1"/>
  <c r="R104" i="65" s="1"/>
  <c r="P108" i="65"/>
  <c r="S110" i="65" a="1"/>
  <c r="S110" i="65" s="1"/>
  <c r="R110" i="65" a="1"/>
  <c r="R110" i="65" s="1"/>
  <c r="Q110" i="65" a="1"/>
  <c r="Q110" i="65" s="1"/>
  <c r="P110" i="65"/>
  <c r="P106" i="65"/>
  <c r="Q106" i="65" a="1"/>
  <c r="Q106" i="65" s="1"/>
  <c r="S106" i="65" a="1"/>
  <c r="S106" i="65" s="1"/>
  <c r="R106" i="65" a="1"/>
  <c r="R106" i="65" s="1"/>
  <c r="R35" i="65" a="1"/>
  <c r="R35" i="65" s="1"/>
  <c r="P35" i="65"/>
  <c r="Q27" i="65" a="1"/>
  <c r="Q27" i="65" s="1"/>
  <c r="R23" i="65" a="1"/>
  <c r="R23" i="65" s="1"/>
  <c r="P23" i="65"/>
  <c r="S23" i="65" a="1"/>
  <c r="S23" i="65" s="1"/>
  <c r="P81" i="65"/>
  <c r="R81" i="65" a="1"/>
  <c r="R81" i="65" s="1"/>
  <c r="S81" i="65" a="1"/>
  <c r="S81" i="65" s="1"/>
  <c r="P51" i="65"/>
  <c r="Q55" i="65" a="1"/>
  <c r="Q55" i="65" s="1"/>
  <c r="Q54" i="65" a="1"/>
  <c r="Q54" i="65" s="1"/>
  <c r="Q51" i="65" a="1"/>
  <c r="Q51" i="65" s="1"/>
  <c r="S51" i="65" a="1"/>
  <c r="S51" i="65" s="1"/>
  <c r="S53" i="65" a="1"/>
  <c r="S53" i="65" s="1"/>
  <c r="P53" i="65"/>
  <c r="S52" i="65" a="1"/>
  <c r="S52" i="65" s="1"/>
  <c r="P49" i="65"/>
  <c r="R49" i="65" a="1"/>
  <c r="R49" i="65" s="1"/>
  <c r="R53" i="65" a="1"/>
  <c r="R53" i="65" s="1"/>
  <c r="Q52" i="65" a="1"/>
  <c r="Q52" i="65" s="1"/>
  <c r="Q53" i="65" a="1"/>
  <c r="Q53" i="65" s="1"/>
  <c r="S57" i="65" a="1"/>
  <c r="S57" i="65" s="1"/>
  <c r="Q50" i="65" a="1"/>
  <c r="Q50" i="65" s="1"/>
  <c r="P50" i="65"/>
  <c r="R50" i="65" a="1"/>
  <c r="R50" i="65" s="1"/>
  <c r="R56" i="65" a="1"/>
  <c r="R56" i="65" s="1"/>
  <c r="Q56" i="65" a="1"/>
  <c r="Q56" i="65" s="1"/>
  <c r="P56" i="65"/>
  <c r="Q57" i="65" a="1"/>
  <c r="Q57" i="65" s="1"/>
  <c r="S55" i="65" a="1"/>
  <c r="S55" i="65" s="1"/>
  <c r="P57" i="65"/>
  <c r="S49" i="65" a="1"/>
  <c r="S49" i="65" s="1"/>
  <c r="R55" i="65" a="1"/>
  <c r="R55" i="65" s="1"/>
  <c r="P60" i="65"/>
  <c r="Q64" i="65" a="1"/>
  <c r="Q64" i="65" s="1"/>
  <c r="Q63" i="65" a="1"/>
  <c r="Q63" i="65" s="1"/>
  <c r="Q59" i="65" a="1"/>
  <c r="Q59" i="65" s="1"/>
  <c r="P61" i="65"/>
  <c r="R61" i="65" a="1"/>
  <c r="R61" i="65" s="1"/>
  <c r="Q61" i="65" a="1"/>
  <c r="Q61" i="65" s="1"/>
  <c r="S64" i="65" a="1"/>
  <c r="S64" i="65" s="1"/>
  <c r="P68" i="65"/>
  <c r="Q68" i="65" a="1"/>
  <c r="Q68" i="65" s="1"/>
  <c r="S68" i="65" a="1"/>
  <c r="S68" i="65" s="1"/>
  <c r="R68" i="65" a="1"/>
  <c r="R68" i="65" s="1"/>
  <c r="P67" i="65"/>
  <c r="R67" i="65" a="1"/>
  <c r="R67" i="65" s="1"/>
  <c r="S62" i="65" a="1"/>
  <c r="S62" i="65" s="1"/>
  <c r="R62" i="65" a="1"/>
  <c r="R62" i="65" s="1"/>
  <c r="P62" i="65"/>
  <c r="S63" i="65" a="1"/>
  <c r="S63" i="65" s="1"/>
  <c r="S38" i="65" a="1"/>
  <c r="S38" i="65" s="1"/>
  <c r="R40" i="65" a="1"/>
  <c r="R40" i="65" s="1"/>
  <c r="Q42" i="65" a="1"/>
  <c r="Q42" i="65" s="1"/>
  <c r="P39" i="65"/>
  <c r="Q41" i="65" a="1"/>
  <c r="Q41" i="65" s="1"/>
  <c r="P46" i="65"/>
  <c r="S42" i="65" a="1"/>
  <c r="S42" i="65" s="1"/>
  <c r="Q47" i="65" a="1"/>
  <c r="Q47" i="65" s="1"/>
  <c r="R42" i="65" a="1"/>
  <c r="R42" i="65" s="1"/>
  <c r="S45" i="65" a="1"/>
  <c r="S45" i="65" s="1"/>
  <c r="S41" i="65" a="1"/>
  <c r="S41" i="65" s="1"/>
  <c r="R38" i="65" a="1"/>
  <c r="R38" i="65" s="1"/>
  <c r="P38" i="65"/>
  <c r="R46" i="65" a="1"/>
  <c r="R46" i="65" s="1"/>
  <c r="S44" i="65" a="1"/>
  <c r="S44" i="65" s="1"/>
  <c r="R44" i="65" a="1"/>
  <c r="R44" i="65" s="1"/>
  <c r="P44" i="65"/>
  <c r="P37" i="65"/>
  <c r="R37" i="65" a="1"/>
  <c r="R37" i="65" s="1"/>
  <c r="Q37" i="65" a="1"/>
  <c r="Q37" i="65" s="1"/>
  <c r="Q46" i="65" a="1"/>
  <c r="Q46" i="65" s="1"/>
  <c r="S37" i="65" a="1"/>
  <c r="S37" i="65" s="1"/>
  <c r="Q45" i="65" a="1"/>
  <c r="Q45" i="65" s="1"/>
  <c r="P45" i="65"/>
  <c r="R39" i="65" a="1"/>
  <c r="R39" i="65" s="1"/>
  <c r="S39" i="65" a="1"/>
  <c r="S39" i="65" s="1"/>
  <c r="P43" i="65"/>
  <c r="S43" i="65" a="1"/>
  <c r="S43" i="65" s="1"/>
  <c r="R43" i="65" a="1"/>
  <c r="R43" i="65" s="1"/>
  <c r="A80" i="66"/>
  <c r="Q35" i="65" a="1"/>
  <c r="Q35" i="65" s="1"/>
  <c r="R26" i="66" a="1"/>
  <c r="R26" i="66" s="1"/>
  <c r="P26" i="66"/>
  <c r="R27" i="66" a="1"/>
  <c r="R27" i="66" s="1"/>
  <c r="S27" i="66" a="1"/>
  <c r="S27" i="66" s="1"/>
  <c r="Q27" i="66" a="1"/>
  <c r="Q27" i="66" s="1"/>
  <c r="R23" i="66" a="1"/>
  <c r="R23" i="66" s="1"/>
  <c r="S23" i="66" a="1"/>
  <c r="S23" i="66" s="1"/>
  <c r="S25" i="66" a="1"/>
  <c r="S25" i="66" s="1"/>
  <c r="R25" i="66" a="1"/>
  <c r="R25" i="66" s="1"/>
  <c r="Q25" i="66" a="1"/>
  <c r="Q25" i="66" s="1"/>
  <c r="P25" i="66"/>
  <c r="S24" i="66" a="1"/>
  <c r="S24" i="66" s="1"/>
  <c r="Q24" i="66" a="1"/>
  <c r="Q24" i="66" s="1"/>
  <c r="P24" i="66"/>
  <c r="Q5" i="66" a="1"/>
  <c r="Q5" i="66" s="1"/>
  <c r="S6" i="66" a="1"/>
  <c r="S6" i="66" s="1"/>
  <c r="P6" i="66"/>
  <c r="Q6" i="66" a="1"/>
  <c r="Q6" i="66" s="1"/>
  <c r="S5" i="66" a="1"/>
  <c r="S5" i="66" s="1"/>
  <c r="P5" i="66"/>
  <c r="R9" i="66" a="1"/>
  <c r="R9" i="66" s="1"/>
  <c r="S9" i="66" a="1"/>
  <c r="S9" i="66" s="1"/>
  <c r="Q9" i="66" a="1"/>
  <c r="Q9" i="66" s="1"/>
  <c r="P9" i="66"/>
  <c r="Q7" i="66" a="1"/>
  <c r="Q7" i="66" s="1"/>
  <c r="S7" i="66" a="1"/>
  <c r="S7" i="66" s="1"/>
  <c r="R7" i="66" a="1"/>
  <c r="R7" i="66" s="1"/>
  <c r="P7" i="66"/>
  <c r="R80" i="65" a="1"/>
  <c r="R80" i="65" s="1"/>
  <c r="S80" i="65" a="1"/>
  <c r="S80" i="65" s="1"/>
  <c r="P80" i="65"/>
  <c r="P77" i="65"/>
  <c r="S77" i="65" a="1"/>
  <c r="S77" i="65" s="1"/>
  <c r="R77" i="65" a="1"/>
  <c r="R77" i="65" s="1"/>
  <c r="R76" i="65" a="1"/>
  <c r="R76" i="65" s="1"/>
  <c r="S71" i="65" a="1"/>
  <c r="S71" i="65" s="1"/>
  <c r="P71" i="65"/>
  <c r="R71" i="65" a="1"/>
  <c r="R71" i="65" s="1"/>
  <c r="Q76" i="65" a="1"/>
  <c r="Q76" i="65" s="1"/>
  <c r="S73" i="65" a="1"/>
  <c r="S73" i="65" s="1"/>
  <c r="R74" i="65" a="1"/>
  <c r="R74" i="65" s="1"/>
  <c r="P72" i="65"/>
  <c r="Q72" i="65" a="1"/>
  <c r="Q72" i="65" s="1"/>
  <c r="R72" i="65" a="1"/>
  <c r="R72" i="65" s="1"/>
  <c r="S72" i="65" a="1"/>
  <c r="S72" i="65" s="1"/>
  <c r="P79" i="65"/>
  <c r="R79" i="65" a="1"/>
  <c r="R79" i="65" s="1"/>
  <c r="Q79" i="65" a="1"/>
  <c r="Q79" i="65" s="1"/>
  <c r="S79" i="65" a="1"/>
  <c r="S79" i="65" s="1"/>
  <c r="S76" i="65" a="1"/>
  <c r="S76" i="65" s="1"/>
  <c r="Q26" i="65" a="1"/>
  <c r="Q26" i="65" s="1"/>
  <c r="P26" i="65"/>
  <c r="R26" i="65" a="1"/>
  <c r="R26" i="65" s="1"/>
  <c r="R27" i="65" a="1"/>
  <c r="R27" i="65" s="1"/>
  <c r="S27" i="65" a="1"/>
  <c r="S27" i="65" s="1"/>
  <c r="S26" i="65" a="1"/>
  <c r="S26" i="65" s="1"/>
  <c r="R24" i="65" a="1"/>
  <c r="R24" i="65" s="1"/>
  <c r="S24" i="65" a="1"/>
  <c r="S24" i="65" s="1"/>
  <c r="Q15" i="65" a="1"/>
  <c r="Q15" i="65" s="1"/>
  <c r="P15" i="65"/>
  <c r="A20" i="66"/>
  <c r="A18" i="65"/>
  <c r="A20" i="65"/>
  <c r="P29" i="65"/>
  <c r="R29" i="65" a="1"/>
  <c r="R29" i="65" s="1"/>
  <c r="Q29" i="65" a="1"/>
  <c r="Q29" i="65" s="1"/>
  <c r="Q33" i="65" a="1"/>
  <c r="Q33" i="65" s="1"/>
  <c r="R28" i="65" a="1"/>
  <c r="R28" i="65" s="1"/>
  <c r="P28" i="65"/>
  <c r="S28" i="65" a="1"/>
  <c r="S28" i="65" s="1"/>
  <c r="R30" i="65" a="1"/>
  <c r="R30" i="65" s="1"/>
  <c r="Q30" i="65" a="1"/>
  <c r="Q30" i="65" s="1"/>
  <c r="R33" i="65" a="1"/>
  <c r="R33" i="65" s="1"/>
  <c r="S33" i="65" a="1"/>
  <c r="S33" i="65" s="1"/>
  <c r="S30" i="65" a="1"/>
  <c r="S30" i="65" s="1"/>
  <c r="Q32" i="65" a="1"/>
  <c r="Q32" i="65" s="1"/>
  <c r="R32" i="65" a="1"/>
  <c r="R32" i="65" s="1"/>
  <c r="S32" i="65" a="1"/>
  <c r="S32" i="65" s="1"/>
  <c r="P32" i="65"/>
  <c r="P31" i="65"/>
  <c r="R31" i="65" a="1"/>
  <c r="R31" i="65" s="1"/>
  <c r="S31" i="65" a="1"/>
  <c r="S31" i="65" s="1"/>
  <c r="Q31" i="65" a="1"/>
  <c r="Q31" i="65" s="1"/>
  <c r="Q24" i="65" a="1"/>
  <c r="Q24" i="65" s="1"/>
  <c r="P25" i="65"/>
  <c r="S25" i="65" a="1"/>
  <c r="S25" i="65" s="1"/>
  <c r="R25" i="65" a="1"/>
  <c r="R25" i="65" s="1"/>
  <c r="Q25" i="65" a="1"/>
  <c r="Q25" i="65" s="1"/>
  <c r="P18" i="65"/>
  <c r="Q4" i="65" a="1"/>
  <c r="Q4" i="65" s="1"/>
  <c r="Q6" i="65" a="1"/>
  <c r="Q6" i="65" s="1"/>
  <c r="R4" i="65" a="1"/>
  <c r="R4" i="65" s="1"/>
  <c r="P7" i="36"/>
  <c r="V7" i="36" s="1" a="1"/>
  <c r="V7" i="36" s="1"/>
  <c r="Q18" i="65" a="1"/>
  <c r="Q18" i="65" s="1"/>
  <c r="R18" i="65" a="1"/>
  <c r="R18" i="65" s="1"/>
  <c r="R12" i="65" a="1"/>
  <c r="R12" i="65" s="1"/>
  <c r="S17" i="65" a="1"/>
  <c r="S17" i="65" s="1"/>
  <c r="P17" i="65"/>
  <c r="Q12" i="65" a="1"/>
  <c r="Q12" i="65" s="1"/>
  <c r="S13" i="65" a="1"/>
  <c r="S13" i="65" s="1"/>
  <c r="S15" i="65" a="1"/>
  <c r="S15" i="65" s="1"/>
  <c r="Q16" i="65" a="1"/>
  <c r="Q16" i="65" s="1"/>
  <c r="R16" i="65" a="1"/>
  <c r="R16" i="65" s="1"/>
  <c r="R17" i="65" a="1"/>
  <c r="R17" i="65" s="1"/>
  <c r="S20" i="65" a="1"/>
  <c r="S20" i="65" s="1"/>
  <c r="P19" i="65"/>
  <c r="R19" i="65" a="1"/>
  <c r="R19" i="65" s="1"/>
  <c r="S19" i="65" a="1"/>
  <c r="S19" i="65" s="1"/>
  <c r="P10" i="65"/>
  <c r="Q10" i="65" a="1"/>
  <c r="Q10" i="65" s="1"/>
  <c r="R10" i="65" a="1"/>
  <c r="R10" i="65" s="1"/>
  <c r="S9" i="65" a="1"/>
  <c r="S9" i="65" s="1"/>
  <c r="P4" i="65"/>
  <c r="Q8" i="65" a="1"/>
  <c r="Q8" i="65" s="1"/>
  <c r="Q9" i="65" a="1"/>
  <c r="Q9" i="65" s="1"/>
  <c r="P9" i="65"/>
  <c r="S7" i="65" a="1"/>
  <c r="S7" i="65" s="1"/>
  <c r="Q7" i="65" a="1"/>
  <c r="Q7" i="65" s="1"/>
  <c r="R7" i="65" a="1"/>
  <c r="R7" i="65" s="1"/>
  <c r="R6" i="65" a="1"/>
  <c r="R6" i="65" s="1"/>
  <c r="R5" i="65" a="1"/>
  <c r="R5" i="65" s="1"/>
  <c r="R11" i="65" a="1"/>
  <c r="R11" i="65" s="1"/>
  <c r="S6" i="65" a="1"/>
  <c r="S6" i="65" s="1"/>
  <c r="S11" i="65" a="1"/>
  <c r="S11" i="65" s="1"/>
  <c r="R14" i="65" a="1"/>
  <c r="R14" i="65" s="1"/>
  <c r="P14" i="65"/>
  <c r="Q14" i="65" a="1"/>
  <c r="Q14" i="65" s="1"/>
  <c r="P5" i="65"/>
  <c r="Q11" i="65" a="1"/>
  <c r="Q11" i="65" s="1"/>
  <c r="Q5" i="65" a="1"/>
  <c r="Q5" i="65" s="1"/>
  <c r="R8" i="65" a="1"/>
  <c r="R8" i="65" s="1"/>
  <c r="P8" i="65"/>
  <c r="S12" i="65" a="1"/>
  <c r="S12" i="65" s="1"/>
  <c r="P13" i="65"/>
  <c r="R13" i="65" a="1"/>
  <c r="R13" i="65" s="1"/>
  <c r="Q8" i="36" a="1"/>
  <c r="Q8" i="36" s="1"/>
  <c r="R8" i="36" s="1"/>
  <c r="T8" i="36" a="1"/>
  <c r="T8" i="36" s="1"/>
  <c r="S8" i="36" a="1"/>
  <c r="S8" i="36" s="1"/>
  <c r="P6" i="36"/>
  <c r="V6" i="36" s="1" a="1"/>
  <c r="V6" i="36" s="1"/>
  <c r="O5" i="36"/>
  <c r="P5" i="36"/>
  <c r="V5" i="36" s="1" a="1"/>
  <c r="V5" i="36" s="1"/>
  <c r="O19" i="43"/>
  <c r="O18" i="43"/>
  <c r="O17" i="43"/>
  <c r="O16" i="43"/>
  <c r="Q109" i="64" a="1"/>
  <c r="Q109" i="64" s="1"/>
  <c r="S192" i="64" a="1"/>
  <c r="S192" i="64" s="1"/>
  <c r="Q187" i="64" a="1"/>
  <c r="Q187" i="64" s="1"/>
  <c r="R158" i="64" a="1"/>
  <c r="R158" i="64" s="1"/>
  <c r="Q193" i="64" a="1"/>
  <c r="Q193" i="64" s="1"/>
  <c r="Q196" i="64" a="1"/>
  <c r="Q196" i="64" s="1"/>
  <c r="S187" i="64" a="1"/>
  <c r="S187" i="64" s="1"/>
  <c r="Q155" i="64" a="1"/>
  <c r="Q155" i="64" s="1"/>
  <c r="S181" i="64" a="1"/>
  <c r="S181" i="64" s="1"/>
  <c r="S195" i="64" a="1"/>
  <c r="S195" i="64" s="1"/>
  <c r="R145" i="64" a="1"/>
  <c r="R145" i="64" s="1"/>
  <c r="S127" i="64" a="1"/>
  <c r="S127" i="64" s="1"/>
  <c r="S189" i="64" a="1"/>
  <c r="S189" i="64" s="1"/>
  <c r="S105" i="64" a="1"/>
  <c r="S105" i="64" s="1"/>
  <c r="Q183" i="64" a="1"/>
  <c r="Q183" i="64" s="1"/>
  <c r="S61" i="64" a="1"/>
  <c r="S61" i="64" s="1"/>
  <c r="R146" i="64" a="1"/>
  <c r="R146" i="64" s="1"/>
  <c r="Q124" i="64" a="1"/>
  <c r="Q124" i="64" s="1"/>
  <c r="Q76" i="64" a="1"/>
  <c r="Q76" i="64" s="1"/>
  <c r="Q190" i="64" a="1"/>
  <c r="Q190" i="64" s="1"/>
  <c r="S145" i="64" a="1"/>
  <c r="S145" i="64" s="1"/>
  <c r="R121" i="64" a="1"/>
  <c r="R121" i="64" s="1"/>
  <c r="S70" i="64" a="1"/>
  <c r="S70" i="64" s="1"/>
  <c r="R112" i="64" a="1"/>
  <c r="R112" i="64" s="1"/>
  <c r="Q70" i="64" a="1"/>
  <c r="Q70" i="64" s="1"/>
  <c r="S142" i="64" a="1"/>
  <c r="S142" i="64" s="1"/>
  <c r="S64" i="64" a="1"/>
  <c r="S64" i="64" s="1"/>
  <c r="R140" i="64" a="1"/>
  <c r="R140" i="64" s="1"/>
  <c r="R199" i="64" a="1"/>
  <c r="R199" i="64" s="1"/>
  <c r="Q186" i="64" a="1"/>
  <c r="Q186" i="64" s="1"/>
  <c r="Q158" i="64" a="1"/>
  <c r="Q158" i="64" s="1"/>
  <c r="R136" i="64" a="1"/>
  <c r="R136" i="64" s="1"/>
  <c r="R99" i="64" a="1"/>
  <c r="R99" i="64" s="1"/>
  <c r="S58" i="64" a="1"/>
  <c r="S58" i="64" s="1"/>
  <c r="Q199" i="64" a="1"/>
  <c r="Q199" i="64" s="1"/>
  <c r="Q185" i="64" a="1"/>
  <c r="Q185" i="64" s="1"/>
  <c r="S155" i="64" a="1"/>
  <c r="S155" i="64" s="1"/>
  <c r="Q134" i="64" a="1"/>
  <c r="Q134" i="64" s="1"/>
  <c r="R98" i="64" a="1"/>
  <c r="R98" i="64" s="1"/>
  <c r="S52" i="64" a="1"/>
  <c r="S52" i="64" s="1"/>
  <c r="S198" i="64" a="1"/>
  <c r="S198" i="64" s="1"/>
  <c r="R184" i="64" a="1"/>
  <c r="R184" i="64" s="1"/>
  <c r="R155" i="64" a="1"/>
  <c r="R155" i="64" s="1"/>
  <c r="Q133" i="64" a="1"/>
  <c r="Q133" i="64" s="1"/>
  <c r="S92" i="64" a="1"/>
  <c r="S92" i="64" s="1"/>
  <c r="S46" i="64" a="1"/>
  <c r="S46" i="64" s="1"/>
  <c r="Q130" i="64" a="1"/>
  <c r="Q130" i="64" s="1"/>
  <c r="R88" i="64" a="1"/>
  <c r="R88" i="64" s="1"/>
  <c r="S40" i="64" a="1"/>
  <c r="S40" i="64" s="1"/>
  <c r="Q152" i="64" a="1"/>
  <c r="Q152" i="64" s="1"/>
  <c r="R86" i="64" a="1"/>
  <c r="R86" i="64" s="1"/>
  <c r="R193" i="64" a="1"/>
  <c r="R193" i="64" s="1"/>
  <c r="R182" i="64" a="1"/>
  <c r="R182" i="64" s="1"/>
  <c r="S151" i="64" a="1"/>
  <c r="S151" i="64" s="1"/>
  <c r="Q127" i="64" a="1"/>
  <c r="Q127" i="64" s="1"/>
  <c r="Q82" i="64" a="1"/>
  <c r="Q82" i="64" s="1"/>
  <c r="Q182" i="64" a="1"/>
  <c r="Q182" i="64" s="1"/>
  <c r="S148" i="64" a="1"/>
  <c r="S148" i="64" s="1"/>
  <c r="S124" i="64" a="1"/>
  <c r="S124" i="64" s="1"/>
  <c r="S79" i="64" a="1"/>
  <c r="S79" i="64" s="1"/>
  <c r="S95" i="64" a="1"/>
  <c r="S95" i="64" s="1"/>
  <c r="Q89" i="64" a="1"/>
  <c r="Q89" i="64" s="1"/>
  <c r="R196" i="64" a="1"/>
  <c r="R196" i="64" s="1"/>
  <c r="R190" i="64" a="1"/>
  <c r="R190" i="64" s="1"/>
  <c r="R187" i="64" a="1"/>
  <c r="R187" i="64" s="1"/>
  <c r="S184" i="64" a="1"/>
  <c r="S184" i="64" s="1"/>
  <c r="R152" i="64" a="1"/>
  <c r="R152" i="64" s="1"/>
  <c r="Q149" i="64" a="1"/>
  <c r="Q149" i="64" s="1"/>
  <c r="Q146" i="64" a="1"/>
  <c r="Q146" i="64" s="1"/>
  <c r="Q143" i="64" a="1"/>
  <c r="Q143" i="64" s="1"/>
  <c r="Q140" i="64" a="1"/>
  <c r="Q140" i="64" s="1"/>
  <c r="S136" i="64" a="1"/>
  <c r="S136" i="64" s="1"/>
  <c r="S133" i="64" a="1"/>
  <c r="S133" i="64" s="1"/>
  <c r="S130" i="64" a="1"/>
  <c r="S130" i="64" s="1"/>
  <c r="Q121" i="64" a="1"/>
  <c r="Q121" i="64" s="1"/>
  <c r="R118" i="64" a="1"/>
  <c r="R118" i="64" s="1"/>
  <c r="R115" i="64" a="1"/>
  <c r="R115" i="64" s="1"/>
  <c r="Q112" i="64" a="1"/>
  <c r="Q112" i="64" s="1"/>
  <c r="R105" i="64" a="1"/>
  <c r="R105" i="64" s="1"/>
  <c r="R102" i="64" a="1"/>
  <c r="R102" i="64" s="1"/>
  <c r="Q99" i="64" a="1"/>
  <c r="Q99" i="64" s="1"/>
  <c r="R92" i="64" a="1"/>
  <c r="R92" i="64" s="1"/>
  <c r="Q86" i="64" a="1"/>
  <c r="Q86" i="64" s="1"/>
  <c r="S82" i="64" a="1"/>
  <c r="S82" i="64" s="1"/>
  <c r="S76" i="64" a="1"/>
  <c r="S76" i="64" s="1"/>
  <c r="R73" i="64" a="1"/>
  <c r="R73" i="64" s="1"/>
  <c r="R67" i="64" a="1"/>
  <c r="R67" i="64" s="1"/>
  <c r="R64" i="64" a="1"/>
  <c r="R64" i="64" s="1"/>
  <c r="R61" i="64" a="1"/>
  <c r="R61" i="64" s="1"/>
  <c r="R58" i="64" a="1"/>
  <c r="R58" i="64" s="1"/>
  <c r="R55" i="64" a="1"/>
  <c r="R55" i="64" s="1"/>
  <c r="R52" i="64" a="1"/>
  <c r="R52" i="64" s="1"/>
  <c r="R49" i="64" a="1"/>
  <c r="R49" i="64" s="1"/>
  <c r="R43" i="64" a="1"/>
  <c r="R43" i="64" s="1"/>
  <c r="R40" i="64" a="1"/>
  <c r="R40" i="64" s="1"/>
  <c r="Q83" i="64" a="1"/>
  <c r="Q83" i="64" s="1"/>
  <c r="S139" i="64" a="1"/>
  <c r="S139" i="64" s="1"/>
  <c r="R133" i="64" a="1"/>
  <c r="R133" i="64" s="1"/>
  <c r="R130" i="64" a="1"/>
  <c r="R130" i="64" s="1"/>
  <c r="R124" i="64" a="1"/>
  <c r="R124" i="64" s="1"/>
  <c r="Q118" i="64" a="1"/>
  <c r="Q118" i="64" s="1"/>
  <c r="Q115" i="64" a="1"/>
  <c r="Q115" i="64" s="1"/>
  <c r="S111" i="64" a="1"/>
  <c r="S111" i="64" s="1"/>
  <c r="S108" i="64" a="1"/>
  <c r="S108" i="64" s="1"/>
  <c r="Q105" i="64" a="1"/>
  <c r="Q105" i="64" s="1"/>
  <c r="Q102" i="64" a="1"/>
  <c r="Q102" i="64" s="1"/>
  <c r="S98" i="64" a="1"/>
  <c r="S98" i="64" s="1"/>
  <c r="R95" i="64" a="1"/>
  <c r="R95" i="64" s="1"/>
  <c r="S88" i="64" a="1"/>
  <c r="S88" i="64" s="1"/>
  <c r="S85" i="64" a="1"/>
  <c r="S85" i="64" s="1"/>
  <c r="R82" i="64" a="1"/>
  <c r="R82" i="64" s="1"/>
  <c r="R79" i="64" a="1"/>
  <c r="R79" i="64" s="1"/>
  <c r="Q73" i="64" a="1"/>
  <c r="Q73" i="64" s="1"/>
  <c r="R70" i="64" a="1"/>
  <c r="R70" i="64" s="1"/>
  <c r="Q67" i="64" a="1"/>
  <c r="Q67" i="64" s="1"/>
  <c r="Q58" i="64" a="1"/>
  <c r="Q58" i="64" s="1"/>
  <c r="Q55" i="64" a="1"/>
  <c r="Q55" i="64" s="1"/>
  <c r="Q49" i="64" a="1"/>
  <c r="Q49" i="64" s="1"/>
  <c r="R46" i="64" a="1"/>
  <c r="R46" i="64" s="1"/>
  <c r="Q43" i="64" a="1"/>
  <c r="Q43" i="64" s="1"/>
  <c r="Q40" i="64" a="1"/>
  <c r="Q40" i="64" s="1"/>
  <c r="S120" i="64" a="1"/>
  <c r="S120" i="64" s="1"/>
  <c r="S117" i="64" a="1"/>
  <c r="S117" i="64" s="1"/>
  <c r="S114" i="64" a="1"/>
  <c r="S114" i="64" s="1"/>
  <c r="R108" i="64" a="1"/>
  <c r="R108" i="64" s="1"/>
  <c r="S101" i="64" a="1"/>
  <c r="S101" i="64" s="1"/>
  <c r="Q95" i="64" a="1"/>
  <c r="Q95" i="64" s="1"/>
  <c r="S91" i="64" a="1"/>
  <c r="S91" i="64" s="1"/>
  <c r="R85" i="64" a="1"/>
  <c r="R85" i="64" s="1"/>
  <c r="Q79" i="64" a="1"/>
  <c r="Q79" i="64" s="1"/>
  <c r="S63" i="64" a="1"/>
  <c r="S63" i="64" s="1"/>
  <c r="S57" i="64" a="1"/>
  <c r="S57" i="64" s="1"/>
  <c r="S51" i="64" a="1"/>
  <c r="S51" i="64" s="1"/>
  <c r="R195" i="64" a="1"/>
  <c r="R195" i="64" s="1"/>
  <c r="R189" i="64" a="1"/>
  <c r="R189" i="64" s="1"/>
  <c r="S186" i="64" a="1"/>
  <c r="S186" i="64" s="1"/>
  <c r="R181" i="64" a="1"/>
  <c r="R181" i="64" s="1"/>
  <c r="S157" i="64" a="1"/>
  <c r="S157" i="64" s="1"/>
  <c r="S154" i="64" a="1"/>
  <c r="S154" i="64" s="1"/>
  <c r="Q145" i="64" a="1"/>
  <c r="Q145" i="64" s="1"/>
  <c r="R142" i="64" a="1"/>
  <c r="R142" i="64" s="1"/>
  <c r="R139" i="64" a="1"/>
  <c r="R139" i="64" s="1"/>
  <c r="Q136" i="64" a="1"/>
  <c r="Q136" i="64" s="1"/>
  <c r="S129" i="64" a="1"/>
  <c r="S129" i="64" s="1"/>
  <c r="S126" i="64" a="1"/>
  <c r="S126" i="64" s="1"/>
  <c r="S123" i="64" a="1"/>
  <c r="S123" i="64" s="1"/>
  <c r="R117" i="64" a="1"/>
  <c r="R117" i="64" s="1"/>
  <c r="R114" i="64" a="1"/>
  <c r="R114" i="64" s="1"/>
  <c r="R111" i="64" a="1"/>
  <c r="R111" i="64" s="1"/>
  <c r="Q108" i="64" a="1"/>
  <c r="Q108" i="64" s="1"/>
  <c r="S104" i="64" a="1"/>
  <c r="S104" i="64" s="1"/>
  <c r="R101" i="64" a="1"/>
  <c r="R101" i="64" s="1"/>
  <c r="Q98" i="64" a="1"/>
  <c r="Q98" i="64" s="1"/>
  <c r="S94" i="64" a="1"/>
  <c r="S94" i="64" s="1"/>
  <c r="Q88" i="64" a="1"/>
  <c r="Q88" i="64" s="1"/>
  <c r="S81" i="64" a="1"/>
  <c r="S81" i="64" s="1"/>
  <c r="S75" i="64" a="1"/>
  <c r="S75" i="64" s="1"/>
  <c r="S72" i="64" a="1"/>
  <c r="S72" i="64" s="1"/>
  <c r="S69" i="64" a="1"/>
  <c r="S69" i="64" s="1"/>
  <c r="S66" i="64" a="1"/>
  <c r="S66" i="64" s="1"/>
  <c r="S60" i="64" a="1"/>
  <c r="S60" i="64" s="1"/>
  <c r="S54" i="64" a="1"/>
  <c r="S54" i="64" s="1"/>
  <c r="S48" i="64" a="1"/>
  <c r="S48" i="64" s="1"/>
  <c r="S45" i="64" a="1"/>
  <c r="S45" i="64" s="1"/>
  <c r="S42" i="64" a="1"/>
  <c r="S42" i="64" s="1"/>
  <c r="R198" i="64" a="1"/>
  <c r="R198" i="64" s="1"/>
  <c r="R192" i="64" a="1"/>
  <c r="R192" i="64" s="1"/>
  <c r="R157" i="64" a="1"/>
  <c r="R157" i="64" s="1"/>
  <c r="R154" i="64" a="1"/>
  <c r="R154" i="64" s="1"/>
  <c r="R151" i="64" a="1"/>
  <c r="R151" i="64" s="1"/>
  <c r="R148" i="64" a="1"/>
  <c r="R148" i="64" s="1"/>
  <c r="S135" i="64" a="1"/>
  <c r="S135" i="64" s="1"/>
  <c r="S132" i="64" a="1"/>
  <c r="S132" i="64" s="1"/>
  <c r="R129" i="64" a="1"/>
  <c r="R129" i="64" s="1"/>
  <c r="R120" i="64" a="1"/>
  <c r="R120" i="64" s="1"/>
  <c r="Q117" i="64" a="1"/>
  <c r="Q117" i="64" s="1"/>
  <c r="Q114" i="64" a="1"/>
  <c r="Q114" i="64" s="1"/>
  <c r="Q111" i="64" a="1"/>
  <c r="Q111" i="64" s="1"/>
  <c r="S107" i="64" a="1"/>
  <c r="S107" i="64" s="1"/>
  <c r="R104" i="64" a="1"/>
  <c r="R104" i="64" s="1"/>
  <c r="Q101" i="64" a="1"/>
  <c r="Q101" i="64" s="1"/>
  <c r="S97" i="64" a="1"/>
  <c r="S97" i="64" s="1"/>
  <c r="R91" i="64" a="1"/>
  <c r="R91" i="64" s="1"/>
  <c r="S87" i="64" a="1"/>
  <c r="S87" i="64" s="1"/>
  <c r="S78" i="64" a="1"/>
  <c r="S78" i="64" s="1"/>
  <c r="R72" i="64" a="1"/>
  <c r="R72" i="64" s="1"/>
  <c r="R69" i="64" a="1"/>
  <c r="R69" i="64" s="1"/>
  <c r="R66" i="64" a="1"/>
  <c r="R66" i="64" s="1"/>
  <c r="R63" i="64" a="1"/>
  <c r="R63" i="64" s="1"/>
  <c r="R60" i="64" a="1"/>
  <c r="R60" i="64" s="1"/>
  <c r="R57" i="64" a="1"/>
  <c r="R57" i="64" s="1"/>
  <c r="R51" i="64" a="1"/>
  <c r="R51" i="64" s="1"/>
  <c r="R48" i="64" a="1"/>
  <c r="R48" i="64" s="1"/>
  <c r="R45" i="64" a="1"/>
  <c r="R45" i="64" s="1"/>
  <c r="R42" i="64" a="1"/>
  <c r="R42" i="64" s="1"/>
  <c r="Q198" i="64" a="1"/>
  <c r="Q198" i="64" s="1"/>
  <c r="Q195" i="64" a="1"/>
  <c r="Q195" i="64" s="1"/>
  <c r="Q192" i="64" a="1"/>
  <c r="Q192" i="64" s="1"/>
  <c r="Q189" i="64" a="1"/>
  <c r="Q189" i="64" s="1"/>
  <c r="S183" i="64" a="1"/>
  <c r="S183" i="64" s="1"/>
  <c r="Q181" i="64" a="1"/>
  <c r="Q181" i="64" s="1"/>
  <c r="S144" i="64" a="1"/>
  <c r="S144" i="64" s="1"/>
  <c r="S141" i="64" a="1"/>
  <c r="S141" i="64" s="1"/>
  <c r="S138" i="64" a="1"/>
  <c r="S138" i="64" s="1"/>
  <c r="Q129" i="64" a="1"/>
  <c r="Q129" i="64" s="1"/>
  <c r="R126" i="64" a="1"/>
  <c r="R126" i="64" s="1"/>
  <c r="R123" i="64" a="1"/>
  <c r="R123" i="64" s="1"/>
  <c r="Q120" i="64" a="1"/>
  <c r="Q120" i="64" s="1"/>
  <c r="S113" i="64" a="1"/>
  <c r="S113" i="64" s="1"/>
  <c r="S110" i="64" a="1"/>
  <c r="S110" i="64" s="1"/>
  <c r="Q104" i="64" a="1"/>
  <c r="Q104" i="64" s="1"/>
  <c r="R97" i="64" a="1"/>
  <c r="R97" i="64" s="1"/>
  <c r="R94" i="64" a="1"/>
  <c r="R94" i="64" s="1"/>
  <c r="S84" i="64" a="1"/>
  <c r="S84" i="64" s="1"/>
  <c r="R81" i="64" a="1"/>
  <c r="R81" i="64" s="1"/>
  <c r="R75" i="64" a="1"/>
  <c r="R75" i="64" s="1"/>
  <c r="Q72" i="64" a="1"/>
  <c r="Q72" i="64" s="1"/>
  <c r="Q69" i="64" a="1"/>
  <c r="Q69" i="64" s="1"/>
  <c r="Q66" i="64" a="1"/>
  <c r="Q66" i="64" s="1"/>
  <c r="Q63" i="64" a="1"/>
  <c r="Q63" i="64" s="1"/>
  <c r="Q60" i="64" a="1"/>
  <c r="Q60" i="64" s="1"/>
  <c r="Q57" i="64" a="1"/>
  <c r="Q57" i="64" s="1"/>
  <c r="R54" i="64" a="1"/>
  <c r="R54" i="64" s="1"/>
  <c r="Q51" i="64" a="1"/>
  <c r="Q51" i="64" s="1"/>
  <c r="Q48" i="64" a="1"/>
  <c r="Q48" i="64" s="1"/>
  <c r="Q45" i="64" a="1"/>
  <c r="Q45" i="64" s="1"/>
  <c r="Q42" i="64" a="1"/>
  <c r="Q42" i="64" s="1"/>
  <c r="S197" i="64" a="1"/>
  <c r="S197" i="64" s="1"/>
  <c r="S194" i="64" a="1"/>
  <c r="S194" i="64" s="1"/>
  <c r="S191" i="64" a="1"/>
  <c r="S191" i="64" s="1"/>
  <c r="S188" i="64" a="1"/>
  <c r="S188" i="64" s="1"/>
  <c r="R183" i="64" a="1"/>
  <c r="R183" i="64" s="1"/>
  <c r="S153" i="64" a="1"/>
  <c r="S153" i="64" s="1"/>
  <c r="S150" i="64" a="1"/>
  <c r="S150" i="64" s="1"/>
  <c r="S147" i="64" a="1"/>
  <c r="S147" i="64" s="1"/>
  <c r="R141" i="64" a="1"/>
  <c r="R141" i="64" s="1"/>
  <c r="R138" i="64" a="1"/>
  <c r="R138" i="64" s="1"/>
  <c r="R135" i="64" a="1"/>
  <c r="R135" i="64" s="1"/>
  <c r="R132" i="64" a="1"/>
  <c r="R132" i="64" s="1"/>
  <c r="Q126" i="64" a="1"/>
  <c r="Q126" i="64" s="1"/>
  <c r="Q123" i="64" a="1"/>
  <c r="Q123" i="64" s="1"/>
  <c r="S119" i="64" a="1"/>
  <c r="S119" i="64" s="1"/>
  <c r="S116" i="64" a="1"/>
  <c r="S116" i="64" s="1"/>
  <c r="R113" i="64" a="1"/>
  <c r="R113" i="64" s="1"/>
  <c r="R107" i="64" a="1"/>
  <c r="R107" i="64" s="1"/>
  <c r="S103" i="64" a="1"/>
  <c r="S103" i="64" s="1"/>
  <c r="S100" i="64" a="1"/>
  <c r="S100" i="64" s="1"/>
  <c r="Q97" i="64" a="1"/>
  <c r="Q97" i="64" s="1"/>
  <c r="S90" i="64" a="1"/>
  <c r="S90" i="64" s="1"/>
  <c r="R87" i="64" a="1"/>
  <c r="R87" i="64" s="1"/>
  <c r="R84" i="64" a="1"/>
  <c r="R84" i="64" s="1"/>
  <c r="Q81" i="64" a="1"/>
  <c r="Q81" i="64" s="1"/>
  <c r="R78" i="64" a="1"/>
  <c r="R78" i="64" s="1"/>
  <c r="Q75" i="64" a="1"/>
  <c r="Q75" i="64" s="1"/>
  <c r="S71" i="64" a="1"/>
  <c r="S71" i="64" s="1"/>
  <c r="S65" i="64" a="1"/>
  <c r="S65" i="64" s="1"/>
  <c r="S59" i="64" a="1"/>
  <c r="S59" i="64" s="1"/>
  <c r="Q54" i="64" a="1"/>
  <c r="Q54" i="64" s="1"/>
  <c r="S47" i="64" a="1"/>
  <c r="S47" i="64" s="1"/>
  <c r="S41" i="64" a="1"/>
  <c r="S41" i="64" s="1"/>
  <c r="R197" i="64" a="1"/>
  <c r="R197" i="64" s="1"/>
  <c r="R191" i="64" a="1"/>
  <c r="R191" i="64" s="1"/>
  <c r="S156" i="64" a="1"/>
  <c r="S156" i="64" s="1"/>
  <c r="R153" i="64" a="1"/>
  <c r="R153" i="64" s="1"/>
  <c r="R144" i="64" a="1"/>
  <c r="R144" i="64" s="1"/>
  <c r="Q141" i="64" a="1"/>
  <c r="Q141" i="64" s="1"/>
  <c r="Q138" i="64" a="1"/>
  <c r="Q138" i="64" s="1"/>
  <c r="Q135" i="64" a="1"/>
  <c r="Q135" i="64" s="1"/>
  <c r="Q132" i="64" a="1"/>
  <c r="Q132" i="64" s="1"/>
  <c r="S128" i="64" a="1"/>
  <c r="S128" i="64" s="1"/>
  <c r="S125" i="64" a="1"/>
  <c r="S125" i="64" s="1"/>
  <c r="S122" i="64" a="1"/>
  <c r="S122" i="64" s="1"/>
  <c r="Q113" i="64" a="1"/>
  <c r="Q113" i="64" s="1"/>
  <c r="R110" i="64" a="1"/>
  <c r="R110" i="64" s="1"/>
  <c r="Q107" i="64" a="1"/>
  <c r="Q107" i="64" s="1"/>
  <c r="R100" i="64" a="1"/>
  <c r="R100" i="64" s="1"/>
  <c r="S93" i="64" a="1"/>
  <c r="S93" i="64" s="1"/>
  <c r="R90" i="64" a="1"/>
  <c r="R90" i="64" s="1"/>
  <c r="Q87" i="64" a="1"/>
  <c r="Q87" i="64" s="1"/>
  <c r="Q84" i="64" a="1"/>
  <c r="Q84" i="64" s="1"/>
  <c r="Q78" i="64" a="1"/>
  <c r="Q78" i="64" s="1"/>
  <c r="S74" i="64" a="1"/>
  <c r="S74" i="64" s="1"/>
  <c r="S68" i="64" a="1"/>
  <c r="S68" i="64" s="1"/>
  <c r="S62" i="64" a="1"/>
  <c r="S62" i="64" s="1"/>
  <c r="S56" i="64" a="1"/>
  <c r="S56" i="64" s="1"/>
  <c r="S53" i="64" a="1"/>
  <c r="S53" i="64" s="1"/>
  <c r="S50" i="64" a="1"/>
  <c r="S50" i="64" s="1"/>
  <c r="S44" i="64" a="1"/>
  <c r="S44" i="64" s="1"/>
  <c r="R194" i="64" a="1"/>
  <c r="R194" i="64" s="1"/>
  <c r="R188" i="64" a="1"/>
  <c r="R188" i="64" s="1"/>
  <c r="S185" i="64" a="1"/>
  <c r="S185" i="64" s="1"/>
  <c r="Q153" i="64" a="1"/>
  <c r="Q153" i="64" s="1"/>
  <c r="R150" i="64" a="1"/>
  <c r="R150" i="64" s="1"/>
  <c r="R147" i="64" a="1"/>
  <c r="R147" i="64" s="1"/>
  <c r="Q144" i="64" a="1"/>
  <c r="Q144" i="64" s="1"/>
  <c r="S137" i="64" a="1"/>
  <c r="S137" i="64" s="1"/>
  <c r="S134" i="64" a="1"/>
  <c r="S134" i="64" s="1"/>
  <c r="S131" i="64" a="1"/>
  <c r="S131" i="64" s="1"/>
  <c r="R125" i="64" a="1"/>
  <c r="R125" i="64" s="1"/>
  <c r="R122" i="64" a="1"/>
  <c r="R122" i="64" s="1"/>
  <c r="R119" i="64" a="1"/>
  <c r="R119" i="64" s="1"/>
  <c r="R116" i="64" a="1"/>
  <c r="R116" i="64" s="1"/>
  <c r="S106" i="64" a="1"/>
  <c r="S106" i="64" s="1"/>
  <c r="R103" i="64" a="1"/>
  <c r="R103" i="64" s="1"/>
  <c r="S96" i="64" a="1"/>
  <c r="S96" i="64" s="1"/>
  <c r="R93" i="64" a="1"/>
  <c r="R93" i="64" s="1"/>
  <c r="Q90" i="64" a="1"/>
  <c r="Q90" i="64" s="1"/>
  <c r="S83" i="64" a="1"/>
  <c r="S83" i="64" s="1"/>
  <c r="S80" i="64" a="1"/>
  <c r="S80" i="64" s="1"/>
  <c r="S77" i="64" a="1"/>
  <c r="S77" i="64" s="1"/>
  <c r="R74" i="64" a="1"/>
  <c r="R74" i="64" s="1"/>
  <c r="R71" i="64" a="1"/>
  <c r="R71" i="64" s="1"/>
  <c r="R68" i="64" a="1"/>
  <c r="R68" i="64" s="1"/>
  <c r="R65" i="64" a="1"/>
  <c r="R65" i="64" s="1"/>
  <c r="R59" i="64" a="1"/>
  <c r="R59" i="64" s="1"/>
  <c r="R56" i="64" a="1"/>
  <c r="R56" i="64" s="1"/>
  <c r="R53" i="64" a="1"/>
  <c r="R53" i="64" s="1"/>
  <c r="R50" i="64" a="1"/>
  <c r="R50" i="64" s="1"/>
  <c r="R47" i="64" a="1"/>
  <c r="R47" i="64" s="1"/>
  <c r="R44" i="64" a="1"/>
  <c r="R44" i="64" s="1"/>
  <c r="R41" i="64" a="1"/>
  <c r="R41" i="64" s="1"/>
  <c r="R143" i="64" a="1"/>
  <c r="R143" i="64" s="1"/>
  <c r="Q131" i="64" a="1"/>
  <c r="Q131" i="64" s="1"/>
  <c r="Q197" i="64" a="1"/>
  <c r="Q197" i="64" s="1"/>
  <c r="Q194" i="64" a="1"/>
  <c r="Q194" i="64" s="1"/>
  <c r="Q191" i="64" a="1"/>
  <c r="Q191" i="64" s="1"/>
  <c r="R185" i="64" a="1"/>
  <c r="R185" i="64" s="1"/>
  <c r="S182" i="64" a="1"/>
  <c r="S182" i="64" s="1"/>
  <c r="R156" i="64" a="1"/>
  <c r="R156" i="64" s="1"/>
  <c r="Q150" i="64" a="1"/>
  <c r="Q150" i="64" s="1"/>
  <c r="Q147" i="64" a="1"/>
  <c r="Q147" i="64" s="1"/>
  <c r="S143" i="64" a="1"/>
  <c r="S143" i="64" s="1"/>
  <c r="S140" i="64" a="1"/>
  <c r="S140" i="64" s="1"/>
  <c r="R137" i="64" a="1"/>
  <c r="R137" i="64" s="1"/>
  <c r="R128" i="64" a="1"/>
  <c r="R128" i="64" s="1"/>
  <c r="Q125" i="64" a="1"/>
  <c r="Q125" i="64" s="1"/>
  <c r="Q119" i="64" a="1"/>
  <c r="Q119" i="64" s="1"/>
  <c r="Q116" i="64" a="1"/>
  <c r="Q116" i="64" s="1"/>
  <c r="S109" i="64" a="1"/>
  <c r="S109" i="64" s="1"/>
  <c r="R106" i="64" a="1"/>
  <c r="R106" i="64" s="1"/>
  <c r="Q103" i="64" a="1"/>
  <c r="Q103" i="64" s="1"/>
  <c r="S99" i="64" a="1"/>
  <c r="S99" i="64" s="1"/>
  <c r="R96" i="64" a="1"/>
  <c r="R96" i="64" s="1"/>
  <c r="Q93" i="64" a="1"/>
  <c r="Q93" i="64" s="1"/>
  <c r="S89" i="64" a="1"/>
  <c r="S89" i="64" s="1"/>
  <c r="S86" i="64" a="1"/>
  <c r="S86" i="64" s="1"/>
  <c r="R80" i="64" a="1"/>
  <c r="R80" i="64" s="1"/>
  <c r="R77" i="64" a="1"/>
  <c r="R77" i="64" s="1"/>
  <c r="Q71" i="64" a="1"/>
  <c r="Q71" i="64" s="1"/>
  <c r="Q68" i="64" a="1"/>
  <c r="Q68" i="64" s="1"/>
  <c r="Q65" i="64" a="1"/>
  <c r="Q65" i="64" s="1"/>
  <c r="R62" i="64" a="1"/>
  <c r="R62" i="64" s="1"/>
  <c r="Q59" i="64" a="1"/>
  <c r="Q59" i="64" s="1"/>
  <c r="Q53" i="64" a="1"/>
  <c r="Q53" i="64" s="1"/>
  <c r="Q50" i="64" a="1"/>
  <c r="Q50" i="64" s="1"/>
  <c r="Q47" i="64" a="1"/>
  <c r="Q47" i="64" s="1"/>
  <c r="Q41" i="64" a="1"/>
  <c r="Q41" i="64" s="1"/>
  <c r="R149" i="64" a="1"/>
  <c r="R149" i="64" s="1"/>
  <c r="S199" i="64" a="1"/>
  <c r="S199" i="64" s="1"/>
  <c r="S193" i="64" a="1"/>
  <c r="S193" i="64" s="1"/>
  <c r="Q188" i="64" a="1"/>
  <c r="Q188" i="64" s="1"/>
  <c r="Q156" i="64" a="1"/>
  <c r="Q156" i="64" s="1"/>
  <c r="S152" i="64" a="1"/>
  <c r="S152" i="64" s="1"/>
  <c r="S149" i="64" a="1"/>
  <c r="S149" i="64" s="1"/>
  <c r="Q137" i="64" a="1"/>
  <c r="Q137" i="64" s="1"/>
  <c r="R134" i="64" a="1"/>
  <c r="R134" i="64" s="1"/>
  <c r="R131" i="64" a="1"/>
  <c r="R131" i="64" s="1"/>
  <c r="Q128" i="64" a="1"/>
  <c r="Q128" i="64" s="1"/>
  <c r="S121" i="64" a="1"/>
  <c r="S121" i="64" s="1"/>
  <c r="S118" i="64" a="1"/>
  <c r="S118" i="64" s="1"/>
  <c r="R109" i="64" a="1"/>
  <c r="R109" i="64" s="1"/>
  <c r="S102" i="64" a="1"/>
  <c r="S102" i="64" s="1"/>
  <c r="Q96" i="64" a="1"/>
  <c r="Q96" i="64" s="1"/>
  <c r="R89" i="64" a="1"/>
  <c r="R89" i="64" s="1"/>
  <c r="R83" i="64" a="1"/>
  <c r="R83" i="64" s="1"/>
  <c r="Q77" i="64" a="1"/>
  <c r="Q77" i="64" s="1"/>
  <c r="S73" i="64" a="1"/>
  <c r="S73" i="64" s="1"/>
  <c r="P184" i="64"/>
  <c r="A15" i="64"/>
  <c r="P110" i="64"/>
  <c r="P146" i="64"/>
  <c r="P85" i="64"/>
  <c r="P56" i="64"/>
  <c r="P55" i="64"/>
  <c r="P190" i="64"/>
  <c r="P61" i="64"/>
  <c r="P127" i="64"/>
  <c r="P196" i="64"/>
  <c r="P43" i="64"/>
  <c r="P94" i="64"/>
  <c r="P52" i="64"/>
  <c r="P100" i="64"/>
  <c r="P151" i="64"/>
  <c r="P46" i="64"/>
  <c r="P148" i="64"/>
  <c r="P76" i="64"/>
  <c r="O36" i="64"/>
  <c r="O33" i="64"/>
  <c r="O39" i="64"/>
  <c r="O30" i="64"/>
  <c r="O31" i="64"/>
  <c r="O34" i="64"/>
  <c r="O37" i="64"/>
  <c r="O29" i="64"/>
  <c r="O32" i="64"/>
  <c r="O35" i="64"/>
  <c r="O38" i="64"/>
  <c r="O25" i="64"/>
  <c r="O28" i="64"/>
  <c r="O26" i="64"/>
  <c r="O24" i="64"/>
  <c r="O27" i="64"/>
  <c r="O22" i="64"/>
  <c r="O17" i="64"/>
  <c r="O20" i="64"/>
  <c r="O16" i="64"/>
  <c r="O23" i="64"/>
  <c r="O15" i="64"/>
  <c r="O18" i="64"/>
  <c r="O21" i="64"/>
  <c r="O19" i="64"/>
  <c r="P139" i="64"/>
  <c r="P44" i="64"/>
  <c r="P49" i="64"/>
  <c r="P154" i="64"/>
  <c r="P64" i="64"/>
  <c r="P74" i="64"/>
  <c r="P92" i="64"/>
  <c r="P106" i="64"/>
  <c r="P67" i="64"/>
  <c r="P142" i="64"/>
  <c r="P157" i="64"/>
  <c r="P62" i="64"/>
  <c r="P112" i="64"/>
  <c r="P186" i="64"/>
  <c r="P80" i="64"/>
  <c r="P115" i="64"/>
  <c r="P122" i="64"/>
  <c r="P91" i="64"/>
  <c r="O8" i="64"/>
  <c r="O14" i="64"/>
  <c r="O5" i="64"/>
  <c r="O11" i="64"/>
  <c r="O7" i="64"/>
  <c r="O9" i="64"/>
  <c r="O13" i="64"/>
  <c r="O12" i="64"/>
  <c r="O10" i="64"/>
  <c r="O6" i="64"/>
  <c r="O4" i="64"/>
  <c r="Q200" i="66" l="1"/>
  <c r="H13" i="43" s="1"/>
  <c r="S200" i="66"/>
  <c r="J13" i="43" s="1"/>
  <c r="K13" i="43"/>
  <c r="N13" i="43" s="1"/>
  <c r="A23" i="66"/>
  <c r="A23" i="65"/>
  <c r="A26" i="65" s="1"/>
  <c r="Q7" i="36" a="1"/>
  <c r="Q7" i="36" s="1"/>
  <c r="R7" i="36" s="1"/>
  <c r="T7" i="36" a="1"/>
  <c r="T7" i="36" s="1"/>
  <c r="S7" i="36" a="1"/>
  <c r="S7" i="36" s="1"/>
  <c r="S6" i="36" a="1"/>
  <c r="S6" i="36" s="1"/>
  <c r="Q6" i="36" a="1"/>
  <c r="Q6" i="36" s="1"/>
  <c r="R6" i="36" s="1"/>
  <c r="T6" i="36" a="1"/>
  <c r="T6" i="36" s="1"/>
  <c r="P200" i="65"/>
  <c r="K12" i="43" s="1"/>
  <c r="S200" i="65"/>
  <c r="J12" i="43" s="1"/>
  <c r="Q200" i="65"/>
  <c r="H12" i="43" s="1"/>
  <c r="R200" i="65"/>
  <c r="E12" i="43" s="1"/>
  <c r="Q5" i="36" a="1"/>
  <c r="Q5" i="36" s="1"/>
  <c r="R5" i="36" s="1"/>
  <c r="S5" i="36" a="1"/>
  <c r="S5" i="36" s="1"/>
  <c r="T5" i="36" a="1"/>
  <c r="T5" i="36" s="1"/>
  <c r="U5" i="36" s="1"/>
  <c r="Q7" i="64" a="1"/>
  <c r="Q7" i="64" s="1"/>
  <c r="R7" i="64" a="1"/>
  <c r="R7" i="64" s="1"/>
  <c r="S7" i="64" a="1"/>
  <c r="S7" i="64" s="1"/>
  <c r="Q21" i="64" a="1"/>
  <c r="Q21" i="64" s="1"/>
  <c r="R21" i="64" a="1"/>
  <c r="R21" i="64" s="1"/>
  <c r="S21" i="64" a="1"/>
  <c r="S21" i="64" s="1"/>
  <c r="S25" i="64" a="1"/>
  <c r="S25" i="64" s="1"/>
  <c r="Q25" i="64" a="1"/>
  <c r="Q25" i="64" s="1"/>
  <c r="R25" i="64" a="1"/>
  <c r="R25" i="64" s="1"/>
  <c r="Q15" i="64" a="1"/>
  <c r="Q15" i="64" s="1"/>
  <c r="R15" i="64" a="1"/>
  <c r="R15" i="64" s="1"/>
  <c r="S15" i="64" a="1"/>
  <c r="S15" i="64" s="1"/>
  <c r="Q35" i="64" a="1"/>
  <c r="Q35" i="64" s="1"/>
  <c r="R35" i="64" a="1"/>
  <c r="R35" i="64" s="1"/>
  <c r="S35" i="64" a="1"/>
  <c r="S35" i="64" s="1"/>
  <c r="Q23" i="64" a="1"/>
  <c r="Q23" i="64" s="1"/>
  <c r="R23" i="64" a="1"/>
  <c r="R23" i="64" s="1"/>
  <c r="S23" i="64" a="1"/>
  <c r="S23" i="64" s="1"/>
  <c r="Q14" i="64" a="1"/>
  <c r="Q14" i="64" s="1"/>
  <c r="R14" i="64" a="1"/>
  <c r="R14" i="64" s="1"/>
  <c r="S14" i="64" a="1"/>
  <c r="S14" i="64" s="1"/>
  <c r="Q32" i="64" a="1"/>
  <c r="Q32" i="64" s="1"/>
  <c r="R32" i="64" a="1"/>
  <c r="R32" i="64" s="1"/>
  <c r="S32" i="64" a="1"/>
  <c r="S32" i="64" s="1"/>
  <c r="Q8" i="64" a="1"/>
  <c r="Q8" i="64" s="1"/>
  <c r="R8" i="64" a="1"/>
  <c r="R8" i="64" s="1"/>
  <c r="S8" i="64" a="1"/>
  <c r="S8" i="64" s="1"/>
  <c r="Q16" i="64" a="1"/>
  <c r="Q16" i="64" s="1"/>
  <c r="R16" i="64" a="1"/>
  <c r="R16" i="64" s="1"/>
  <c r="S16" i="64" a="1"/>
  <c r="S16" i="64" s="1"/>
  <c r="Q29" i="64" a="1"/>
  <c r="Q29" i="64" s="1"/>
  <c r="R29" i="64" a="1"/>
  <c r="R29" i="64" s="1"/>
  <c r="S29" i="64" a="1"/>
  <c r="S29" i="64" s="1"/>
  <c r="S20" i="64" a="1"/>
  <c r="S20" i="64" s="1"/>
  <c r="Q20" i="64" a="1"/>
  <c r="Q20" i="64" s="1"/>
  <c r="R20" i="64" a="1"/>
  <c r="R20" i="64" s="1"/>
  <c r="Q37" i="64" a="1"/>
  <c r="Q37" i="64" s="1"/>
  <c r="R37" i="64" a="1"/>
  <c r="R37" i="64" s="1"/>
  <c r="S37" i="64" a="1"/>
  <c r="S37" i="64" s="1"/>
  <c r="Q18" i="64" a="1"/>
  <c r="Q18" i="64" s="1"/>
  <c r="R18" i="64" a="1"/>
  <c r="R18" i="64" s="1"/>
  <c r="S18" i="64" a="1"/>
  <c r="S18" i="64" s="1"/>
  <c r="Q5" i="64" a="1"/>
  <c r="Q5" i="64" s="1"/>
  <c r="R5" i="64" a="1"/>
  <c r="R5" i="64" s="1"/>
  <c r="S5" i="64" a="1"/>
  <c r="S5" i="64" s="1"/>
  <c r="S17" i="64" a="1"/>
  <c r="S17" i="64" s="1"/>
  <c r="Q17" i="64" a="1"/>
  <c r="Q17" i="64" s="1"/>
  <c r="R17" i="64" a="1"/>
  <c r="R17" i="64" s="1"/>
  <c r="Q34" i="64" a="1"/>
  <c r="Q34" i="64" s="1"/>
  <c r="R34" i="64" a="1"/>
  <c r="R34" i="64" s="1"/>
  <c r="S34" i="64" a="1"/>
  <c r="S34" i="64" s="1"/>
  <c r="Q6" i="64" a="1"/>
  <c r="Q6" i="64" s="1"/>
  <c r="R6" i="64" a="1"/>
  <c r="R6" i="64" s="1"/>
  <c r="S6" i="64" a="1"/>
  <c r="S6" i="64" s="1"/>
  <c r="Q22" i="64" a="1"/>
  <c r="Q22" i="64" s="1"/>
  <c r="R22" i="64" a="1"/>
  <c r="R22" i="64" s="1"/>
  <c r="S22" i="64" a="1"/>
  <c r="S22" i="64" s="1"/>
  <c r="S31" i="64" a="1"/>
  <c r="S31" i="64" s="1"/>
  <c r="R31" i="64" a="1"/>
  <c r="R31" i="64" s="1"/>
  <c r="Q31" i="64" a="1"/>
  <c r="Q31" i="64" s="1"/>
  <c r="Q10" i="64" a="1"/>
  <c r="Q10" i="64" s="1"/>
  <c r="R10" i="64" a="1"/>
  <c r="R10" i="64" s="1"/>
  <c r="S10" i="64" a="1"/>
  <c r="S10" i="64" s="1"/>
  <c r="Q30" i="64" a="1"/>
  <c r="Q30" i="64" s="1"/>
  <c r="R30" i="64" a="1"/>
  <c r="R30" i="64" s="1"/>
  <c r="S30" i="64" a="1"/>
  <c r="S30" i="64" s="1"/>
  <c r="S12" i="64" a="1"/>
  <c r="S12" i="64" s="1"/>
  <c r="Q12" i="64" a="1"/>
  <c r="Q12" i="64" s="1"/>
  <c r="R12" i="64" a="1"/>
  <c r="R12" i="64" s="1"/>
  <c r="Q24" i="64" a="1"/>
  <c r="Q24" i="64" s="1"/>
  <c r="R24" i="64" a="1"/>
  <c r="R24" i="64" s="1"/>
  <c r="S24" i="64" a="1"/>
  <c r="S24" i="64" s="1"/>
  <c r="Q38" i="64" a="1"/>
  <c r="Q38" i="64" s="1"/>
  <c r="R38" i="64" a="1"/>
  <c r="R38" i="64" s="1"/>
  <c r="S38" i="64" a="1"/>
  <c r="S38" i="64" s="1"/>
  <c r="Q13" i="64" a="1"/>
  <c r="Q13" i="64" s="1"/>
  <c r="R13" i="64" a="1"/>
  <c r="R13" i="64" s="1"/>
  <c r="S13" i="64" a="1"/>
  <c r="S13" i="64" s="1"/>
  <c r="Q26" i="64" a="1"/>
  <c r="Q26" i="64" s="1"/>
  <c r="R26" i="64" a="1"/>
  <c r="R26" i="64" s="1"/>
  <c r="S26" i="64" a="1"/>
  <c r="S26" i="64" s="1"/>
  <c r="Q33" i="64" a="1"/>
  <c r="Q33" i="64" s="1"/>
  <c r="R33" i="64" a="1"/>
  <c r="R33" i="64" s="1"/>
  <c r="S33" i="64" a="1"/>
  <c r="S33" i="64" s="1"/>
  <c r="Q11" i="64" a="1"/>
  <c r="Q11" i="64" s="1"/>
  <c r="R11" i="64" a="1"/>
  <c r="R11" i="64" s="1"/>
  <c r="S11" i="64" a="1"/>
  <c r="S11" i="64" s="1"/>
  <c r="Q27" i="64" a="1"/>
  <c r="Q27" i="64" s="1"/>
  <c r="R27" i="64" a="1"/>
  <c r="R27" i="64" s="1"/>
  <c r="S27" i="64" a="1"/>
  <c r="S27" i="64" s="1"/>
  <c r="Q39" i="64" a="1"/>
  <c r="Q39" i="64" s="1"/>
  <c r="R39" i="64" a="1"/>
  <c r="R39" i="64" s="1"/>
  <c r="S39" i="64" a="1"/>
  <c r="S39" i="64" s="1"/>
  <c r="S9" i="64" a="1"/>
  <c r="S9" i="64" s="1"/>
  <c r="Q9" i="64" a="1"/>
  <c r="Q9" i="64" s="1"/>
  <c r="R9" i="64" a="1"/>
  <c r="R9" i="64" s="1"/>
  <c r="Q19" i="64" a="1"/>
  <c r="Q19" i="64" s="1"/>
  <c r="R19" i="64" a="1"/>
  <c r="R19" i="64" s="1"/>
  <c r="S19" i="64" a="1"/>
  <c r="S19" i="64" s="1"/>
  <c r="S28" i="64" a="1"/>
  <c r="S28" i="64" s="1"/>
  <c r="R28" i="64" a="1"/>
  <c r="R28" i="64" s="1"/>
  <c r="Q28" i="64" a="1"/>
  <c r="Q28" i="64" s="1"/>
  <c r="Q36" i="64" a="1"/>
  <c r="Q36" i="64" s="1"/>
  <c r="R36" i="64" a="1"/>
  <c r="R36" i="64" s="1"/>
  <c r="S36" i="64" a="1"/>
  <c r="S36" i="64" s="1"/>
  <c r="P34" i="64"/>
  <c r="P26" i="64"/>
  <c r="P23" i="64"/>
  <c r="P33" i="64"/>
  <c r="P36" i="64"/>
  <c r="P31" i="64"/>
  <c r="P30" i="64"/>
  <c r="S4" i="64" a="1"/>
  <c r="S4" i="64" s="1"/>
  <c r="Q4" i="64" a="1"/>
  <c r="Q4" i="64" s="1"/>
  <c r="R4" i="64" a="1"/>
  <c r="R4" i="64" s="1"/>
  <c r="P29" i="64"/>
  <c r="P27" i="64"/>
  <c r="P21" i="64"/>
  <c r="P20" i="64"/>
  <c r="P24" i="64"/>
  <c r="P18" i="64"/>
  <c r="P17" i="64"/>
  <c r="P39" i="64"/>
  <c r="P32" i="64"/>
  <c r="P37" i="64"/>
  <c r="P38" i="64"/>
  <c r="P35" i="64"/>
  <c r="P28" i="64"/>
  <c r="P25" i="64"/>
  <c r="P16" i="64"/>
  <c r="P19" i="64"/>
  <c r="P15" i="64"/>
  <c r="P22" i="64"/>
  <c r="P11" i="64"/>
  <c r="P13" i="64"/>
  <c r="P9" i="64"/>
  <c r="P5" i="64"/>
  <c r="P14" i="64"/>
  <c r="P12" i="64"/>
  <c r="P6" i="64"/>
  <c r="P8" i="64"/>
  <c r="P7" i="64"/>
  <c r="P10" i="64"/>
  <c r="P4" i="64"/>
  <c r="E51" i="43" l="1"/>
  <c r="J51" i="43"/>
  <c r="O13" i="43"/>
  <c r="H51" i="43"/>
  <c r="A26" i="66"/>
  <c r="A28" i="66"/>
  <c r="A34" i="66" s="1"/>
  <c r="A35" i="66" s="1"/>
  <c r="A28" i="65"/>
  <c r="A34" i="65"/>
  <c r="A35" i="65"/>
  <c r="E26" i="36"/>
  <c r="K51" i="43"/>
  <c r="N51" i="43" s="1"/>
  <c r="P200" i="64"/>
  <c r="Q200" i="64"/>
  <c r="N15" i="43"/>
  <c r="O15" i="43" s="1"/>
  <c r="N12" i="43"/>
  <c r="O12" i="43" s="1"/>
  <c r="N14" i="43"/>
  <c r="O14" i="43" s="1"/>
  <c r="S200" i="64"/>
  <c r="R200" i="64"/>
  <c r="E29" i="36" l="1"/>
  <c r="E30" i="36" s="1"/>
  <c r="E31" i="36" s="1"/>
  <c r="E32" i="36" s="1"/>
  <c r="A36" i="66"/>
  <c r="A36" i="65"/>
  <c r="A37" i="65"/>
  <c r="A48" i="65" s="1"/>
  <c r="A59" i="65" s="1"/>
  <c r="A70" i="65" s="1"/>
  <c r="O51" i="43"/>
  <c r="A81" i="65" l="1"/>
  <c r="A82" i="65" s="1"/>
  <c r="A102" i="65"/>
  <c r="J18" i="36"/>
  <c r="J9" i="36"/>
  <c r="Q17" i="36" l="1" a="1"/>
  <c r="Q17" i="36" s="1"/>
  <c r="S17" i="36" a="1"/>
  <c r="S17" i="36" s="1"/>
  <c r="T17" i="36" a="1"/>
  <c r="T17" i="36" s="1"/>
  <c r="U17" i="36" s="1"/>
  <c r="U18" i="36" s="1"/>
  <c r="V17" i="36" a="1"/>
  <c r="V17" i="36" s="1"/>
  <c r="V18" i="36" s="1"/>
  <c r="F10" i="40" l="1"/>
  <c r="F11" i="40"/>
  <c r="L17" i="36"/>
  <c r="K3" i="36"/>
  <c r="L3" i="36" s="1"/>
  <c r="K4" i="36"/>
  <c r="N4" i="36" s="1"/>
  <c r="K10" i="36"/>
  <c r="K11" i="36"/>
  <c r="K12" i="36"/>
  <c r="K13" i="36"/>
  <c r="L13" i="36" s="1"/>
  <c r="K14" i="36"/>
  <c r="L14" i="36" s="1"/>
  <c r="K15" i="36"/>
  <c r="L15" i="36" s="1"/>
  <c r="K16" i="36"/>
  <c r="K17" i="36"/>
  <c r="N17" i="36" s="1"/>
  <c r="K2" i="36"/>
  <c r="N2" i="36" s="1"/>
  <c r="L16" i="36" l="1"/>
  <c r="L10" i="36"/>
  <c r="L11" i="36"/>
  <c r="L12" i="36"/>
  <c r="L4" i="36"/>
  <c r="P4" i="36"/>
  <c r="V4" i="36" s="1" a="1"/>
  <c r="V4" i="36" s="1"/>
  <c r="O4" i="36"/>
  <c r="P17" i="36"/>
  <c r="O17" i="36"/>
  <c r="P2" i="36"/>
  <c r="O2" i="36"/>
  <c r="L2" i="36"/>
  <c r="N3" i="36"/>
  <c r="Q2" i="36" l="1" a="1"/>
  <c r="Q2" i="36" s="1"/>
  <c r="R2" i="36" s="1"/>
  <c r="V2" i="36" a="1"/>
  <c r="V2" i="36" s="1"/>
  <c r="L9" i="36"/>
  <c r="L18" i="36"/>
  <c r="Q4" i="36" a="1"/>
  <c r="Q4" i="36" s="1"/>
  <c r="R4" i="36" s="1"/>
  <c r="T4" i="36" a="1"/>
  <c r="T4" i="36" s="1"/>
  <c r="S4" i="36" a="1"/>
  <c r="S4" i="36" s="1"/>
  <c r="T2" i="36" a="1"/>
  <c r="T2" i="36" s="1"/>
  <c r="S2" i="36" a="1"/>
  <c r="S2" i="36" s="1"/>
  <c r="O3" i="36"/>
  <c r="P3" i="36"/>
  <c r="Q3" i="36" l="1" a="1"/>
  <c r="Q3" i="36" s="1"/>
  <c r="R3" i="36" s="1"/>
  <c r="R9" i="36" s="1"/>
  <c r="V3" i="36" a="1"/>
  <c r="V3" i="36" s="1"/>
  <c r="V9" i="36" s="1"/>
  <c r="U2" i="36"/>
  <c r="U4" i="36"/>
  <c r="S3" i="36" a="1"/>
  <c r="S3" i="36" s="1"/>
  <c r="T3" i="36" a="1"/>
  <c r="T3" i="36" s="1"/>
  <c r="U3" i="36" l="1"/>
  <c r="U9" i="36" s="1"/>
  <c r="A2" i="27" a="1"/>
  <c r="A2" i="27" s="1"/>
  <c r="U25" i="36" l="1"/>
  <c r="C26" i="36" s="1"/>
  <c r="C29" i="36" l="1"/>
  <c r="C30" i="36" s="1"/>
  <c r="C31" i="36" s="1"/>
  <c r="C32" i="36" s="1"/>
  <c r="K2" i="24" a="1"/>
  <c r="K2" i="24" s="1"/>
  <c r="B1" i="27" l="1" a="1"/>
  <c r="I2" i="27" l="1" a="1"/>
  <c r="I2" i="27" s="1"/>
  <c r="U2" i="27" a="1"/>
  <c r="U2" i="27" s="1"/>
  <c r="AG2" i="27" a="1"/>
  <c r="AG2" i="27" s="1"/>
  <c r="AQ2" i="27" a="1"/>
  <c r="AQ2" i="27" s="1"/>
  <c r="BB2" i="27" a="1"/>
  <c r="BB2" i="27" s="1"/>
  <c r="BW2" i="27" a="1"/>
  <c r="BW2" i="27" s="1"/>
  <c r="CG2" i="27" a="1"/>
  <c r="CG2" i="27" s="1"/>
  <c r="CQ2" i="27" a="1"/>
  <c r="CQ2" i="27" s="1"/>
  <c r="J2" i="27" a="1"/>
  <c r="J2" i="27" s="1"/>
  <c r="V2" i="27" a="1"/>
  <c r="V2" i="27" s="1"/>
  <c r="AH2" i="27" a="1"/>
  <c r="AH2" i="27" s="1"/>
  <c r="AR2" i="27" a="1"/>
  <c r="AR2" i="27" s="1"/>
  <c r="BC2" i="27" a="1"/>
  <c r="BC2" i="27" s="1"/>
  <c r="BM2" i="27" a="1"/>
  <c r="BM2" i="27" s="1"/>
  <c r="BX2" i="27" a="1"/>
  <c r="BX2" i="27" s="1"/>
  <c r="CH2" i="27" a="1"/>
  <c r="CH2" i="27" s="1"/>
  <c r="CR2" i="27" a="1"/>
  <c r="CR2" i="27" s="1"/>
  <c r="P2" i="27" a="1"/>
  <c r="P2" i="27" s="1"/>
  <c r="AB2" i="27" a="1"/>
  <c r="AB2" i="27" s="1"/>
  <c r="AM2" i="27" a="1"/>
  <c r="AM2" i="27" s="1"/>
  <c r="AX2" i="27" a="1"/>
  <c r="AX2" i="27" s="1"/>
  <c r="BH2" i="27" a="1"/>
  <c r="BH2" i="27" s="1"/>
  <c r="CC2" i="27" a="1"/>
  <c r="CC2" i="27" s="1"/>
  <c r="CM2" i="27" a="1"/>
  <c r="CM2" i="27" s="1"/>
  <c r="C2" i="27" a="1"/>
  <c r="C2" i="27" s="1"/>
  <c r="K2" i="27" a="1"/>
  <c r="K2" i="27" s="1"/>
  <c r="W2" i="27" a="1"/>
  <c r="W2" i="27" s="1"/>
  <c r="AS2" i="27" a="1"/>
  <c r="AS2" i="27" s="1"/>
  <c r="BD2" i="27" a="1"/>
  <c r="BD2" i="27" s="1"/>
  <c r="BN2" i="27" a="1"/>
  <c r="BN2" i="27" s="1"/>
  <c r="CI2" i="27" a="1"/>
  <c r="CI2" i="27" s="1"/>
  <c r="CS2" i="27" a="1"/>
  <c r="CS2" i="27" s="1"/>
  <c r="M2" i="27" a="1"/>
  <c r="M2" i="27" s="1"/>
  <c r="BF2" i="27" a="1"/>
  <c r="BF2" i="27" s="1"/>
  <c r="CU2" i="27" a="1"/>
  <c r="CU2" i="27" s="1"/>
  <c r="N2" i="27" a="1"/>
  <c r="N2" i="27" s="1"/>
  <c r="AV2" i="27" a="1"/>
  <c r="AV2" i="27" s="1"/>
  <c r="CK2" i="27" a="1"/>
  <c r="CK2" i="27" s="1"/>
  <c r="CV2" i="27" a="1"/>
  <c r="CV2" i="27" s="1"/>
  <c r="O2" i="27" a="1"/>
  <c r="O2" i="27" s="1"/>
  <c r="AL2" i="27" a="1"/>
  <c r="AL2" i="27" s="1"/>
  <c r="AW2" i="27" a="1"/>
  <c r="AW2" i="27" s="1"/>
  <c r="BG2" i="27" a="1"/>
  <c r="BG2" i="27" s="1"/>
  <c r="BR2" i="27" a="1"/>
  <c r="BR2" i="27" s="1"/>
  <c r="CB2" i="27" a="1"/>
  <c r="CB2" i="27" s="1"/>
  <c r="Q2" i="27" a="1"/>
  <c r="Q2" i="27" s="1"/>
  <c r="AC2" i="27" a="1"/>
  <c r="AC2" i="27" s="1"/>
  <c r="AN2" i="27" a="1"/>
  <c r="AN2" i="27" s="1"/>
  <c r="AY2" i="27" a="1"/>
  <c r="AY2" i="27" s="1"/>
  <c r="BI2" i="27" a="1"/>
  <c r="BI2" i="27" s="1"/>
  <c r="BS2" i="27" a="1"/>
  <c r="BS2" i="27" s="1"/>
  <c r="CD2" i="27" a="1"/>
  <c r="CD2" i="27" s="1"/>
  <c r="CN2" i="27" a="1"/>
  <c r="CN2" i="27" s="1"/>
  <c r="D2" i="27" a="1"/>
  <c r="D2" i="27" s="1"/>
  <c r="L2" i="27" a="1"/>
  <c r="L2" i="27" s="1"/>
  <c r="X2" i="27" a="1"/>
  <c r="X2" i="27" s="1"/>
  <c r="AI2" i="27" a="1"/>
  <c r="AI2" i="27" s="1"/>
  <c r="AT2" i="27" a="1"/>
  <c r="AT2" i="27" s="1"/>
  <c r="BE2" i="27" a="1"/>
  <c r="BE2" i="27" s="1"/>
  <c r="BO2" i="27" a="1"/>
  <c r="BO2" i="27" s="1"/>
  <c r="BY2" i="27" a="1"/>
  <c r="BY2" i="27" s="1"/>
  <c r="CJ2" i="27" a="1"/>
  <c r="CJ2" i="27" s="1"/>
  <c r="CT2" i="27" a="1"/>
  <c r="CT2" i="27" s="1"/>
  <c r="AA2" i="27" a="1"/>
  <c r="AA2" i="27" s="1"/>
  <c r="CL2" i="27" a="1"/>
  <c r="CL2" i="27" s="1"/>
  <c r="F2" i="27" a="1"/>
  <c r="F2" i="27" s="1"/>
  <c r="R2" i="27" a="1"/>
  <c r="R2" i="27" s="1"/>
  <c r="AD2" i="27" a="1"/>
  <c r="AD2" i="27" s="1"/>
  <c r="AZ2" i="27" a="1"/>
  <c r="AZ2" i="27" s="1"/>
  <c r="BJ2" i="27" a="1"/>
  <c r="BJ2" i="27" s="1"/>
  <c r="BT2" i="27" a="1"/>
  <c r="BT2" i="27" s="1"/>
  <c r="CO2" i="27" a="1"/>
  <c r="CO2" i="27" s="1"/>
  <c r="E2" i="27" a="1"/>
  <c r="E2" i="27" s="1"/>
  <c r="S2" i="27" a="1"/>
  <c r="S2" i="27" s="1"/>
  <c r="AE2" i="27" a="1"/>
  <c r="AE2" i="27" s="1"/>
  <c r="AO2" i="27" a="1"/>
  <c r="AO2" i="27" s="1"/>
  <c r="BK2" i="27" a="1"/>
  <c r="BK2" i="27" s="1"/>
  <c r="BU2" i="27" a="1"/>
  <c r="BU2" i="27" s="1"/>
  <c r="CP2" i="27" a="1"/>
  <c r="CP2" i="27" s="1"/>
  <c r="Y2" i="27" a="1"/>
  <c r="Y2" i="27" s="1"/>
  <c r="AU2" i="27" a="1"/>
  <c r="AU2" i="27" s="1"/>
  <c r="BP2" i="27" a="1"/>
  <c r="BP2" i="27" s="1"/>
  <c r="Z2" i="27" a="1"/>
  <c r="Z2" i="27" s="1"/>
  <c r="CA2" i="27" a="1"/>
  <c r="CA2" i="27" s="1"/>
  <c r="G2" i="27" a="1"/>
  <c r="G2" i="27" s="1"/>
  <c r="CE2" i="27" a="1"/>
  <c r="CE2" i="27" s="1"/>
  <c r="H2" i="27" a="1"/>
  <c r="H2" i="27" s="1"/>
  <c r="T2" i="27" a="1"/>
  <c r="T2" i="27" s="1"/>
  <c r="AF2" i="27" a="1"/>
  <c r="AF2" i="27" s="1"/>
  <c r="AP2" i="27" a="1"/>
  <c r="AP2" i="27" s="1"/>
  <c r="BA2" i="27" a="1"/>
  <c r="BA2" i="27" s="1"/>
  <c r="BL2" i="27" a="1"/>
  <c r="BL2" i="27" s="1"/>
  <c r="BV2" i="27" a="1"/>
  <c r="BV2" i="27" s="1"/>
  <c r="CF2" i="27" a="1"/>
  <c r="CF2" i="27" s="1"/>
  <c r="AJ2" i="27" a="1"/>
  <c r="AJ2" i="27" s="1"/>
  <c r="BZ2" i="27" a="1"/>
  <c r="BZ2" i="27" s="1"/>
  <c r="AK2" i="27" a="1"/>
  <c r="AK2" i="27" s="1"/>
  <c r="BQ2" i="27" a="1"/>
  <c r="BQ2" i="27" s="1"/>
  <c r="B1" i="27"/>
  <c r="B2" i="27" s="1" a="1"/>
  <c r="B2" i="27" s="1"/>
  <c r="L1" i="24" a="1"/>
  <c r="N2" i="24" l="1" a="1"/>
  <c r="N2" i="24" s="1"/>
  <c r="Y2" i="24" a="1"/>
  <c r="Y2" i="24" s="1"/>
  <c r="AH2" i="24" a="1"/>
  <c r="AH2" i="24" s="1"/>
  <c r="AQ2" i="24" a="1"/>
  <c r="AQ2" i="24" s="1"/>
  <c r="AZ2" i="24" a="1"/>
  <c r="AZ2" i="24" s="1"/>
  <c r="BJ2" i="24" a="1"/>
  <c r="BJ2" i="24" s="1"/>
  <c r="BU2" i="24" a="1"/>
  <c r="BU2" i="24" s="1"/>
  <c r="CE2" i="24" a="1"/>
  <c r="CE2" i="24" s="1"/>
  <c r="CO2" i="24" a="1"/>
  <c r="CO2" i="24" s="1"/>
  <c r="O2" i="24" a="1"/>
  <c r="O2" i="24" s="1"/>
  <c r="AI2" i="24" a="1"/>
  <c r="AI2" i="24" s="1"/>
  <c r="BA2" i="24" a="1"/>
  <c r="BA2" i="24" s="1"/>
  <c r="BK2" i="24" a="1"/>
  <c r="BK2" i="24" s="1"/>
  <c r="CF2" i="24" a="1"/>
  <c r="CF2" i="24" s="1"/>
  <c r="CP2" i="24" a="1"/>
  <c r="CP2" i="24" s="1"/>
  <c r="CZ2" i="24" a="1"/>
  <c r="CZ2" i="24" s="1"/>
  <c r="P2" i="24" a="1"/>
  <c r="P2" i="24" s="1"/>
  <c r="Z2" i="24" a="1"/>
  <c r="Z2" i="24" s="1"/>
  <c r="AR2" i="24" a="1"/>
  <c r="AR2" i="24" s="1"/>
  <c r="BB2" i="24" a="1"/>
  <c r="BB2" i="24" s="1"/>
  <c r="BL2" i="24" a="1"/>
  <c r="BL2" i="24" s="1"/>
  <c r="BV2" i="24" a="1"/>
  <c r="BV2" i="24" s="1"/>
  <c r="CG2" i="24" a="1"/>
  <c r="CG2" i="24" s="1"/>
  <c r="CQ2" i="24" a="1"/>
  <c r="CQ2" i="24" s="1"/>
  <c r="DA2" i="24" a="1"/>
  <c r="DA2" i="24" s="1"/>
  <c r="Q2" i="24" a="1"/>
  <c r="Q2" i="24" s="1"/>
  <c r="AA2" i="24" a="1"/>
  <c r="AA2" i="24" s="1"/>
  <c r="AJ2" i="24" a="1"/>
  <c r="AJ2" i="24" s="1"/>
  <c r="AS2" i="24" a="1"/>
  <c r="AS2" i="24" s="1"/>
  <c r="BC2" i="24" a="1"/>
  <c r="BC2" i="24" s="1"/>
  <c r="BM2" i="24" a="1"/>
  <c r="BM2" i="24" s="1"/>
  <c r="BW2" i="24" a="1"/>
  <c r="BW2" i="24" s="1"/>
  <c r="CR2" i="24" a="1"/>
  <c r="CR2" i="24" s="1"/>
  <c r="DB2" i="24" a="1"/>
  <c r="DB2" i="24" s="1"/>
  <c r="AN2" i="24" a="1"/>
  <c r="AN2" i="24" s="1"/>
  <c r="BG2" i="24" a="1"/>
  <c r="BG2" i="24" s="1"/>
  <c r="BQ2" i="24" a="1"/>
  <c r="BQ2" i="24" s="1"/>
  <c r="CV2" i="24" a="1"/>
  <c r="CV2" i="24" s="1"/>
  <c r="AO2" i="24" a="1"/>
  <c r="AO2" i="24" s="1"/>
  <c r="CM2" i="24" a="1"/>
  <c r="CM2" i="24" s="1"/>
  <c r="W2" i="24" a="1"/>
  <c r="W2" i="24" s="1"/>
  <c r="R2" i="24" a="1"/>
  <c r="R2" i="24" s="1"/>
  <c r="AB2" i="24" a="1"/>
  <c r="AB2" i="24" s="1"/>
  <c r="AK2" i="24" a="1"/>
  <c r="AK2" i="24" s="1"/>
  <c r="AT2" i="24" a="1"/>
  <c r="AT2" i="24" s="1"/>
  <c r="BN2" i="24" a="1"/>
  <c r="BN2" i="24" s="1"/>
  <c r="BX2" i="24" a="1"/>
  <c r="BX2" i="24" s="1"/>
  <c r="CH2" i="24" a="1"/>
  <c r="CH2" i="24" s="1"/>
  <c r="CS2" i="24" a="1"/>
  <c r="CS2" i="24" s="1"/>
  <c r="DC2" i="24" a="1"/>
  <c r="DC2" i="24" s="1"/>
  <c r="AE2" i="24" a="1"/>
  <c r="AE2" i="24" s="1"/>
  <c r="BR2" i="24" a="1"/>
  <c r="BR2" i="24" s="1"/>
  <c r="M2" i="24" a="1"/>
  <c r="M2" i="24" s="1"/>
  <c r="S2" i="24" a="1"/>
  <c r="S2" i="24" s="1"/>
  <c r="AC2" i="24" a="1"/>
  <c r="AC2" i="24" s="1"/>
  <c r="AU2" i="24" a="1"/>
  <c r="AU2" i="24" s="1"/>
  <c r="BD2" i="24" a="1"/>
  <c r="BD2" i="24" s="1"/>
  <c r="BO2" i="24" a="1"/>
  <c r="BO2" i="24" s="1"/>
  <c r="BY2" i="24" a="1"/>
  <c r="BY2" i="24" s="1"/>
  <c r="CI2" i="24" a="1"/>
  <c r="CI2" i="24" s="1"/>
  <c r="DD2" i="24" a="1"/>
  <c r="DD2" i="24" s="1"/>
  <c r="AL2" i="24" a="1"/>
  <c r="AL2" i="24" s="1"/>
  <c r="BE2" i="24" a="1"/>
  <c r="BE2" i="24" s="1"/>
  <c r="BZ2" i="24" a="1"/>
  <c r="BZ2" i="24" s="1"/>
  <c r="CJ2" i="24" a="1"/>
  <c r="CJ2" i="24" s="1"/>
  <c r="CT2" i="24" a="1"/>
  <c r="CT2" i="24" s="1"/>
  <c r="DE2" i="24" a="1"/>
  <c r="DE2" i="24" s="1"/>
  <c r="V2" i="24" a="1"/>
  <c r="V2" i="24" s="1"/>
  <c r="CL2" i="24" a="1"/>
  <c r="CL2" i="24" s="1"/>
  <c r="CB2" i="24" a="1"/>
  <c r="CB2" i="24" s="1"/>
  <c r="CW2" i="24" a="1"/>
  <c r="CW2" i="24" s="1"/>
  <c r="T2" i="24" a="1"/>
  <c r="T2" i="24" s="1"/>
  <c r="U2" i="24" a="1"/>
  <c r="U2" i="24" s="1"/>
  <c r="AD2" i="24" a="1"/>
  <c r="AD2" i="24" s="1"/>
  <c r="AM2" i="24" a="1"/>
  <c r="AM2" i="24" s="1"/>
  <c r="AV2" i="24" a="1"/>
  <c r="AV2" i="24" s="1"/>
  <c r="BF2" i="24" a="1"/>
  <c r="BF2" i="24" s="1"/>
  <c r="BP2" i="24" a="1"/>
  <c r="BP2" i="24" s="1"/>
  <c r="CA2" i="24" a="1"/>
  <c r="CA2" i="24" s="1"/>
  <c r="CK2" i="24" a="1"/>
  <c r="CK2" i="24" s="1"/>
  <c r="CU2" i="24" a="1"/>
  <c r="CU2" i="24" s="1"/>
  <c r="AW2" i="24" a="1"/>
  <c r="AW2" i="24" s="1"/>
  <c r="DF2" i="24" a="1"/>
  <c r="DF2" i="24" s="1"/>
  <c r="BH2" i="24" a="1"/>
  <c r="BH2" i="24" s="1"/>
  <c r="AF2" i="24" a="1"/>
  <c r="AF2" i="24" s="1"/>
  <c r="AX2" i="24" a="1"/>
  <c r="AX2" i="24" s="1"/>
  <c r="BI2" i="24" a="1"/>
  <c r="BI2" i="24" s="1"/>
  <c r="BS2" i="24" a="1"/>
  <c r="BS2" i="24" s="1"/>
  <c r="CC2" i="24" a="1"/>
  <c r="CC2" i="24" s="1"/>
  <c r="CX2" i="24" a="1"/>
  <c r="CX2" i="24" s="1"/>
  <c r="X2" i="24" a="1"/>
  <c r="X2" i="24" s="1"/>
  <c r="AG2" i="24" a="1"/>
  <c r="AG2" i="24" s="1"/>
  <c r="AP2" i="24" a="1"/>
  <c r="AP2" i="24" s="1"/>
  <c r="AY2" i="24" a="1"/>
  <c r="AY2" i="24" s="1"/>
  <c r="BT2" i="24" a="1"/>
  <c r="BT2" i="24" s="1"/>
  <c r="CD2" i="24" a="1"/>
  <c r="CD2" i="24" s="1"/>
  <c r="CN2" i="24" a="1"/>
  <c r="CN2" i="24" s="1"/>
  <c r="CY2" i="24" a="1"/>
  <c r="CY2" i="24" s="1"/>
  <c r="L1" i="24"/>
  <c r="L2" i="24" s="1" a="1"/>
  <c r="L2" i="2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F1961A-236C-4730-BA0F-7041B1DDBF58}" odcFile="C:\Users\apopovich\Downloads\Assemblies.iqy" keepAlive="1" name="Assemblies" type="5" refreshedVersion="8" minRefreshableVersion="3" saveData="1">
    <dbPr connection="Provider=Microsoft.Office.List.OLEDB.2.0;Data Source=&quot;&quot;;ApplicationName=Excel;Version=12.0.0.0" command="&lt;LIST&gt;&lt;VIEWGUID&gt;C6F614C1-0159-409E-9069-D15FD7E76BD5&lt;/VIEWGUID&gt;&lt;LISTNAME&gt;5bc764fe-a36d-4a99-9418-5855aa1f407c&lt;/LISTNAME&gt;&lt;LISTWEB&gt;https://butechbliss.sharepoint.com/sites/Sales_EA/_vti_bin&lt;/LISTWEB&gt;&lt;LISTSUBWEB&gt;&lt;/LISTSUBWEB&gt;&lt;ROOTFOLDER&gt;&lt;/ROOTFOLDER&gt;&lt;/LIST&gt;" commandType="5"/>
  </connection>
  <connection id="2" xr16:uid="{3FD3ABED-8BAB-4DB6-8132-4782B47CF4BE}" odcFile="C:\Users\apopovich\Downloads\query.iqy" keepAlive="1" name="query" type="5" refreshedVersion="8" minRefreshableVersion="3" saveData="1">
    <dbPr connection="Provider=Microsoft.Office.List.OLEDB.2.0;Data Source=&quot;&quot;;ApplicationName=Excel;Version=12.0.0.0" command="&lt;LIST&gt;&lt;VIEWGUID&gt;2D03BF27-2004-46EE-B47E-178E21496251&lt;/VIEWGUID&gt;&lt;LISTNAME&gt;3474b66e-090d-43b6-8ecc-20fd60a8ba25&lt;/LISTNAME&gt;&lt;LISTWEB&gt;https://butechbliss.sharepoint.com/sites/Sales_EA/_vti_bin&lt;/LISTWEB&gt;&lt;LISTSUBWEB&gt;&lt;/LISTSUBWEB&gt;&lt;ROOTFOLDER&gt;&lt;/ROOTFOLDER&gt;&lt;/LIST&gt;" commandType="5"/>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<sst xmlns="http://schemas.openxmlformats.org/spreadsheetml/2006/main" count="8386" uniqueCount="1538">
  <si>
    <t>Rev</t>
  </si>
  <si>
    <t>201-1713</t>
  </si>
  <si>
    <t>30</t>
  </si>
  <si>
    <t>201-4197</t>
  </si>
  <si>
    <t>35</t>
  </si>
  <si>
    <t>201-1065</t>
  </si>
  <si>
    <t>201-4196</t>
  </si>
  <si>
    <t>12</t>
  </si>
  <si>
    <t>10</t>
  </si>
  <si>
    <t>201-1587</t>
  </si>
  <si>
    <t>15</t>
  </si>
  <si>
    <t>7</t>
  </si>
  <si>
    <t>1734-AENTR</t>
  </si>
  <si>
    <t>1734-IB8</t>
  </si>
  <si>
    <t>1734-IE2C</t>
  </si>
  <si>
    <t>1734-OW4</t>
  </si>
  <si>
    <t>Type</t>
  </si>
  <si>
    <t>COMM</t>
  </si>
  <si>
    <t>1734-OB8</t>
  </si>
  <si>
    <t>201-4200</t>
  </si>
  <si>
    <t>20</t>
  </si>
  <si>
    <t>40</t>
  </si>
  <si>
    <t>201-1620</t>
  </si>
  <si>
    <t>201-1592</t>
  </si>
  <si>
    <t>25</t>
  </si>
  <si>
    <t>5</t>
  </si>
  <si>
    <t>201-4181</t>
  </si>
  <si>
    <t>201-1611</t>
  </si>
  <si>
    <t>16</t>
  </si>
  <si>
    <t>PLC</t>
  </si>
  <si>
    <t>iba America, LLC</t>
  </si>
  <si>
    <t>201-1623</t>
  </si>
  <si>
    <t>205-4638</t>
  </si>
  <si>
    <t>205-4639</t>
  </si>
  <si>
    <t>2</t>
  </si>
  <si>
    <t>201-1624</t>
  </si>
  <si>
    <t>3</t>
  </si>
  <si>
    <t>HMI</t>
  </si>
  <si>
    <t>HP</t>
  </si>
  <si>
    <t>Frame</t>
  </si>
  <si>
    <t>Date</t>
  </si>
  <si>
    <t>SCCR</t>
  </si>
  <si>
    <t>Model</t>
  </si>
  <si>
    <t>755TS</t>
  </si>
  <si>
    <t>20G21ND8P0JA0NNNNN</t>
  </si>
  <si>
    <t>Duty</t>
  </si>
  <si>
    <t>7A</t>
  </si>
  <si>
    <t>20G21ND011JA0NNNNN</t>
  </si>
  <si>
    <t>20G21ND014JA0NNNNN</t>
  </si>
  <si>
    <t>20G21ND022JA0NNNNN</t>
  </si>
  <si>
    <t>20G21ND027JA0NNNNN</t>
  </si>
  <si>
    <t>20G21ND034JA0NNNNN</t>
  </si>
  <si>
    <t>20G21ND040JA0NNNNN</t>
  </si>
  <si>
    <t>20G21ND052JA0NNNNN</t>
  </si>
  <si>
    <t>20G21ND065JA0NNNNN</t>
  </si>
  <si>
    <t>20G21ND077JA0NNNNN</t>
  </si>
  <si>
    <t>20G21ND096JA0NNNNN</t>
  </si>
  <si>
    <t>20G2AND125JA0NNNNN</t>
  </si>
  <si>
    <t>20G2AND156JA0NNNNN</t>
  </si>
  <si>
    <t>20G2AND186JA0NNNNN</t>
  </si>
  <si>
    <t>20G2AND248JA0NNNNN</t>
  </si>
  <si>
    <t>20G2AND302JA0NNNNN</t>
  </si>
  <si>
    <t>20G2AND361JA0NNNNN</t>
  </si>
  <si>
    <t>20G2AND415JA0NNNNN</t>
  </si>
  <si>
    <t>20G2AND361JN0NNNNN</t>
  </si>
  <si>
    <t>n/a</t>
  </si>
  <si>
    <t>JLS175</t>
  </si>
  <si>
    <t>206-1727</t>
  </si>
  <si>
    <t>1321-3R130-B</t>
  </si>
  <si>
    <t>LFJ60200-3C</t>
  </si>
  <si>
    <t>20-HIM-C6S</t>
  </si>
  <si>
    <t>204-5112</t>
  </si>
  <si>
    <t>207-7230</t>
  </si>
  <si>
    <t>206-3099</t>
  </si>
  <si>
    <t>206-1730</t>
  </si>
  <si>
    <t>PF7R9K30</t>
  </si>
  <si>
    <t>20-750-enc-1</t>
  </si>
  <si>
    <t>207-7517</t>
  </si>
  <si>
    <t>20-750-S3</t>
  </si>
  <si>
    <t>206-1501</t>
  </si>
  <si>
    <t>Total Cost</t>
  </si>
  <si>
    <t>206-1499</t>
  </si>
  <si>
    <t>207-0662</t>
  </si>
  <si>
    <t>JLS200</t>
  </si>
  <si>
    <t>1321-3R160-B</t>
  </si>
  <si>
    <t>PF5F1R10K7</t>
  </si>
  <si>
    <t>JLS125</t>
  </si>
  <si>
    <t>206-4429</t>
  </si>
  <si>
    <t>1321-3R100-B</t>
  </si>
  <si>
    <t>PF11F5R7K77</t>
  </si>
  <si>
    <t>LFJ60100-3CID</t>
  </si>
  <si>
    <t>JLS070</t>
  </si>
  <si>
    <t>1321-3R55-B</t>
  </si>
  <si>
    <t>PF19R4K86</t>
  </si>
  <si>
    <t>207-0657</t>
  </si>
  <si>
    <t>207-3059</t>
  </si>
  <si>
    <t>206-9379</t>
  </si>
  <si>
    <t>JLS300</t>
  </si>
  <si>
    <t>LFJ60400-3C</t>
  </si>
  <si>
    <t>1321-3R200-B</t>
  </si>
  <si>
    <t>PF5F1R13K7</t>
  </si>
  <si>
    <t>JLS020</t>
  </si>
  <si>
    <t>JLS030</t>
  </si>
  <si>
    <t>LFJ60030-3CID</t>
  </si>
  <si>
    <t>1321-3R18-B</t>
  </si>
  <si>
    <t>1321-3R25-B</t>
  </si>
  <si>
    <t>PF80R1K2</t>
  </si>
  <si>
    <t>PF40R1K60</t>
  </si>
  <si>
    <t>LFJ60100FBC</t>
  </si>
  <si>
    <t>LFJ60030FBC</t>
  </si>
  <si>
    <t>206-7413</t>
  </si>
  <si>
    <t>206-0395</t>
  </si>
  <si>
    <t>206-2072</t>
  </si>
  <si>
    <t>206-2071</t>
  </si>
  <si>
    <t>-</t>
  </si>
  <si>
    <t>206-6732</t>
  </si>
  <si>
    <t>207-3215</t>
  </si>
  <si>
    <t>VFD</t>
  </si>
  <si>
    <t>JLS010</t>
  </si>
  <si>
    <t>JLS035</t>
  </si>
  <si>
    <t>JLS045</t>
  </si>
  <si>
    <t>JLS050</t>
  </si>
  <si>
    <t>206-1444</t>
  </si>
  <si>
    <t>206-1735</t>
  </si>
  <si>
    <t>207-3213</t>
  </si>
  <si>
    <t>JLS090</t>
  </si>
  <si>
    <t>1321-3R80-B</t>
  </si>
  <si>
    <t>LFJ60060-3CID</t>
  </si>
  <si>
    <t>207-2548</t>
  </si>
  <si>
    <t>LFJ60060FBC</t>
  </si>
  <si>
    <t>1321-3R35-B</t>
  </si>
  <si>
    <t>205-8208</t>
  </si>
  <si>
    <t>PF40R2K00</t>
  </si>
  <si>
    <t>PF32R2K40</t>
  </si>
  <si>
    <t>206-1446</t>
  </si>
  <si>
    <t>1321-3R45-B</t>
  </si>
  <si>
    <t>206-8289</t>
  </si>
  <si>
    <t>206-4408</t>
  </si>
  <si>
    <t>PF28R2K80</t>
  </si>
  <si>
    <t>207-1898</t>
  </si>
  <si>
    <t>205-1743</t>
  </si>
  <si>
    <t>JLS100</t>
  </si>
  <si>
    <t>207-3119</t>
  </si>
  <si>
    <t>PF13R5K45</t>
  </si>
  <si>
    <t>207-3089</t>
  </si>
  <si>
    <t>JLS350</t>
  </si>
  <si>
    <t>1321-3RB250-B</t>
  </si>
  <si>
    <t>206-3094</t>
  </si>
  <si>
    <t>PF3F3R21K4</t>
  </si>
  <si>
    <t>JLS400</t>
  </si>
  <si>
    <t>207-0641</t>
  </si>
  <si>
    <t>1321-3RB320-B</t>
  </si>
  <si>
    <t>207-3214</t>
  </si>
  <si>
    <t>PF3F3R24K9</t>
  </si>
  <si>
    <t>AEK115</t>
  </si>
  <si>
    <t>207-0680</t>
  </si>
  <si>
    <t>LEDA2M35</t>
  </si>
  <si>
    <t>207-3034</t>
  </si>
  <si>
    <t>ATEMNO</t>
  </si>
  <si>
    <t>A84PM40</t>
  </si>
  <si>
    <t>206-5845</t>
  </si>
  <si>
    <t>A84PM40G</t>
  </si>
  <si>
    <t>AU84X4024BLP</t>
  </si>
  <si>
    <t>AU84X4024LLP</t>
  </si>
  <si>
    <t>AU84X4024RLP</t>
  </si>
  <si>
    <t>A84PM78</t>
  </si>
  <si>
    <t>206-1772</t>
  </si>
  <si>
    <t>A84PM78G</t>
  </si>
  <si>
    <t>AU84X7824BLP</t>
  </si>
  <si>
    <t>AU84X7824LLP</t>
  </si>
  <si>
    <t>AU84X7824RLP</t>
  </si>
  <si>
    <t>Catalog</t>
  </si>
  <si>
    <t>Qty</t>
  </si>
  <si>
    <t>207-3075</t>
  </si>
  <si>
    <t>MPCB</t>
  </si>
  <si>
    <t>140MT-C3E-A63-KY-BX</t>
  </si>
  <si>
    <t>140MT-C3E-A16-KY-BX</t>
  </si>
  <si>
    <t>207-6940</t>
  </si>
  <si>
    <t>MCCB</t>
  </si>
  <si>
    <t>205-6474</t>
  </si>
  <si>
    <t>HF1316424</t>
  </si>
  <si>
    <t>HG1300404</t>
  </si>
  <si>
    <t>Voltage</t>
  </si>
  <si>
    <t>AU8424FGK</t>
  </si>
  <si>
    <t>Rating</t>
  </si>
  <si>
    <t>PDG63M2000E2NN</t>
  </si>
  <si>
    <t>pdg6xfs06</t>
  </si>
  <si>
    <t>PDG6X3TA2000</t>
  </si>
  <si>
    <t>204-6607</t>
  </si>
  <si>
    <t>CCMR012.TXP</t>
  </si>
  <si>
    <t>HZ5000</t>
  </si>
  <si>
    <t>1492-FB1C30-D1</t>
  </si>
  <si>
    <t>201-1059</t>
  </si>
  <si>
    <t>CCMR015.TXP</t>
  </si>
  <si>
    <t>207-0643</t>
  </si>
  <si>
    <t>207-3517</t>
  </si>
  <si>
    <t>140G-M6F3-D60</t>
  </si>
  <si>
    <t>205-8335</t>
  </si>
  <si>
    <t>140G-M-FMX04</t>
  </si>
  <si>
    <t>140G-M-TLA23</t>
  </si>
  <si>
    <t>206-3117</t>
  </si>
  <si>
    <t>207-0644</t>
  </si>
  <si>
    <t>140MG-G8P-B30</t>
  </si>
  <si>
    <t>140MG-G8P-B70</t>
  </si>
  <si>
    <t>140MG-G8P-C15</t>
  </si>
  <si>
    <t>140MG-G8P-C30</t>
  </si>
  <si>
    <t>140MG-G8P-C50</t>
  </si>
  <si>
    <t>140MG-G8P-C80</t>
  </si>
  <si>
    <t>140MG-G8P-D10</t>
  </si>
  <si>
    <t>140MG-G8P-D12</t>
  </si>
  <si>
    <t>100-C97</t>
  </si>
  <si>
    <t>100-C85</t>
  </si>
  <si>
    <t>100-C43D10</t>
  </si>
  <si>
    <t>100-FA20</t>
  </si>
  <si>
    <t>100-C55D10</t>
  </si>
  <si>
    <t>100-C72D10</t>
  </si>
  <si>
    <t>193-ESM-I-60A-C55</t>
  </si>
  <si>
    <t>193-EIO-22-120</t>
  </si>
  <si>
    <t>193-ECM-ETR</t>
  </si>
  <si>
    <t>193-ESM-I-100A-C97</t>
  </si>
  <si>
    <t>100-C30D10</t>
  </si>
  <si>
    <t>100-C37D10</t>
  </si>
  <si>
    <t>193-ESM-I-30A-C55</t>
  </si>
  <si>
    <t>FVNR</t>
  </si>
  <si>
    <t>1783-CM20DP</t>
  </si>
  <si>
    <t>207-7329</t>
  </si>
  <si>
    <t>516TX-A</t>
  </si>
  <si>
    <t>206-3115</t>
  </si>
  <si>
    <t>1492-PD3287</t>
  </si>
  <si>
    <t>1492-PBC3</t>
  </si>
  <si>
    <t>1492-FB2C30-L</t>
  </si>
  <si>
    <t>204-3633</t>
  </si>
  <si>
    <t>CCMR025.TXP</t>
  </si>
  <si>
    <t>206-6993</t>
  </si>
  <si>
    <t>CCMR010.TXP</t>
  </si>
  <si>
    <t>CCMR007.TXP</t>
  </si>
  <si>
    <t>204-8058</t>
  </si>
  <si>
    <t>CCMR005.TXP</t>
  </si>
  <si>
    <t>207-1988</t>
  </si>
  <si>
    <t>CCMR003.TXP</t>
  </si>
  <si>
    <t>204-3634</t>
  </si>
  <si>
    <t>HZ3000</t>
  </si>
  <si>
    <t>HZ2000</t>
  </si>
  <si>
    <t>HZ1500</t>
  </si>
  <si>
    <t>HZ1000</t>
  </si>
  <si>
    <t>PDB</t>
  </si>
  <si>
    <t>TotalCost</t>
  </si>
  <si>
    <t>JTD035</t>
  </si>
  <si>
    <t>JTD060</t>
  </si>
  <si>
    <t>1492-FB1J60-L</t>
  </si>
  <si>
    <t>JLS500</t>
  </si>
  <si>
    <t>JLS600</t>
  </si>
  <si>
    <t>207-0640</t>
  </si>
  <si>
    <t>207-0639</t>
  </si>
  <si>
    <t>Manager</t>
  </si>
  <si>
    <t xml:space="preserve"> Approvals</t>
  </si>
  <si>
    <t>Rev. Remarks</t>
  </si>
  <si>
    <t>Eng.</t>
  </si>
  <si>
    <t>Sales</t>
  </si>
  <si>
    <t>X.LastName</t>
  </si>
  <si>
    <t>Reference Proj</t>
  </si>
  <si>
    <t>Proposal #</t>
  </si>
  <si>
    <t>Customer:</t>
  </si>
  <si>
    <t>Project Description</t>
  </si>
  <si>
    <t>Category</t>
  </si>
  <si>
    <t>1Dr, 84x40x24 BothSideOpen</t>
  </si>
  <si>
    <t>1Dr, 84x40x24 LeftSideOpen</t>
  </si>
  <si>
    <t>1Dr, 84x40x24 RightSideOpen</t>
  </si>
  <si>
    <t>2Dr, 84x40x24 BothSideOpen</t>
  </si>
  <si>
    <t>2Dr, 84x40x24 LeftSideOpen</t>
  </si>
  <si>
    <t>2Dr, 84x40x24 RightSideOpen</t>
  </si>
  <si>
    <t>Comments</t>
  </si>
  <si>
    <t>Mfg.</t>
  </si>
  <si>
    <t>Description</t>
  </si>
  <si>
    <t>Multipler</t>
  </si>
  <si>
    <t>Item_#</t>
  </si>
  <si>
    <t>UnitCost</t>
  </si>
  <si>
    <t>Supplier</t>
  </si>
  <si>
    <t>PriceUpdated</t>
  </si>
  <si>
    <t>InputCurrent</t>
  </si>
  <si>
    <t>OutputCurrent</t>
  </si>
  <si>
    <t>DimWidth</t>
  </si>
  <si>
    <t>DimHeight</t>
  </si>
  <si>
    <t>Heat Loss</t>
  </si>
  <si>
    <t>Rexel</t>
  </si>
  <si>
    <t>AB</t>
  </si>
  <si>
    <t>Rating2</t>
  </si>
  <si>
    <t>FU</t>
  </si>
  <si>
    <t>J</t>
  </si>
  <si>
    <t>J-FastActing</t>
  </si>
  <si>
    <t>LITTLEFUSE</t>
  </si>
  <si>
    <t xml:space="preserve"> 206-7416</t>
  </si>
  <si>
    <t>30A-3P</t>
  </si>
  <si>
    <t>60A-3P</t>
  </si>
  <si>
    <t>100-3P</t>
  </si>
  <si>
    <t>200-3P</t>
  </si>
  <si>
    <t>400-3P</t>
  </si>
  <si>
    <t>30A-1P</t>
  </si>
  <si>
    <t>60A-1P</t>
  </si>
  <si>
    <t>100A-1P</t>
  </si>
  <si>
    <t>400-A</t>
  </si>
  <si>
    <t>XR</t>
  </si>
  <si>
    <t>18A</t>
  </si>
  <si>
    <t>25A</t>
  </si>
  <si>
    <t>35A</t>
  </si>
  <si>
    <t>45A</t>
  </si>
  <si>
    <t>55A</t>
  </si>
  <si>
    <t>80A</t>
  </si>
  <si>
    <t>100A</t>
  </si>
  <si>
    <t>130A</t>
  </si>
  <si>
    <t>160A</t>
  </si>
  <si>
    <t>200A</t>
  </si>
  <si>
    <t>250A</t>
  </si>
  <si>
    <t>320A</t>
  </si>
  <si>
    <t>DBR</t>
  </si>
  <si>
    <t>POWEROHM</t>
  </si>
  <si>
    <t>20-750-ENC-1</t>
  </si>
  <si>
    <t>1321-3R8-B</t>
  </si>
  <si>
    <t>PF150R800W</t>
  </si>
  <si>
    <t>207-3024</t>
  </si>
  <si>
    <t>206-0393</t>
  </si>
  <si>
    <t>8A</t>
  </si>
  <si>
    <t>Item Type</t>
  </si>
  <si>
    <t>Assembly_ID</t>
  </si>
  <si>
    <t>Component_Part_Number</t>
  </si>
  <si>
    <t>Quantity</t>
  </si>
  <si>
    <t>Fuse, 10A, 600V, 200kAIC, Class J, Fast-Acting</t>
  </si>
  <si>
    <t>Fuse, 20A, 600V, 200kAIC, Class J, Fast-Acting</t>
  </si>
  <si>
    <t>Fuse, 30A, 600V, 200kAIC, Class J, Fast-Acting</t>
  </si>
  <si>
    <t>Fuse, 50A, 600V, 200kAIC, Class J, Fast-Acting</t>
  </si>
  <si>
    <t>Fuse, 70A, 600V, 200kAIC, Class J, Fast-Acting</t>
  </si>
  <si>
    <t>Fuse, 90A, 600V, 200kAIC, Class J, Fast-Acting</t>
  </si>
  <si>
    <t>Fuse, 35A, 600V, 200kAIC, Class J, Fast-Acting</t>
  </si>
  <si>
    <t>Fuse, 45A, 600V, 200kAIC, Class J, Fast-Acting</t>
  </si>
  <si>
    <t>Fuse, 100A, 600V, 200kAIC, Class J, Fast-Acting</t>
  </si>
  <si>
    <t>Fuse, 125A, 600V, 200kAIC, Class J, Fast-Acting</t>
  </si>
  <si>
    <t>Fuse, 175A, 600V, 200kAIC, Class J, Fast-Acting</t>
  </si>
  <si>
    <t>Fuse, 200A, 600V, 200kAIC, Class J, Fast-Acting</t>
  </si>
  <si>
    <t>Fuse, 300A, 600V, 200kAIC, Class J, Fast-Acting</t>
  </si>
  <si>
    <t>Fuse, 350A, 600V, 200kAIC, Class J, Fast-Acting</t>
  </si>
  <si>
    <t>Fuse, 400A, 600V, 200kAIC, Class J, Fast-Acting</t>
  </si>
  <si>
    <t>206-2073</t>
  </si>
  <si>
    <t>AC Drive, PowerFlex 755TS, 8A, 5HP/ND, 3HP/HD, Open, 480VAC</t>
  </si>
  <si>
    <t>AC Drive, PowerFlex 755TS, 11A, 7.5HP/ND, 5HP/HD, Open, 480VAC</t>
  </si>
  <si>
    <t>AC Drive, PowerFlex 755TS, 14A, 10HP/ND, 7.5HP/HD, Open, 480VAC</t>
  </si>
  <si>
    <t>AC Drive, Safety Option, integrated Safe Torque Off, PowerFlex 750</t>
  </si>
  <si>
    <t>AC Drive, Feedback Option, Incremental Encoder, PowerFlex 750</t>
  </si>
  <si>
    <t>Human Interface Module, Enchanced LCD, Full Numeric Keypad,</t>
  </si>
  <si>
    <t>30A, 600V, Fuse Holder 3 Pole Class J Fuseblock</t>
  </si>
  <si>
    <t>60A, 600V, Fuse Holder 3 Pole Class J Fuseblock</t>
  </si>
  <si>
    <t>100A, 600V, Fuse Holder 3 Pole Class J Fuseblock</t>
  </si>
  <si>
    <t>200A, 600V, Fuse Holder 3 Pole Class J Fuseblock</t>
  </si>
  <si>
    <t>400A, 600V, Fuse Holder 3 Pole Class J Fuseblock</t>
  </si>
  <si>
    <t>30A, 600V, Fuse Holder Accessories Class J Fuse Block Cover</t>
  </si>
  <si>
    <t>60A, 600V, Fuse Holder Accessories Class J Fuse Block Cover</t>
  </si>
  <si>
    <t>100A, 600V, Fuse Holder Accessories Class J Fuse Block Cover</t>
  </si>
  <si>
    <t>Reactor, Line Input, Line Output, 8 Amp, 3.0 mh, 3 to 5 % Impedance, for 200 thru 690 Volt AC, 3-Phase</t>
  </si>
  <si>
    <t>BRAKING RESISTOR 150 OHMS/800 WATTS</t>
  </si>
  <si>
    <t>JLS015</t>
  </si>
  <si>
    <t>1321-3R12-B</t>
  </si>
  <si>
    <t>PF100R800W</t>
  </si>
  <si>
    <t>207-2990</t>
  </si>
  <si>
    <t>BRAKING RESISTOR 100 OHMS/800 WATTS</t>
  </si>
  <si>
    <t>12A</t>
  </si>
  <si>
    <t>206-2970</t>
  </si>
  <si>
    <t>Reactor, Line Input, Line Output, 3 - 5 % Impedance, 12 Amp, 2.5 mh, for 200 thru 690 Volt AC, 3-Phase</t>
  </si>
  <si>
    <t>Cat 6</t>
  </si>
  <si>
    <t>PANDUIT</t>
  </si>
  <si>
    <t>FP6X88MTG</t>
  </si>
  <si>
    <t>TX6A, Category 6A UTP Field Terminal RJ45 Plug</t>
  </si>
  <si>
    <t>CAT6</t>
  </si>
  <si>
    <t>RJ45</t>
  </si>
  <si>
    <t>Cable</t>
  </si>
  <si>
    <t>10HP_140MG+100C+E300+Eth/IP</t>
  </si>
  <si>
    <t>15HP_140MG+100C+E300+Eth/IP</t>
  </si>
  <si>
    <t>20HP_140MG+100C+E300+Eth/IP</t>
  </si>
  <si>
    <t>25HP_140MG+100C+E300+Eth/IP</t>
  </si>
  <si>
    <t>30HP_140MG+100C+E300+Eth/IP</t>
  </si>
  <si>
    <t>40HP_140MG+100C+E300+Eth/IP</t>
  </si>
  <si>
    <t>50HP_140MG+100C+E300+Eth/IP</t>
  </si>
  <si>
    <t>60HP_140MG+100C+E300+Eth/IP</t>
  </si>
  <si>
    <t>75HP_140MG+100C+E300+Eth/IP</t>
  </si>
  <si>
    <t>01HP_140MG+100C+E300+Eth/IP</t>
  </si>
  <si>
    <t>02HP_140MG+100C+E300+Eth/IP</t>
  </si>
  <si>
    <t>03HP_140MG+100C+E300+Eth/IP</t>
  </si>
  <si>
    <t>05HP_140MG+100C+E300+Eth/IP</t>
  </si>
  <si>
    <t>07.5HP_140MG+100C+E300+Eth/IP</t>
  </si>
  <si>
    <t>Breaker, Molded Case, 3A, G Frame, 480VAC, 65kAIC, Magnetic Only</t>
  </si>
  <si>
    <t>Breaker, Molded Case, 7A, G Frame, 480VAC, 65kAIC, Magnetic Only</t>
  </si>
  <si>
    <t>MCCB-MAG</t>
  </si>
  <si>
    <t>140MG</t>
  </si>
  <si>
    <t>3A</t>
  </si>
  <si>
    <t>15A</t>
  </si>
  <si>
    <t>30A</t>
  </si>
  <si>
    <t>50A</t>
  </si>
  <si>
    <t>10A</t>
  </si>
  <si>
    <t>Breaker, Molded Case, 15A, G Frame, 480VAC, 65kAIC, Magnetic Only</t>
  </si>
  <si>
    <t>Breaker, Molded Case, 30A, G Frame, 480VAC, 65kAIC, Magnetic Only</t>
  </si>
  <si>
    <t>Breaker, Molded Case, 50A, G Frame, 480VAC, 65kAIC, Magnetic Only</t>
  </si>
  <si>
    <t>Breaker, Molded Case, 80A, G Frame, 480VAC, 65kAIC, Magnetic Only</t>
  </si>
  <si>
    <t>Breaker, Molded Case, 100A, G Frame, 480VAC, 65kAIC, Magnetic Only</t>
  </si>
  <si>
    <t>125A</t>
  </si>
  <si>
    <t>Breaker, Molded Case, 125A, G Frame, 480VAC, 65kAIC, Magnetic Only</t>
  </si>
  <si>
    <t>CONTACTOR</t>
  </si>
  <si>
    <t>100-C</t>
  </si>
  <si>
    <t>Contactor, 30 Amp, 3-Pole, 120 Volt AC Coil, 1 Normally Open Auxiliary Contact</t>
  </si>
  <si>
    <t>207-7757</t>
  </si>
  <si>
    <t>37A</t>
  </si>
  <si>
    <t>43A</t>
  </si>
  <si>
    <t>72A</t>
  </si>
  <si>
    <t>Contactor, 37 Amp, 3-Pole, 120 Volt AC Coil, 1 Normally Open Auxiliary Contact</t>
  </si>
  <si>
    <t>Contactor, 43 Amp, 3-Pole, 120 Volt AC Coil, 1 Normally Open Auxiliary Contact</t>
  </si>
  <si>
    <t>Contactor, 55 Amp, 3-Pole, 120 Volt AC Coil, 1 Normally Open Auxiliary Contact</t>
  </si>
  <si>
    <t>Contactor, 72 Amp, 3-Pole, 120 Volt AC Coil, 1 Normally Open Auxiliary Contact</t>
  </si>
  <si>
    <t>100-C85D10</t>
  </si>
  <si>
    <t>100-C97D10</t>
  </si>
  <si>
    <t>85A</t>
  </si>
  <si>
    <t>97A</t>
  </si>
  <si>
    <t>Contactor, 97 Amp, 3-Pole, 120 Volt AC Coil, 1 Normally Open Auxiliary Contact</t>
  </si>
  <si>
    <t>Auxiliary Contact Block Front Mount, with 2 Normally Open Contact</t>
  </si>
  <si>
    <t>205-7290</t>
  </si>
  <si>
    <t>OL</t>
  </si>
  <si>
    <t>Sensing Module, Current, Overload Relay, 0.5 -30 Amp, for use with 100-C09 - C23</t>
  </si>
  <si>
    <t>Sensing Module, Current, Overload Relay, 10 - 100 Amp, for use with 100-C60 - C97</t>
  </si>
  <si>
    <t>Sensing Module, Current, Overload Relay, 6 - 60 Amp, for use with 100-C30 - C55</t>
  </si>
  <si>
    <t>Overload Relay, Electronic, Communications Module, EtherNet/IP</t>
  </si>
  <si>
    <t>206-3111</t>
  </si>
  <si>
    <t>E300 Overload Relays (193/592 IEC/NEMA), 2 IN / 2 Out Control Module, 120 Volt AC</t>
  </si>
  <si>
    <t>Ft. of Generic CAT6 Cable</t>
  </si>
  <si>
    <t>Assy_#</t>
  </si>
  <si>
    <t>VFD001</t>
  </si>
  <si>
    <t>VFD002</t>
  </si>
  <si>
    <t>VFD003</t>
  </si>
  <si>
    <t>VFD004</t>
  </si>
  <si>
    <t>VFD005</t>
  </si>
  <si>
    <t>VFD006</t>
  </si>
  <si>
    <t>VFD007</t>
  </si>
  <si>
    <t>VFD008</t>
  </si>
  <si>
    <t>VFD009</t>
  </si>
  <si>
    <t>VFD010</t>
  </si>
  <si>
    <t>VFD011</t>
  </si>
  <si>
    <t>PF755TS-005HP</t>
  </si>
  <si>
    <t>PF755TS-007.5HP</t>
  </si>
  <si>
    <t>PF755TS-010HP</t>
  </si>
  <si>
    <t>PF755TS-020HP</t>
  </si>
  <si>
    <t>PF755TS-015HP</t>
  </si>
  <si>
    <t>PF755TS-025HP</t>
  </si>
  <si>
    <t>PF755TS-030HP</t>
  </si>
  <si>
    <t>PF755TS-040HP</t>
  </si>
  <si>
    <t>PF755TS-050HP</t>
  </si>
  <si>
    <t>PF755TS-060HP</t>
  </si>
  <si>
    <t>PF755TS-075HP</t>
  </si>
  <si>
    <t>PF755TS-100HP</t>
  </si>
  <si>
    <t>PF755TS-125HP</t>
  </si>
  <si>
    <t>VFD012</t>
  </si>
  <si>
    <t>PF755TS-150HP</t>
  </si>
  <si>
    <t>VFD013</t>
  </si>
  <si>
    <t>PF755TS-200HP</t>
  </si>
  <si>
    <t>VFD014</t>
  </si>
  <si>
    <t>PF755TS-250HP</t>
  </si>
  <si>
    <t>VFD015</t>
  </si>
  <si>
    <t>AC Drive, PowerFlex 755TS, 22A, 15HP/ND, 10HP/HD, Open, 480VAC</t>
  </si>
  <si>
    <t>AC Drive, PowerFlex 755TS, 27A, 20HP/ND, 15HP/HD, Open, 480VAC</t>
  </si>
  <si>
    <t>AC Drive, PowerFlex 755TS, 34A, 25HP/ND, 20HP/HD, Open, 480VAC</t>
  </si>
  <si>
    <t>AC Drive, PowerFlex 755TS, 40A, 30HP/ND, 25HP/HD, Open, 480VAC</t>
  </si>
  <si>
    <t>AC Drive, PowerFlex 755TS, 50A, 40HP/ND, 30HP/HD, Open, 480VAC</t>
  </si>
  <si>
    <t>AC Drive, PowerFlex 755TS, 65A, 50HP/ND, 40HP/HD, Open, 480VAC</t>
  </si>
  <si>
    <t>AC Drive, PowerFlex 755TS, 77A, 60HP/ND, 50HP/HD, Open, 480VAC</t>
  </si>
  <si>
    <t>AC Drive, PowerFlex 755TS, 96A, 75HP/ND, 60HP/HD, Open, 480VAC</t>
  </si>
  <si>
    <t>AC Drive, PowerFlex 755TS, 125A, 100HP/ND, 75HP/HD, Open, 480VAC</t>
  </si>
  <si>
    <t>AC Drive, PowerFlex 755TS, 156A, 125HP/ND, 100HP/HD, Open, 480VAC</t>
  </si>
  <si>
    <t>AC Drive, PowerFlex 755TS, 186A, 150HP/ND, 125HP/HD, Open, 480VAC</t>
  </si>
  <si>
    <t>AC Drive, PowerFlex 755TS, 248A, 200HP/ND, 150HP/HD, Open, 480VAC</t>
  </si>
  <si>
    <t>AC Drive, PowerFlex 755TS, 302A, 250HP/ND, 200HP/HD, Open, 480VAC</t>
  </si>
  <si>
    <t>AC Drive, PowerFlex 755TS, 361A, 300HP/ND, 250HP/HD, Open, 480VAC</t>
  </si>
  <si>
    <t>AC Drive, PowerFlex 755TS, 415A, 350HP/ND, 300HP/HD, Open, 480VAC</t>
  </si>
  <si>
    <t>Plexiglass</t>
  </si>
  <si>
    <t>Custom Plexi-glass shroud</t>
  </si>
  <si>
    <t>Reactor, Line Input, Line Output, 3 to 5 % Impedance, 18 Amp, 1.2 mh, for 200 thru 690 Volt AC, 3-Phase</t>
  </si>
  <si>
    <t>Reactor, Line Input, Line Output, 3 - 5 % Impedance, 25 Amp, 1.2 mh, for 200 thru 690 Volt AC, 3-Phase</t>
  </si>
  <si>
    <t>Reactor, Line Input, Line Output, 3 to 5 % Impedance, 35 Amp, 0.8 mh, for 200 thru 690 Volt AC, 3-Phase</t>
  </si>
  <si>
    <t>Reactor, Line Input, Line Output, 3 to 5 % Impedance, 45 Amp, 0.7 mh, for 200 thru 690 Volt AC, 3-Phase, Open</t>
  </si>
  <si>
    <t>Reactor, Line Input, Line Output, 3 to 5 % Impedance, 55 Amp, 0.5 mh, for 200 thru 690 Volt AC, 3-Phase, Open</t>
  </si>
  <si>
    <t>Reactor, Line Input, Line Output, 3 to 5 % Impedance, 80 Amp, 0.4 mh, for 200 thru 690 Volt AC, 3-Phase</t>
  </si>
  <si>
    <t>Reactor, Line Input, Line Output, 3 - 5 % Impedance, 100 Amp, 0.3 mh, for 200 thru 690 Volt AC, 3-Phase, Open</t>
  </si>
  <si>
    <t>Reactor, Line Input, Line Output, 3 - 5 % Impedance, 130 Amp, 0.2 mh, for 200 thru 690 Volt AC, 3-Phase, Open</t>
  </si>
  <si>
    <t>Reactor, Line Input, Line Output, 3 - 5 % Impedance, 160 Amp, 0.15 mh, for 200 thru 690 Volt AC, 3-Phase, Open</t>
  </si>
  <si>
    <t>Reactor, Line Input, Line Output, 3 to 5 % Impedance, 200 Amp, 1.2 mh, for 200 thru 690 Volt AC, 3-Phase</t>
  </si>
  <si>
    <t>Reactor, Line Input, Line Output</t>
  </si>
  <si>
    <t>Line Reactor, Open Style Enclosure, with Flag Terminals, 320 Amps, 0.075 mh</t>
  </si>
  <si>
    <t>BRAKING RESISTOR 80 OHMS/1200 WATTS</t>
  </si>
  <si>
    <t>BRAKING RESISTOR 40 OHMS/1600 WATTS</t>
  </si>
  <si>
    <t>BRAKING RESISTOR 40 OHMS/2000 WATTS</t>
  </si>
  <si>
    <t>BRAKING RESISTOR 32 OHMS/2400 WATTS</t>
  </si>
  <si>
    <t>BRAKING RESISTOR 28 OHMS/2800 WATTS</t>
  </si>
  <si>
    <t>BRAKING RESISTOR 19 OHMS/4860 WATTS</t>
  </si>
  <si>
    <t>BRAKING RESISTOR 13 OHMS/5450WATTS</t>
  </si>
  <si>
    <t>BRAKING RESISTOR 11.5 OHMS/7770WATTS</t>
  </si>
  <si>
    <t>BRAKING RESISTOR 7.1 OHMS/9300WATTS</t>
  </si>
  <si>
    <t>BRAKING RESISTOR 5.1 OHMS/13700WATTS</t>
  </si>
  <si>
    <t>BRAKING RESISTOR 5.1 OHMS/10700WATTS</t>
  </si>
  <si>
    <t>BRAKING RESISTOR 3.3 OHMS/21400WATTS</t>
  </si>
  <si>
    <t>BRAKING RESISTOR 3.3 OHMS/24900WATTS</t>
  </si>
  <si>
    <t>HOFFMAN</t>
  </si>
  <si>
    <t>207-4789</t>
  </si>
  <si>
    <t>Baying Kit is used to bay multiple Universal Free-Stand Enclosures together</t>
  </si>
  <si>
    <t>Thermostat with N.O. contacts,</t>
  </si>
  <si>
    <t>LED Light Kit</t>
  </si>
  <si>
    <t>Electrical Interlock, 120 Volt/60Hz, Used With Door Latching Mechanisms on All Two Door Type 4/12 Enclosures</t>
  </si>
  <si>
    <t>Panel For Large Multi-Door Enclosure, 72 Inch x 33.75 Inch, Material: Steel, White Powder Coat</t>
  </si>
  <si>
    <t>Panel For Enclosure, 72 x 72 Inch, Fits Enclosure Height of 84 Inch, Steel, With White Powder Coat Finish</t>
  </si>
  <si>
    <t>Panel For Enclosure, 72 x 34 Inch, Steel, Conductive Finish, For Use With Large Multi-Door Enclosures</t>
  </si>
  <si>
    <t>Panels for Large Bulletin A27, A28, A28S4 and A34 Multi-Door Enclosures, fits 84x Dbl Bay, Steel</t>
  </si>
  <si>
    <t>Cab001</t>
  </si>
  <si>
    <t>Cab002</t>
  </si>
  <si>
    <t>Cab003</t>
  </si>
  <si>
    <t>Cab004</t>
  </si>
  <si>
    <t>Cab005</t>
  </si>
  <si>
    <t>Cab006</t>
  </si>
  <si>
    <t>140MT</t>
  </si>
  <si>
    <t>Motor Protection Breaker, Standard Magnetic Trip, 0.1 - 0.16A, Standard. Performance, Frame Size C</t>
  </si>
  <si>
    <t>Motor Protection Breaker, Standard Magnetic Trip, 0.4 - 0.63A, Standard. Performance, Frame Size C</t>
  </si>
  <si>
    <t>HF Side Mount Filter Fans, 115V, 484 CFM, NEMA 12, ABS/Light Gray Finish</t>
  </si>
  <si>
    <t>Exhaust Grille, IP54, Diameter: 13", Material: Thermoplastic</t>
  </si>
  <si>
    <t>207-4332</t>
  </si>
  <si>
    <t>HF13-484CFM-120V</t>
  </si>
  <si>
    <t>Cool001</t>
  </si>
  <si>
    <t>207-0642</t>
  </si>
  <si>
    <t>EATON</t>
  </si>
  <si>
    <t>BRENNER</t>
  </si>
  <si>
    <t>SERIES PD, FRAME SIZE 6 CIRCUIT BREAKER, 2000 AMP, ADJUSTABLE TRIP, 1000A-2000A</t>
  </si>
  <si>
    <t>FLEX CABLE DISCONNECT</t>
  </si>
  <si>
    <t>GALCO</t>
  </si>
  <si>
    <t>LINE / LOAD LUGS FOR FRAME 6 CIRCUIT BREAKER</t>
  </si>
  <si>
    <t>MCCB001</t>
  </si>
  <si>
    <t>1000-2000A Adj.-MoldedCaseCB-65kA-480V</t>
  </si>
  <si>
    <t>PDG6XFS06</t>
  </si>
  <si>
    <t>1492 POWER DISTRIBUTION BLOCK, 3-POLE, ALUMINUM, 2 INCOMMING, 8 OUTGOING, 760A</t>
  </si>
  <si>
    <t>205-5450</t>
  </si>
  <si>
    <t>Distribution Block, Cover, 1P, for 380 - 760 Amp</t>
  </si>
  <si>
    <t>PDB001</t>
  </si>
  <si>
    <t>PowerDist. 760A - 2In/8Out</t>
  </si>
  <si>
    <t>SOLA HD</t>
  </si>
  <si>
    <t>HSZ Series Industrial Control Transformers 1kVA, 480/240 x 120/115v, 50/60 Hz</t>
  </si>
  <si>
    <t>XFMR-Ctrl</t>
  </si>
  <si>
    <t>HSZ Series Industrial Control Transformers 1.5kVA, 480/240 x 120/115v, 50/60 Hz</t>
  </si>
  <si>
    <t>HSZ Series Industrial Control Transformers 2kVA, 480/240 x 120/115v, 50/60 Hz</t>
  </si>
  <si>
    <t>HSZ Series Industrial Control Transformers 3kVA, 480/240 x 120/115v, 50/60 Hz</t>
  </si>
  <si>
    <t>HSZ Series Industrial Control Transformers 5kVA, 480/240 x 120/115v, 50/60 Hz</t>
  </si>
  <si>
    <t>CC</t>
  </si>
  <si>
    <t>Fuse Holder, Class CC Type Fuses, 2-Pole, 30 Amp, 110 - 600 Volt, with LED Blown Fuse Indicator</t>
  </si>
  <si>
    <t>Class CC Fuse,  600V AC/DC, 3A, Time-Delay</t>
  </si>
  <si>
    <t>Class CC Fuse,  600V AC/DC, 5A, Time-Delay</t>
  </si>
  <si>
    <t>Class CC Fuse,  600V AC/DC, 7A, Time-Delay</t>
  </si>
  <si>
    <t>Class CC Fuse,  600V AC/DC, 10A, Time-Delay</t>
  </si>
  <si>
    <t>Class CC Fuse,  600V AC/DC, 15A, Time-Delay</t>
  </si>
  <si>
    <t>Class CC Fuse,  600V AC/DC, 25A, Time-Delay</t>
  </si>
  <si>
    <t>CCMR030.TXP</t>
  </si>
  <si>
    <t>205-0189</t>
  </si>
  <si>
    <t>Class CC Fuse,  600V AC/DC, 30A, Time-Delay</t>
  </si>
  <si>
    <t>Fuse Holder, Class CC Type Fuses, 1-Pole, 30 Amp, 12 - 72 Volt, with Led Blown Fuse Indicator</t>
  </si>
  <si>
    <t>Fuse Holder, Class J Type Fuses, 1 Pole, 60 Amp, 110 - 600 Volt, with LED Blown Fuse Indicator</t>
  </si>
  <si>
    <t>MISC</t>
  </si>
  <si>
    <t>MISC250</t>
  </si>
  <si>
    <t>MISC500</t>
  </si>
  <si>
    <t>MISC750</t>
  </si>
  <si>
    <t>MISC1000</t>
  </si>
  <si>
    <t>XFMR-CTRL</t>
  </si>
  <si>
    <t>1kA-120V Control Power</t>
  </si>
  <si>
    <t>Misc500</t>
  </si>
  <si>
    <t>Class CC Fuse,  600V AC/DC, 12A, Time-Delay</t>
  </si>
  <si>
    <t>XFMR-CTRL001</t>
  </si>
  <si>
    <t>1.5kA-120V Control Power</t>
  </si>
  <si>
    <t>2kA-120V Control Power</t>
  </si>
  <si>
    <t>3kA-120V Control Power</t>
  </si>
  <si>
    <t>5kA-120V Control Power</t>
  </si>
  <si>
    <t>Misc1000</t>
  </si>
  <si>
    <t>J-TimeDelay</t>
  </si>
  <si>
    <t>35 Amp Fuse, Time Delay, Brand or Series: Class J, Indicator, Interrupting Rating: 200000 Amp</t>
  </si>
  <si>
    <t>60 Amp Fuse, Time Delay, Brand or Series: Class J, Indicator, Interrupting Rating: 200000 Amp</t>
  </si>
  <si>
    <t>XFMR-CTRL002</t>
  </si>
  <si>
    <t>XFMR-CTRL003</t>
  </si>
  <si>
    <t>XFMR-CTRL004</t>
  </si>
  <si>
    <t>XFMR-CTRL005</t>
  </si>
  <si>
    <t>Misc750</t>
  </si>
  <si>
    <t>Misc Components</t>
  </si>
  <si>
    <t>20-Port</t>
  </si>
  <si>
    <t>Stratix 5200 20 Port Switch</t>
  </si>
  <si>
    <t>VFD-AUX.</t>
  </si>
  <si>
    <t>Fuse, 500A, 600V, 200kAIC, Class J, Fast-Acting</t>
  </si>
  <si>
    <t>Fuse, 600A, 600V, 200kAIC, Class J, Fast-Acting</t>
  </si>
  <si>
    <t>600-3P</t>
  </si>
  <si>
    <t>600A, 600V, Fuse Holder 3 Pole Class J Fuseblock</t>
  </si>
  <si>
    <t>PDB-FU</t>
  </si>
  <si>
    <t>200A-ClassJ PowerDist.</t>
  </si>
  <si>
    <t>PDB-FU001</t>
  </si>
  <si>
    <t>PDB-FU003</t>
  </si>
  <si>
    <t>400A-ClassJ PowerDist.</t>
  </si>
  <si>
    <t>LFJ60600-3C</t>
  </si>
  <si>
    <t>PDB-FU002</t>
  </si>
  <si>
    <t>600A-ClassJ PowerDist.</t>
  </si>
  <si>
    <t>PDB-FU004</t>
  </si>
  <si>
    <t>100A-ClassJ PowerDist.</t>
  </si>
  <si>
    <t>M Frame</t>
  </si>
  <si>
    <t xml:space="preserve">Breaker, Molded Case, 600 Amp, 3-Pole, 600 Volt AC, 65 kAIC, M Frame, Thermal Magnetic, Adjustable, </t>
  </si>
  <si>
    <t>Assy-Labor</t>
  </si>
  <si>
    <t>LaborVFD</t>
  </si>
  <si>
    <t>LaborIO</t>
  </si>
  <si>
    <t>Panel Shop Assembly Per Door Estimated</t>
  </si>
  <si>
    <t>LaborJBX</t>
  </si>
  <si>
    <t>Assy-Mtl</t>
  </si>
  <si>
    <t>MtlVFD</t>
  </si>
  <si>
    <t>MtI/O</t>
  </si>
  <si>
    <t>MtlJBX</t>
  </si>
  <si>
    <t>Panel Shop Material Per Door Estimated</t>
  </si>
  <si>
    <t>Breaker, Molded Case, 4 Foot, Flange Cable, Operating Mechanism, Plastic Actuator, Painted Metal Handle</t>
  </si>
  <si>
    <t>Breaker, Molded Case, M Frame, Terminal Lugs, 2 x 250 - 500 MCM, AL/CU, 3 Per Package</t>
  </si>
  <si>
    <t>MCCB002</t>
  </si>
  <si>
    <t>600A Therm. Mag, Adj.-MoldedCaseCB-65kA-480V</t>
  </si>
  <si>
    <t>COOLING</t>
  </si>
  <si>
    <t>CAB</t>
  </si>
  <si>
    <t>N-Tron</t>
  </si>
  <si>
    <t>RED LION</t>
  </si>
  <si>
    <t>?</t>
  </si>
  <si>
    <t>RIO</t>
  </si>
  <si>
    <t>1734-EP24DC</t>
  </si>
  <si>
    <t>1734-FPD</t>
  </si>
  <si>
    <t>1734-IA4</t>
  </si>
  <si>
    <t>1734-IB4</t>
  </si>
  <si>
    <t>1734-IB8S</t>
  </si>
  <si>
    <t>1734-IE2V</t>
  </si>
  <si>
    <t>1734-IE4C</t>
  </si>
  <si>
    <t>1734-OA4</t>
  </si>
  <si>
    <t>1734-OB4</t>
  </si>
  <si>
    <t>1734-OB8S</t>
  </si>
  <si>
    <t>1734-OE2C</t>
  </si>
  <si>
    <t>1734-OE2V</t>
  </si>
  <si>
    <t>1734-TB</t>
  </si>
  <si>
    <t>1734-VTM</t>
  </si>
  <si>
    <t>207-7111,201-0842</t>
  </si>
  <si>
    <t>201-1787</t>
  </si>
  <si>
    <t>201-1063</t>
  </si>
  <si>
    <t>201-0838</t>
  </si>
  <si>
    <t>201-1589</t>
  </si>
  <si>
    <t>201-2760,207-7122</t>
  </si>
  <si>
    <t>201-1588</t>
  </si>
  <si>
    <t>201-1789</t>
  </si>
  <si>
    <t>201-3246</t>
  </si>
  <si>
    <t>201-1613</t>
  </si>
  <si>
    <t>201-1628</t>
  </si>
  <si>
    <t>205-3146</t>
  </si>
  <si>
    <t>201-1586</t>
  </si>
  <si>
    <t>207-7121,201-0837</t>
  </si>
  <si>
    <t>204-9425,201-1064</t>
  </si>
  <si>
    <t>206-3100</t>
  </si>
  <si>
    <t>Communication Adapter, 2 Ethernet/IP Ports</t>
  </si>
  <si>
    <t>Expansion Power Supply, 24VDC Input, 400mA, Horizontal Mounting</t>
  </si>
  <si>
    <t>Field Power Distributor, 10 - 28.8VDC, 120/240VAC Operating Range</t>
  </si>
  <si>
    <t>I/O Module, Series C Digital AC Input, 4 Non-Isolated Channel</t>
  </si>
  <si>
    <t>I/O Module, Digital DC Input, 4 Channel, DIN Rail, 24VDC</t>
  </si>
  <si>
    <t>I/O Module, Digital DC Input, 8 Channel, DIN Rail, 24VDC</t>
  </si>
  <si>
    <t>I/O Module, Safety, 8 Point Input</t>
  </si>
  <si>
    <t>I/O Module, Analog, 2 Inputs, Single Ended, 75mA</t>
  </si>
  <si>
    <t>I/O Module, Analog, 4 Inputs, Single Ended, 75mA</t>
  </si>
  <si>
    <t>I/O Module, Series C Digital AC Output, 4 Non-Isolated Channel</t>
  </si>
  <si>
    <t>I/O Module, Digital DC Output, 4 Channel, Current Sourcing, 24VDC</t>
  </si>
  <si>
    <t>I/O Module, 24VDC, 8 Current Sourcing, 75mA, Pointbus Current</t>
  </si>
  <si>
    <t>I/O Module, Safety, Digital DC Output, 8 Channel, Current Sourcing</t>
  </si>
  <si>
    <t>I/O Module, Analog, 2 Single Ended Outputs, 75mA, Pointbus Current</t>
  </si>
  <si>
    <t>I/O Module, Digital Contact Output, 4 Channel</t>
  </si>
  <si>
    <t>Terminal Base, 8 Screw, 10A, 24VDC, 120/240VAC, DIN Rail</t>
  </si>
  <si>
    <t>Terminal Module, Voltage, 8 Channel, High Density</t>
  </si>
  <si>
    <t>AU8424FEP</t>
  </si>
  <si>
    <t>207-4788</t>
  </si>
  <si>
    <t>Universal Free-Stand Flat End Plate, Gray, Steel</t>
  </si>
  <si>
    <t>PB</t>
  </si>
  <si>
    <t>30mm Momentary Push Button 800T PB</t>
  </si>
  <si>
    <t>Push Button, Flush Head, Black, 30mm, Momentary, NEMA 4/13</t>
  </si>
  <si>
    <t>Push Button, Extended Head, 30mm, Red, NEMA 4/13</t>
  </si>
  <si>
    <t>Push Button, Extended White Head, 12-130V AC/DC, LED, 30mm</t>
  </si>
  <si>
    <t>Push Button, Jumbo Protective Guard, 60mm, Push-Pull, 30mm</t>
  </si>
  <si>
    <t>Push Button, Push-Pull, Red, 30mm, 1NO/1NCLB, NEMA 4/13</t>
  </si>
  <si>
    <t>Push Button, Push-Pull, 30mm, Illuminated, Mushroom Head, Red</t>
  </si>
  <si>
    <t>Hole Seal, for 30.5mm Pushbutton Enclosures</t>
  </si>
  <si>
    <t>203-8659</t>
  </si>
  <si>
    <t>203-3473</t>
  </si>
  <si>
    <t>201-1736,201-4392</t>
  </si>
  <si>
    <t>204-8029</t>
  </si>
  <si>
    <t>204-0636</t>
  </si>
  <si>
    <t>201-1606</t>
  </si>
  <si>
    <t>205-1523,203-0164</t>
  </si>
  <si>
    <t>800T</t>
  </si>
  <si>
    <t>800T-D6A</t>
  </si>
  <si>
    <t>800T-A2A</t>
  </si>
  <si>
    <t>800T-B6A</t>
  </si>
  <si>
    <t>800T-QBH2W</t>
  </si>
  <si>
    <t>800T-N310J</t>
  </si>
  <si>
    <t>800T-FX6A1</t>
  </si>
  <si>
    <t>800T-FXQH2RA1</t>
  </si>
  <si>
    <t>ASPB</t>
  </si>
  <si>
    <t>nVent Hoffman</t>
  </si>
  <si>
    <t>SS</t>
  </si>
  <si>
    <t>800T-2JGH91KB7AX</t>
  </si>
  <si>
    <t>800T-J20A</t>
  </si>
  <si>
    <t>800T-H2A</t>
  </si>
  <si>
    <t>800T-H31D1</t>
  </si>
  <si>
    <t>800T-N17KF4C</t>
  </si>
  <si>
    <t>800TC-H32A</t>
  </si>
  <si>
    <t>30MM SELECTOR</t>
  </si>
  <si>
    <t>30mm Selector Switch 800T PB</t>
  </si>
  <si>
    <t>Selector Switch, 2-Position, Maintained, 30mm, Knob</t>
  </si>
  <si>
    <t>Selector Switch, 2-Position, Keyed, 30mm, Key Removal from Left</t>
  </si>
  <si>
    <t>Selector Switch, 4 Position, Maintained, 4NO/4NC, Contacts, 30mm</t>
  </si>
  <si>
    <t>30MM SELECTOR SWITCH 800T PB</t>
  </si>
  <si>
    <t>205-2421,204-6927,204-9316</t>
  </si>
  <si>
    <t>201-1738,205-8678,207-7132</t>
  </si>
  <si>
    <t>203-4091</t>
  </si>
  <si>
    <t>203-8501</t>
  </si>
  <si>
    <t>207-1829</t>
  </si>
  <si>
    <t>207-3044</t>
  </si>
  <si>
    <t>800T-T2H3EEXX</t>
  </si>
  <si>
    <t>201-1715</t>
  </si>
  <si>
    <t>Toggle Switch, 2 Way, Spring Return, 30mm, 1NO/NC Contact</t>
  </si>
  <si>
    <t>Contact Block, 1NC, Type 4/13, 30mm, Shallow</t>
  </si>
  <si>
    <t>Contact Block, 1NO/1NCLB, Shallow Type 4/13, 30mm, Screw Attachment</t>
  </si>
  <si>
    <t>800T-XD2</t>
  </si>
  <si>
    <t>800T-XA1</t>
  </si>
  <si>
    <t>201-2759</t>
  </si>
  <si>
    <t>207-6037</t>
  </si>
  <si>
    <t>POT</t>
  </si>
  <si>
    <t>Potentiometer, 30mm, 10,000 Ohms, Type 4/13</t>
  </si>
  <si>
    <t>201-4835,206-2347</t>
  </si>
  <si>
    <t>800T-U29</t>
  </si>
  <si>
    <t>PL</t>
  </si>
  <si>
    <t>Pilot Light, Green, LED, 12-130V AC/DC, 30 mm, Type 4/13</t>
  </si>
  <si>
    <t>800T-QH2G</t>
  </si>
  <si>
    <t>201-4384,207-7524,202-9402,205-1369</t>
  </si>
  <si>
    <t>800T-X646EM</t>
  </si>
  <si>
    <t>Legend Plate</t>
  </si>
  <si>
    <t>204-9199,201-1605</t>
  </si>
  <si>
    <t>1492-H5</t>
  </si>
  <si>
    <t>204-7735</t>
  </si>
  <si>
    <t>Terminal Block, Fuse Holder, 15 Amp, 10 - 57 Volt AC/DC, Black, with LED Blown Fuse Indicator</t>
  </si>
  <si>
    <t>207-7281</t>
  </si>
  <si>
    <t>206-7072</t>
  </si>
  <si>
    <t>207-7117</t>
  </si>
  <si>
    <t>206-4472</t>
  </si>
  <si>
    <t>206-7279</t>
  </si>
  <si>
    <t>205-6598</t>
  </si>
  <si>
    <t>201-1068</t>
  </si>
  <si>
    <t>NEFF GROUP DISTRIBUTORS, INC</t>
  </si>
  <si>
    <t>201-1799</t>
  </si>
  <si>
    <t>201-1790</t>
  </si>
  <si>
    <t>205-8843</t>
  </si>
  <si>
    <t>Unit Price</t>
  </si>
  <si>
    <t>Wall Mount Enclosure, NEMA 12/13, Continuous Hinge Cover With Clamps, 36 x 36 x 12 Inch, Steel With Gray Powder Coat Finish</t>
  </si>
  <si>
    <t>A363612LP</t>
  </si>
  <si>
    <t>1734-4IOL</t>
  </si>
  <si>
    <t>LVM01-RIO</t>
  </si>
  <si>
    <t>1783-US8T</t>
  </si>
  <si>
    <t>203-9270</t>
  </si>
  <si>
    <t>8-Port</t>
  </si>
  <si>
    <t>Stratix 2000, Unmanaged, 8 Port Switch, RJ45 Copper Ports</t>
  </si>
  <si>
    <t>A36P36</t>
  </si>
  <si>
    <t>Panel For Enclosure, 33" x 33", Type 3R, 4, 4X, 12/13, Steel, White Powder Coat Finish</t>
  </si>
  <si>
    <t>SDN40-24-100C</t>
  </si>
  <si>
    <t>24VDC Power Supply 40AMPS</t>
  </si>
  <si>
    <t>DCPS</t>
  </si>
  <si>
    <t>SDN5-24-100C</t>
  </si>
  <si>
    <t>24VDC POWER SUPPLY 5AMP</t>
  </si>
  <si>
    <t>MULTI-9 SURGE ARRESTER, 1-POLE W/ REMOTE SIGNALING</t>
  </si>
  <si>
    <t>M9L11120</t>
  </si>
  <si>
    <t>SCHNEIDER</t>
  </si>
  <si>
    <t>Cresent</t>
  </si>
  <si>
    <t>PHOENIX CONTACT</t>
  </si>
  <si>
    <t>PATCH PANEL, TWO RJ45 SOCKETS, 10/100/1000 MBPS, DIN RAIL MOUNTING, IP20</t>
  </si>
  <si>
    <t>GDL2</t>
  </si>
  <si>
    <t>TIME DELAY GLASS FUSE</t>
  </si>
  <si>
    <t>FERRAZ SHAWMUT</t>
  </si>
  <si>
    <t>1492-SP1C200</t>
  </si>
  <si>
    <t>CB</t>
  </si>
  <si>
    <t xml:space="preserve"> CIRCUIT BREAKER, MINIATURE SUPPLEMENTARY PROTECTOR, BULLETIN 1492-SP SERIES C</t>
  </si>
  <si>
    <t>PILZ</t>
  </si>
  <si>
    <t>RS-AMERICAS</t>
  </si>
  <si>
    <t>Safety Relay - 24VDC 8N/O 1N/C</t>
  </si>
  <si>
    <t>CR-Sfty</t>
  </si>
  <si>
    <t>1492-EAJ35</t>
  </si>
  <si>
    <t>OS</t>
  </si>
  <si>
    <t>LVM.OS</t>
  </si>
  <si>
    <t>1492-SP1C100</t>
  </si>
  <si>
    <t>1606-XLB240E</t>
  </si>
  <si>
    <t>800T-D9D2</t>
  </si>
  <si>
    <t>800T-FXQH2RA5</t>
  </si>
  <si>
    <t>800T-X559JE</t>
  </si>
  <si>
    <t>OS001</t>
  </si>
  <si>
    <t>RIO001</t>
  </si>
  <si>
    <t>TB</t>
  </si>
  <si>
    <t>Terminal Block, End Anchor, Normal Duty, for DIN Rail</t>
  </si>
  <si>
    <t>201-3242, 204-4630, 207-7120, 205-0245, 201-1581</t>
  </si>
  <si>
    <t>204-7736</t>
  </si>
  <si>
    <t>Power Supply, 240 Watt, 24 - 28 Volt DC Output, 90 - 264 Volt Input, 1-Phase, 10 Amp Output, DIN Rail Mount</t>
  </si>
  <si>
    <t>201-1813, 207-7209</t>
  </si>
  <si>
    <t>800T-A6D2</t>
  </si>
  <si>
    <t>Push Button, Flush Head, Red, Momentary, 30 mm, NEMA 4/13, 1 Normally Closed, Contact Block</t>
  </si>
  <si>
    <t>207-7131</t>
  </si>
  <si>
    <t>Push Button, Mushroom Head, Momentary, 30 mm, Yellow, 1 Normally Closed, Contact Block, NEMA 4/13</t>
  </si>
  <si>
    <t>201-4385</t>
  </si>
  <si>
    <t>Push Button, Push-Pull, 30mm, Maintained, Illuminated, LED, Red, 12 - 130 Volt AC/DC, 2 Normally Closed, Late Break, Contact Blocks, NEMA 4/13</t>
  </si>
  <si>
    <t>201-1600</t>
  </si>
  <si>
    <t xml:space="preserve">Custom Engraved Nameplate, 30.5mm, Gray Background, Metal, Jumbo Size, </t>
  </si>
  <si>
    <t>DIN Rail, Mounted Duplex Receptacle, 15 Amp, 125 Volt AC</t>
  </si>
  <si>
    <t>1492-REC15</t>
  </si>
  <si>
    <t>205-6661</t>
  </si>
  <si>
    <t>206-4516</t>
  </si>
  <si>
    <t>CSD243010LG</t>
  </si>
  <si>
    <t>Wall-Mount Type 4/12 Enclosure, Bulletin Cw1 (concept? Wall-mount Enclosure), Size/dims: 24.00x30.00x10.00, Material/finish: Steel/ltgray</t>
  </si>
  <si>
    <t>CP3024</t>
  </si>
  <si>
    <t>Panel For Concept Enclosure, 30" x 24", Steel</t>
  </si>
  <si>
    <t>204-3230</t>
  </si>
  <si>
    <t>TEP4</t>
  </si>
  <si>
    <t>Exhaust Grille, Size/Dims: fits 4 in</t>
  </si>
  <si>
    <t>201-1700</t>
  </si>
  <si>
    <t>TFP41</t>
  </si>
  <si>
    <t>Cooling Fan Package, 4 inch, 115V, 50/60Hz, Material/Finish: ABS/LtGray.</t>
  </si>
  <si>
    <t>201-1598</t>
  </si>
  <si>
    <t>HOPE INDUSTRIAL</t>
  </si>
  <si>
    <t>HIS-ML23.8-FTVA</t>
  </si>
  <si>
    <t>23.8" RESISTIVE SINGLE TOUCH INDUSTRIAL SCREEN, PANEL MOUNT</t>
  </si>
  <si>
    <t>Hope Industrial Systems, INC.</t>
  </si>
  <si>
    <t>HX500</t>
  </si>
  <si>
    <t>PC</t>
  </si>
  <si>
    <t>ONLOGIC SUPPLY</t>
  </si>
  <si>
    <t>LOGIC SUPPLY HX500 COMPUTER, 16GB WT RAM, 512GB SSD, CORE I7, WINDOWS 11 PRO 64, TB PWR, AUTO ON, WALL BRKTS, PORT BLK</t>
  </si>
  <si>
    <t>206-1926</t>
  </si>
  <si>
    <t>Logic Supply, INC</t>
  </si>
  <si>
    <t>Breaker, 10 Amp, 1-Pole, 277 Volt, Miniature, Inductive Loads</t>
  </si>
  <si>
    <t>201-2808</t>
  </si>
  <si>
    <t>201-1749</t>
  </si>
  <si>
    <t>205-4340</t>
  </si>
  <si>
    <t>206-8402</t>
  </si>
  <si>
    <t>206-8401</t>
  </si>
  <si>
    <t>206-6823</t>
  </si>
  <si>
    <t>207-5949</t>
  </si>
  <si>
    <t>206-6822</t>
  </si>
  <si>
    <t>205-8299</t>
  </si>
  <si>
    <t>206-1998</t>
  </si>
  <si>
    <t>206-8403</t>
  </si>
  <si>
    <t>IFM EFECTOR</t>
  </si>
  <si>
    <t>MENCOM</t>
  </si>
  <si>
    <t>BALLUFF</t>
  </si>
  <si>
    <t>Balluff</t>
  </si>
  <si>
    <t>E21079</t>
  </si>
  <si>
    <t>O1D100</t>
  </si>
  <si>
    <t>MDE45-4MP-FW07</t>
  </si>
  <si>
    <t>IIS226</t>
  </si>
  <si>
    <t>BNI00H2</t>
  </si>
  <si>
    <t>EBC113</t>
  </si>
  <si>
    <t>IGC260</t>
  </si>
  <si>
    <t>BNI00CP</t>
  </si>
  <si>
    <t>MOUNTING BLOCK F</t>
  </si>
  <si>
    <t>Ethernet, Field Wireable, 4 Pole, M12 D-Coded Male Straight, PG07 3-6.5mm</t>
  </si>
  <si>
    <t>4 POSITION, STRAIGHT,FEMALE, SCREW CONNECTION 10MM-12MM</t>
  </si>
  <si>
    <t>4 POSITION, STRAIGHT, MALE, SCREW CONNECTION 10MM-12MM</t>
  </si>
  <si>
    <t>Connector, Universal, 4-position, Plug straight M12 SPEEDCON, Coding: A, Screw connection, cable gland Pg7, external cable diameter 4 mm ... 6 mm</t>
  </si>
  <si>
    <t>I/O LINK MODULE, 2A/CHANNEL, 8 PORT MASTER</t>
  </si>
  <si>
    <t>Connector, Universal, 4-position, Socket angled M12 SPEEDCON, Coding: A, Screw connection, cable gland Pg7, external cable diameter 4 mm ... 6 mm</t>
  </si>
  <si>
    <t>Y SPLITTER M12-PLUG/2 X M12 SOCKET</t>
  </si>
  <si>
    <t>7.5MM SENSING RANGE, M18 THREAD, N.O./N.C. CONFIGURABLE, IO-LINK, FLUSH MOUNTABLE</t>
  </si>
  <si>
    <t>I/O LINK MODULE, 2A/CHANNEL, 16-PORT, INPUT/OUTPUT SLAVE, SPLITTER REQUIRED</t>
  </si>
  <si>
    <t>SEAGATE CONTROL SYSTEMS</t>
  </si>
  <si>
    <t>IFM EFECTOR INC.</t>
  </si>
  <si>
    <t>CONN</t>
  </si>
  <si>
    <t>IOLM</t>
  </si>
  <si>
    <t>IOL</t>
  </si>
  <si>
    <t>Laser Distance Sensor</t>
  </si>
  <si>
    <t>IOL001</t>
  </si>
  <si>
    <t>DOOR MOUNTED ETHERNET PORT WITH DUAL GFCI RECEPTACLE</t>
  </si>
  <si>
    <t>P-R2-K3RF3</t>
  </si>
  <si>
    <t>GRACE</t>
  </si>
  <si>
    <t>LVST01-RIO</t>
  </si>
  <si>
    <t>RIO002</t>
  </si>
  <si>
    <t>204-0724</t>
  </si>
  <si>
    <t>A303008LP</t>
  </si>
  <si>
    <t>Wall Mount Enclosure, NEMA 12/13, Continuous Hinge Cover With Clamps, 30 x 30 x 8 Inch, Steel With Gray Powder Coat Finish</t>
  </si>
  <si>
    <t>A30P30</t>
  </si>
  <si>
    <t>201-1792</t>
  </si>
  <si>
    <t>Panel For Enclosure, 30" x 30", Type 3R, 4, 4X, 12/13, Steel, White Powder Coat Finish</t>
  </si>
  <si>
    <t>LVST02-RIO</t>
  </si>
  <si>
    <t>RIO003</t>
  </si>
  <si>
    <t>LaborIOWall_Mt</t>
  </si>
  <si>
    <t>MtI/OWall_Mt</t>
  </si>
  <si>
    <t>MTR</t>
  </si>
  <si>
    <t>100HP</t>
  </si>
  <si>
    <t>207-8387</t>
  </si>
  <si>
    <t>BALDOR</t>
  </si>
  <si>
    <t>TORQUE DRIVES</t>
  </si>
  <si>
    <t>207-6730</t>
  </si>
  <si>
    <t>75HP</t>
  </si>
  <si>
    <t>Title</t>
  </si>
  <si>
    <t>Path</t>
  </si>
  <si>
    <t>sites/Sales_EA/Lists/Assemblies</t>
  </si>
  <si>
    <t>Item</t>
  </si>
  <si>
    <t>FVNR001</t>
  </si>
  <si>
    <t>FVNR002</t>
  </si>
  <si>
    <t>FVNR003</t>
  </si>
  <si>
    <t>FVNR004</t>
  </si>
  <si>
    <t>FVNR005</t>
  </si>
  <si>
    <t>FVNR006</t>
  </si>
  <si>
    <t>FVNR007</t>
  </si>
  <si>
    <t>FVNR008</t>
  </si>
  <si>
    <t>FVNR009</t>
  </si>
  <si>
    <t>FVNR010</t>
  </si>
  <si>
    <t>FVNR011</t>
  </si>
  <si>
    <t>FVNR012</t>
  </si>
  <si>
    <t>FVNR013</t>
  </si>
  <si>
    <t>FVNR014</t>
  </si>
  <si>
    <t>NEMA-50HP_140G+300+E300+Eth/IP</t>
  </si>
  <si>
    <t>140G-G6C3-D12-KJ</t>
  </si>
  <si>
    <t>FVNR015</t>
  </si>
  <si>
    <t>300-DOD930</t>
  </si>
  <si>
    <t>NEMA-100HP_140G+300+E300+Eth/IP</t>
  </si>
  <si>
    <t>140G-J6H3-D25</t>
  </si>
  <si>
    <t>FVNR016</t>
  </si>
  <si>
    <t>300-EOD9311</t>
  </si>
  <si>
    <t>193-ESM-I-200A-D180</t>
  </si>
  <si>
    <t>2Dr, 84x78x24 BothSideOpen</t>
  </si>
  <si>
    <t>2Dr, 84x78x24 LeftSideOpen</t>
  </si>
  <si>
    <t>2Dr, 84x78x24 RightSideOpen</t>
  </si>
  <si>
    <t>2Dr, 90x78x24 LeftSideOpenDisc</t>
  </si>
  <si>
    <t>AU90X7824LUCLP</t>
  </si>
  <si>
    <t>Cab007</t>
  </si>
  <si>
    <t>A90PM78G</t>
  </si>
  <si>
    <t>2Dr, 90x78x24 BothSideOpen</t>
  </si>
  <si>
    <t>AU90X7824BLP</t>
  </si>
  <si>
    <t>Cab008</t>
  </si>
  <si>
    <t>2Dr, 90x78x24 RightSideOpen</t>
  </si>
  <si>
    <t>AU90X7824RLP</t>
  </si>
  <si>
    <t>Cab009</t>
  </si>
  <si>
    <t>774150</t>
  </si>
  <si>
    <t>800T-a6D2</t>
  </si>
  <si>
    <t>DaysElapsed</t>
  </si>
  <si>
    <t>sites/Sales_EA/Lists/PartsDB</t>
  </si>
  <si>
    <t>7.5</t>
  </si>
  <si>
    <t>50</t>
  </si>
  <si>
    <t>60</t>
  </si>
  <si>
    <t>75</t>
  </si>
  <si>
    <t>100</t>
  </si>
  <si>
    <t>125</t>
  </si>
  <si>
    <t>150</t>
  </si>
  <si>
    <t>200</t>
  </si>
  <si>
    <t>250</t>
  </si>
  <si>
    <t>300</t>
  </si>
  <si>
    <t>350</t>
  </si>
  <si>
    <t>700</t>
  </si>
  <si>
    <t>45</t>
  </si>
  <si>
    <t>70</t>
  </si>
  <si>
    <t>90</t>
  </si>
  <si>
    <t>175</t>
  </si>
  <si>
    <t>400</t>
  </si>
  <si>
    <t>500</t>
  </si>
  <si>
    <t>600</t>
  </si>
  <si>
    <t>1321</t>
  </si>
  <si>
    <t>5200</t>
  </si>
  <si>
    <t>2000</t>
  </si>
  <si>
    <t>1000</t>
  </si>
  <si>
    <t>1500</t>
  </si>
  <si>
    <t>3000</t>
  </si>
  <si>
    <t>5000</t>
  </si>
  <si>
    <t>1492</t>
  </si>
  <si>
    <t>1734</t>
  </si>
  <si>
    <t>1606</t>
  </si>
  <si>
    <t>300 NEMA</t>
  </si>
  <si>
    <t>Size 3</t>
  </si>
  <si>
    <t>Contactor, AC, Size 3, 90 Amp, 600 Volt AC, 25 - 50 Horse Power, 120 Volt Coil, Open Type, No Enclosure</t>
  </si>
  <si>
    <t>Size 4</t>
  </si>
  <si>
    <t>Contactor, AC, Size 4, 100-250V 50-60 Hz/100-250V DC, 3 NO Poles, 1 N.O, 1 N.C. Auxiliary Contact, Screw Terminals</t>
  </si>
  <si>
    <t>SENSING MODULE CURRENT 20-200 AMP MOUNTS TO 100-D115 - 100-D180 CONTACTOR</t>
  </si>
  <si>
    <t>Panel For Enclosure, Size: 78 x 72 Inch, Material/Finish: Conductive Steel,</t>
  </si>
  <si>
    <t>AU90X4024RLP</t>
  </si>
  <si>
    <t>CRV.OS-HMI</t>
  </si>
  <si>
    <t>OS002</t>
  </si>
  <si>
    <t>HISML19-CTBH</t>
  </si>
  <si>
    <t>1756-A10</t>
  </si>
  <si>
    <t>PLC001</t>
  </si>
  <si>
    <t>1756-PA75</t>
  </si>
  <si>
    <t>1756-L84ES</t>
  </si>
  <si>
    <t>1756-EN2TR</t>
  </si>
  <si>
    <t>1756-N2</t>
  </si>
  <si>
    <t>1Dr, 90x40x24 - PLC_Closed</t>
  </si>
  <si>
    <t>A90PM40G</t>
  </si>
  <si>
    <t>AU9024EPT</t>
  </si>
  <si>
    <t>AU9024FGK</t>
  </si>
  <si>
    <t>INST-LAS</t>
  </si>
  <si>
    <t>WENGLOR-TimeOfFlightLaser</t>
  </si>
  <si>
    <t>WP-Mount</t>
  </si>
  <si>
    <t>INST-LAS001</t>
  </si>
  <si>
    <t>OY1P303P0102</t>
  </si>
  <si>
    <t>EVC086</t>
  </si>
  <si>
    <t>IFM-TimeOfFlightLaser</t>
  </si>
  <si>
    <t>INST-LAS002</t>
  </si>
  <si>
    <t>1756-Chassis-Config</t>
  </si>
  <si>
    <t>2Dr, 90x78x24 - PLC_Closed</t>
  </si>
  <si>
    <t>Cab010</t>
  </si>
  <si>
    <t>1756-A17</t>
  </si>
  <si>
    <t>1756-A7</t>
  </si>
  <si>
    <t>1756-EN4TR</t>
  </si>
  <si>
    <t>1756-HSC</t>
  </si>
  <si>
    <t>1756-IA16</t>
  </si>
  <si>
    <t>1756-IA16I</t>
  </si>
  <si>
    <t>1756-IB16</t>
  </si>
  <si>
    <t>1756-IB16S</t>
  </si>
  <si>
    <t>1756-IB32</t>
  </si>
  <si>
    <t>1756-IF16</t>
  </si>
  <si>
    <t>1756-IF4FXOF2F</t>
  </si>
  <si>
    <t>1756-IF8</t>
  </si>
  <si>
    <t>1756-IF8I</t>
  </si>
  <si>
    <t>1756-L81ES</t>
  </si>
  <si>
    <t>1756-L82E</t>
  </si>
  <si>
    <t>1756-L82ES</t>
  </si>
  <si>
    <t>1756-L83ES</t>
  </si>
  <si>
    <t>1756-L8SP</t>
  </si>
  <si>
    <t>1756-OA16</t>
  </si>
  <si>
    <t>1756-OBV8S</t>
  </si>
  <si>
    <t>1756-OF8</t>
  </si>
  <si>
    <t>1756-OW16I</t>
  </si>
  <si>
    <t>1756-TBCH</t>
  </si>
  <si>
    <t>1756-TBCHS</t>
  </si>
  <si>
    <t>1756-TBE</t>
  </si>
  <si>
    <t>1756-TBNH</t>
  </si>
  <si>
    <t>1756-TBNHS</t>
  </si>
  <si>
    <t>1Dr, 90x40x24 RightSideOpen</t>
  </si>
  <si>
    <t>SW</t>
  </si>
  <si>
    <t>FT SE</t>
  </si>
  <si>
    <t>9701*-VWSVBDL05T3*</t>
  </si>
  <si>
    <t>FactoryTalk View SE Small Bundle: Unlimited Display Server with 5 Clients</t>
  </si>
  <si>
    <t>REXEL</t>
  </si>
  <si>
    <t>OnLogic</t>
  </si>
  <si>
    <t>HX500-I7-512SSD-16GB-WIN10LTSC</t>
  </si>
  <si>
    <t>LOGIC SUPPLY - HX500 COMPUTER, 16GB WT RAM, 512GB SSD, CORE I7, WIN10 LTSC, TB PWR, AUTO ON, WALL BRKTS, PORT BLK</t>
  </si>
  <si>
    <t>LOGIC SUPPLY INC.</t>
  </si>
  <si>
    <t>Radial Arm Mount For Industrial Monitor</t>
  </si>
  <si>
    <t>Generic Server PC</t>
  </si>
  <si>
    <t>Server</t>
  </si>
  <si>
    <t>19" TOUCH SCREEN MONITOR</t>
  </si>
  <si>
    <t>Panels for Large Bulletin A27, A28, A28S4 and A34 Multi-Door Enclosures, fits 84x 1 Bay, Steel</t>
  </si>
  <si>
    <t>END PLATE 90X24</t>
  </si>
  <si>
    <t>GASKET KIT 90X24</t>
  </si>
  <si>
    <t>140G</t>
  </si>
  <si>
    <t>Breaker, Molded Case, 250 Amp, 3-Pole, 600 Volt AC, 65 kAIC, J Frame</t>
  </si>
  <si>
    <t>206-0464</t>
  </si>
  <si>
    <t>WENGLOR</t>
  </si>
  <si>
    <t>MOUNTING SYSTEM FOR  50 X 50 X 20-40MM</t>
  </si>
  <si>
    <t>206-0307</t>
  </si>
  <si>
    <t>DISTANCE LASER SENSOR, 3M RANGE, 0-10VDC / 4-20MA ANALOG OUTPUT, I/O LINK INTERFACE</t>
  </si>
  <si>
    <t>CBL</t>
  </si>
  <si>
    <t>IFM</t>
  </si>
  <si>
    <t>M12- 15M FEMALE CORDSET</t>
  </si>
  <si>
    <t>Labor</t>
  </si>
  <si>
    <t>EngHR</t>
  </si>
  <si>
    <t>Weld</t>
  </si>
  <si>
    <t>Mach</t>
  </si>
  <si>
    <t>Assy</t>
  </si>
  <si>
    <t>IBA</t>
  </si>
  <si>
    <t>30.771.024</t>
  </si>
  <si>
    <t>DATA LOGGING PACKAGE WITH IBAPDA-V7-1024 SOFTWARE LICENSE, FOR WINDOWS 10</t>
  </si>
  <si>
    <t>1756</t>
  </si>
  <si>
    <t>Chassis, Mounting, 10 Slots, 20" x 30" x 8"</t>
  </si>
  <si>
    <t>206-8795</t>
  </si>
  <si>
    <t>Chassis, Mounting, 17 Slots, 30" x 36" x 8"</t>
  </si>
  <si>
    <t>201-1711</t>
  </si>
  <si>
    <t>Chassis, Mounting,7 Slots, 20" x 24" x 8"</t>
  </si>
  <si>
    <t>Module, Communications, EtherNet/IP Bridge, 10 - 100Mbps</t>
  </si>
  <si>
    <t>206-2469</t>
  </si>
  <si>
    <t>Module, Communications, EtherNet/IP, 10M/100M1G 512 TCP Connections</t>
  </si>
  <si>
    <t>205-2571</t>
  </si>
  <si>
    <t>I/O Module, High Speed Counter, 2 Counter w/3 Input and 4 Output</t>
  </si>
  <si>
    <t>201-1817</t>
  </si>
  <si>
    <t>I/O Module, Digital AC Input, 16 Channel, Current Sinking, 120VAC</t>
  </si>
  <si>
    <t>207-2585</t>
  </si>
  <si>
    <t>204-7411</t>
  </si>
  <si>
    <t>I/O Module, Digital DC Input, 16 Channel, 24VDC</t>
  </si>
  <si>
    <t>206-5830</t>
  </si>
  <si>
    <t>I/O Module, ControlLogix, Digital DC Input, 16 Channel, Sinking Safety Input Module</t>
  </si>
  <si>
    <t>204-7828</t>
  </si>
  <si>
    <t>I/O Module, Digital DC Input, 32 Channel, 24VDC</t>
  </si>
  <si>
    <t>204-4436</t>
  </si>
  <si>
    <t>I/O Module, Analog Input, 16 Channel</t>
  </si>
  <si>
    <t>204-7830</t>
  </si>
  <si>
    <t>I/O Module, Analog, High Speed, Input/Output, 4 Channel</t>
  </si>
  <si>
    <t>204-7832</t>
  </si>
  <si>
    <t>I/O Module, Analog Input, 8 Channel</t>
  </si>
  <si>
    <t>205-1047</t>
  </si>
  <si>
    <t>I/O Module, Analog Individually Isolated, Input, 8 Channel</t>
  </si>
  <si>
    <t>207-2860</t>
  </si>
  <si>
    <t>Controller, GuardLogix, 3/1.5 MB, USB, 1GB Ethernet, 100 EtherNet/IP</t>
  </si>
  <si>
    <t>205-1697</t>
  </si>
  <si>
    <t>Controller, ControlLogix, 5 MB, USB, 1GB Ethernet, 175 EtherNet/IP</t>
  </si>
  <si>
    <t>205-8689</t>
  </si>
  <si>
    <t>Controller, GuardLogix, 5/2.5 MB, USB, 1GB Ethernet, 175 EtherNet/IP, Safety</t>
  </si>
  <si>
    <t>Controller, GuardLogix, 10/5 MB, USB, 1GB Ethernet, 250 EtherNet/IP</t>
  </si>
  <si>
    <t>WW</t>
  </si>
  <si>
    <t>12 X 6 Lay-in  WireWay Config</t>
  </si>
  <si>
    <t>F126L##</t>
  </si>
  <si>
    <t>WW001</t>
  </si>
  <si>
    <t>F126LTA</t>
  </si>
  <si>
    <t>F126LE9A</t>
  </si>
  <si>
    <t>F126LB</t>
  </si>
  <si>
    <t>F126LP</t>
  </si>
  <si>
    <t>1492-IFM-Config</t>
  </si>
  <si>
    <t>1492-IFM40F-FS120-2</t>
  </si>
  <si>
    <t>PLC002</t>
  </si>
  <si>
    <t>1492-CABLE010X</t>
  </si>
  <si>
    <t>1492-CABLE010Y</t>
  </si>
  <si>
    <t>1492-IFM20F-F120-2</t>
  </si>
  <si>
    <t>1492-CABLE025Y</t>
  </si>
  <si>
    <t>1492-CABLE025X</t>
  </si>
  <si>
    <t>1492-IFM40F-FS-4</t>
  </si>
  <si>
    <t>_1521355</t>
  </si>
  <si>
    <t>_1521339</t>
  </si>
  <si>
    <t>_1542952</t>
  </si>
  <si>
    <t>_1543058</t>
  </si>
  <si>
    <t>206-2870</t>
  </si>
  <si>
    <t>Controller, GuardLogix, 20/6 MB, USB, 1GB Ethernet, 250 EtherNet/IP</t>
  </si>
  <si>
    <t>Controller, GuardlLogix, Safety Partner, for SIL3/Ple with Primary</t>
  </si>
  <si>
    <t>201-1712</t>
  </si>
  <si>
    <t>Slot Filler for ControlLogix Chassis</t>
  </si>
  <si>
    <t>206-8796</t>
  </si>
  <si>
    <t>I/O Module, Digital AC Output, 16 Channel, 120/240VAC</t>
  </si>
  <si>
    <t>206-5835</t>
  </si>
  <si>
    <t>I/O Module, Digital DC, Safety Outputs, 8 Points, (20 Pin) 10-30VDC</t>
  </si>
  <si>
    <t>205-1376</t>
  </si>
  <si>
    <t>I/O Module, Analog Output, 8 Channel</t>
  </si>
  <si>
    <t>204-4438</t>
  </si>
  <si>
    <t>I/O Module, Digital Output, 16 Channel, 125VDC, 125/240VAC</t>
  </si>
  <si>
    <t>201-1621</t>
  </si>
  <si>
    <t>Power Supply, 85 - 265VAC, 20A, 25W</t>
  </si>
  <si>
    <t>205-1377</t>
  </si>
  <si>
    <t>Terminal Block, Removable, 36 Pin, Cage Clamp, Standard Housing</t>
  </si>
  <si>
    <t>206-5833</t>
  </si>
  <si>
    <t>CONTROLLOGIX 36 PIN SCREW TERMINAL BLOCK</t>
  </si>
  <si>
    <t>207-5816</t>
  </si>
  <si>
    <t>Terminal Block, Housing, Extended Depth</t>
  </si>
  <si>
    <t>201-3817</t>
  </si>
  <si>
    <t>Terminal Block, Removable, 20 Position, NEMA Screw Clamp</t>
  </si>
  <si>
    <t>206-5838</t>
  </si>
  <si>
    <t>CONTROLLOGIX 20 PIN SCREW TRM BLOCK</t>
  </si>
  <si>
    <t>700S-P710A1</t>
  </si>
  <si>
    <t>NEMA 600 V Safety Relay AC coil, 7 NO &amp; 1 NC, 120 V 60 Hz, Open Type Rail Mounting, Safety Control Relay</t>
  </si>
  <si>
    <t>DISC</t>
  </si>
  <si>
    <t>1494U</t>
  </si>
  <si>
    <t>1494U-J60-C4-M-PC</t>
  </si>
  <si>
    <t>Disconnect Switch, Fusible, Class J Fuse Clips, 60 Amp, 600 Volt AC, Flange Operated, 4 Foot Cable, Painted Metal Handle, Line and Load Lugs Protective Cover</t>
  </si>
  <si>
    <t>WIRE</t>
  </si>
  <si>
    <t>2/0</t>
  </si>
  <si>
    <t>206-1420</t>
  </si>
  <si>
    <t>BELDEN</t>
  </si>
  <si>
    <t>29530F</t>
  </si>
  <si>
    <t>FT. MULTI-CONDUCTOR - 1000V UL FLEXIBLE MOTOR SUPPLY CABLE 3C2/0 133STR VFD 600V BLACK</t>
  </si>
  <si>
    <t>Tanner, Inc. Wire and Cable Specialists</t>
  </si>
  <si>
    <t>ENCODER</t>
  </si>
  <si>
    <t>205-5312</t>
  </si>
  <si>
    <t>9873</t>
  </si>
  <si>
    <t>FT. 20 AWG stranded (7x28) tinned copper conductors, polypropylene insulation, 3 twisted pairs, individually shielded with Beldfoil® (100% coverage)</t>
  </si>
  <si>
    <t>204-2645</t>
  </si>
  <si>
    <t>ANIXTER</t>
  </si>
  <si>
    <t>2A-1204</t>
  </si>
  <si>
    <t>FT. Cable, 12 AWG, 4 Conductor, VNTC stranded bare copper PVC Nylon PVC jacket 600V type TC E2</t>
  </si>
  <si>
    <t>COMPRESSION LUG</t>
  </si>
  <si>
    <t>207-8487</t>
  </si>
  <si>
    <t>110-3-8-1-LUG</t>
  </si>
  <si>
    <t>SHORT BARREL FLEX CABLE, COMPRESSION LUG, COPPER, 1/0, WIRE RANGE, 3/8 STUD</t>
  </si>
  <si>
    <t>STUD</t>
  </si>
  <si>
    <t>240A</t>
  </si>
  <si>
    <t>MPDB62203</t>
  </si>
  <si>
    <t>Open-Style PDB UL 1953 1000V Tin-plated Copper - 240A 3-Pole 1 - 1 openings; 1/4-20 x 5/8 --- 1/4-20 x 5/8 Stud to Stud</t>
  </si>
  <si>
    <t>Lay-in  WireWay</t>
  </si>
  <si>
    <t>12"x6"</t>
  </si>
  <si>
    <t>Nvent</t>
  </si>
  <si>
    <t>FT. Wireway,straight Section, Bulletin F10 (lay-in Type 12 Wireway), Size/dims: 12.00x6.00x120.00, Material/finish: Steel/gray</t>
  </si>
  <si>
    <t>Wireway Tee Fitting, Top Opening, 12 Inch x 6 Inch, Steel, Gray</t>
  </si>
  <si>
    <t>Wireway 90 Degree Elbow, Lay-In, Top Opening, 12 x 6 Inch</t>
  </si>
  <si>
    <t xml:space="preserve">Wireway Box Connector, Type 12, Lay-in, 12 x 6 Inch </t>
  </si>
  <si>
    <t>Wireway Closure End Plate for Type 12 Lay-In Wireway, 12" x 6"</t>
  </si>
  <si>
    <t>A302416LP</t>
  </si>
  <si>
    <t>Wall Mount Enclosure, NEMA 12/13, Continuous Hinge Cover With Clamps, 30 x 24 x 16 Inch, Steel With Gray</t>
  </si>
  <si>
    <t>A30P24G</t>
  </si>
  <si>
    <t>Panel For Enclosure, 30" x 24", Type 3R, 4, 4X, 12/13, Conductive Steel</t>
  </si>
  <si>
    <t>LiquidTight</t>
  </si>
  <si>
    <t>1"</t>
  </si>
  <si>
    <t>ANAMET</t>
  </si>
  <si>
    <t>39438</t>
  </si>
  <si>
    <t>FT. Anaconda SEALTITE® - 1" Type EF Liquidtight Metallic Conduit, Gray</t>
  </si>
  <si>
    <t>1492-IFM</t>
  </si>
  <si>
    <t>207-4250</t>
  </si>
  <si>
    <t>Connection Products</t>
  </si>
  <si>
    <t>207-4251</t>
  </si>
  <si>
    <t>Cable, Pre-Wired, 20 Conductor, 22 AWG, 1.0 m, (3.28 ft)</t>
  </si>
  <si>
    <t>205-1051,207-4252</t>
  </si>
  <si>
    <t>Cable, Pre-Wired, 40 Conductor, 22 AWG, 1.0m, (3.28')</t>
  </si>
  <si>
    <t>207-4249</t>
  </si>
  <si>
    <t>Interface Module, Fusible, Digital, 20 Point, 120V AC/DC, BFI</t>
  </si>
  <si>
    <t>205-4801</t>
  </si>
  <si>
    <t>Cable, Pre-Wired, 40 Conductor, 22 AWG, 2.5m, (8.2')</t>
  </si>
  <si>
    <t>Cable, Pre-Wired, 20 Conductor, 22 AWG, 2.5m, (8.2')</t>
  </si>
  <si>
    <t>Interface Module, Digital, Fusible, 40 Point Isolated, Fuse Clips</t>
  </si>
  <si>
    <t>100HP, 1750/3550RPM, 460VAC, 124A, FL2898Z FRAME. TEAO-BC, HS35M ENC.</t>
  </si>
  <si>
    <t>BALDOR, AC 100HP, 1750/3550RPM, 460VAC/3PH/60, 124A, FL2898Z FRAME, FOOT MOUNTED, STD 1 MI O. 200% BELOW/125% ABOVE BASE SPEED, TEAO-BC ENCLOSURE, F2 CONDBOX, CLASS H, 40°C AMB, 1.0SF, (3) N.C. THERMOSTATS, AVTRON HS35M ENCODER, 2048PPR, EPIC CONN</t>
  </si>
  <si>
    <t>75HP AC MOTOR, 1150/2300RPM, 460VAC, 96A, FL2898Z FRAME, TEAO-BC, HS35M ENC.</t>
  </si>
  <si>
    <t>BALDOR 75HP RPM-AC MOTOR, 1150/2300RPM, 460VAC/3PH/60, 96A, FL2898Z FRAME, COUPLED DUTY, FOOT MOUNTED, WK²=11.1 LB-FT², 200% BELOW/125% ABOVE BASE SPEED, TEBC, CLASS H, 40°C AMB, 1.0SF, (3) N.C. THERMOSTATS, HS35M AVTRON ENCODER, 2048PPR, EPIC CONN</t>
  </si>
  <si>
    <t>25HP</t>
  </si>
  <si>
    <t>207-5253</t>
  </si>
  <si>
    <t>25HP AC MOTOR, 1750/3500 RPM, 460V, 34A, FL2162CZ FRAME, TEAO-BC,HS35M ENC.</t>
  </si>
  <si>
    <t>BALDOR 25HP AC MOTOR, 1750/3500 RPM, 460V/3PH/60HZ, 34A, FL2162CZ FRAME, FOOT/C-FACE, 1MIN O/L, 200%/125% TORQUE, TEAO-BC, F3 BOX, CLASS H, 40C, 1.0SF, 3 N.C. THERMOSTATS, AVTRON HS35M ENCODER, 2048 PPR, EPIC CONNECTOR</t>
  </si>
  <si>
    <t>1794</t>
  </si>
  <si>
    <t>204-7110</t>
  </si>
  <si>
    <t>1794-AENTR</t>
  </si>
  <si>
    <t>Communications Adaptors, Dual Port, Flex I/O, Ethernet/IP, 8 Modules, 24 Volt DC, 640 mA, 7.3 Watt</t>
  </si>
  <si>
    <t>800T-PL-LED-12-130V AC/DC</t>
  </si>
  <si>
    <t>Pilot Light, LED, 12-130V AC/DC, 30 mm, Type 4/13</t>
  </si>
  <si>
    <t>CC&lt;=30A</t>
  </si>
  <si>
    <t>Class CC Fuse, ## Amp, LOW-PEAK, Time-Delay</t>
  </si>
  <si>
    <t>J&lt;=30</t>
  </si>
  <si>
    <t>Class J Fuse ≤ 30A</t>
  </si>
  <si>
    <t>J&lt;=60</t>
  </si>
  <si>
    <t>Class J Fuse ≤ 60A</t>
  </si>
  <si>
    <t>J&lt;=100</t>
  </si>
  <si>
    <t>Class J Fuse ≤ 100A</t>
  </si>
  <si>
    <t>J&lt;=200</t>
  </si>
  <si>
    <t>Class J Fuse ≤ 200A</t>
  </si>
  <si>
    <t>Glass</t>
  </si>
  <si>
    <t>Glass Fuse 1/4"</t>
  </si>
  <si>
    <t>Fuse, # Amp, 250 Volt AC, Time Delay</t>
  </si>
  <si>
    <t>A36SA3210LPPL</t>
  </si>
  <si>
    <t>RIO004</t>
  </si>
  <si>
    <t>A36P30</t>
  </si>
  <si>
    <t>140G-G6C3-C40</t>
  </si>
  <si>
    <t>140G-G-FCX03</t>
  </si>
  <si>
    <t>140G-G-MTL63</t>
  </si>
  <si>
    <t>140G-G-TLC13</t>
  </si>
  <si>
    <t>1492-FB2J30</t>
  </si>
  <si>
    <t>D167-8</t>
  </si>
  <si>
    <t>1492-H4</t>
  </si>
  <si>
    <t>700-HN123</t>
  </si>
  <si>
    <t>700-HPS2Z24</t>
  </si>
  <si>
    <t>140MT-F9N-C45</t>
  </si>
  <si>
    <t>193-1EEFD</t>
  </si>
  <si>
    <t>854K-BPM10C</t>
  </si>
  <si>
    <t>856T-BB4</t>
  </si>
  <si>
    <t>856T-BP1</t>
  </si>
  <si>
    <t>140MT-C3E-B63</t>
  </si>
  <si>
    <t>100-C23D10</t>
  </si>
  <si>
    <t>193-1EECB</t>
  </si>
  <si>
    <t>A2404NJ-OC-B</t>
  </si>
  <si>
    <t>C19M10-30-002</t>
  </si>
  <si>
    <t>C19M10-40-002</t>
  </si>
  <si>
    <t>RLX2-IHNF-A</t>
  </si>
  <si>
    <t>204-5938</t>
  </si>
  <si>
    <t>Breaker, Molded Case, 40A, 3P, 600Y/347VAC, G6 Frame, 65kAIC</t>
  </si>
  <si>
    <t>204-6131</t>
  </si>
  <si>
    <t>Breaker, Flex Cable Operator, Non-Metallic Handle, 3' Length</t>
  </si>
  <si>
    <t>205-9395</t>
  </si>
  <si>
    <t>Breaker, Molded Case, G Frame, Terminal Lugs, 6 x 14-2AWG</t>
  </si>
  <si>
    <t>205-9396,204-3637</t>
  </si>
  <si>
    <t>Breaker, Molded Case, G Frame, Terminal Lugs, 14-1/0AWG, CU Only</t>
  </si>
  <si>
    <t>Interface Module, POINT 4 Channel, IO-Link Master</t>
  </si>
  <si>
    <t>206-0401,206-1822</t>
  </si>
  <si>
    <t>CR-SFTY</t>
  </si>
  <si>
    <t>Socket, 8-Pin, Miniature, Coil and Contact Separation, for 700-HP</t>
  </si>
  <si>
    <t>Relay, Safety, Control, 8-Blade, 24VDC, 2PDT, 8A</t>
  </si>
  <si>
    <t>Panel For Enclosure, 36" x 30", Type 3R, 4, 4X, 12/13, Steel</t>
  </si>
  <si>
    <t>Disconnect Enclosure, 36 x 32 x 10", Steel/Gray</t>
  </si>
  <si>
    <t>Neutral/Ground Bar Kit, 8 Circuit</t>
  </si>
  <si>
    <t>204-7917</t>
  </si>
  <si>
    <t>205-3726</t>
  </si>
  <si>
    <t>GND</t>
  </si>
  <si>
    <t>ILSCO</t>
  </si>
  <si>
    <t>RF</t>
  </si>
  <si>
    <t>Prosoft Technology</t>
  </si>
  <si>
    <t>2.4GHZ BASE STATION ANTENNA OMNIDIRECTIONAL</t>
  </si>
  <si>
    <t>Extension Cable, LMR-195, RP SMA Connector, 2', 2.5KW, 1000VDC</t>
  </si>
  <si>
    <t>Conversion Cable, LMR-195, RP SMA Male to N Male Plug, 2', 2.5KW</t>
  </si>
  <si>
    <t>Wireless Hotspot, 802.11abgn, Fast Industrial, DIN Rail</t>
  </si>
  <si>
    <t>BEACON</t>
  </si>
  <si>
    <t>Mounting Base, 60mm, Blk Housing</t>
  </si>
  <si>
    <t>206-1025</t>
  </si>
  <si>
    <t>Light Modules, 70mm, Black, Red LED</t>
  </si>
  <si>
    <t>206-1026,206-2244</t>
  </si>
  <si>
    <t>Sound Modules, 70mm, 8 Tones, Black</t>
  </si>
  <si>
    <t>MPCB, Standard Magnetic Trip (Fixed at 14 x le), 4.0 - 6.3 A, Std. Performance, Frame Size C</t>
  </si>
  <si>
    <t>23A</t>
  </si>
  <si>
    <t>100-C IEC Contactor, 120V 60Hz, Screw Terminals, Line Side, 23A, 1 N.O.  0 N.C. Auxiliary Contact Configuration</t>
  </si>
  <si>
    <t>E100 Overload Relay, Trip Class 10 or 20, Basic Overload Relay, 1.0...5.0A, IEC 100-C C09...C23</t>
  </si>
  <si>
    <t>MPCB,Fixed Magnetic (15 x In) MCP, 45 A, High Performance, Frame Size F</t>
  </si>
  <si>
    <t>E100 Overload Relay, Trip Class 10 or 20, Basic Overload Relay, 11...55A, NEMA 300 Size 0...2, Standard</t>
  </si>
  <si>
    <t>CCL-Panel - CONFIG</t>
  </si>
  <si>
    <t xml:space="preserve">201-1596
</t>
  </si>
  <si>
    <t>1606-XLE240EN</t>
  </si>
  <si>
    <t>Power Supply, 240W, 24 - 28VDC, Output, 120 AC Input</t>
  </si>
  <si>
    <t>Terminal Block, Fuse Holder, 15A, 100 - 300V AC/DC, Neon BFI</t>
  </si>
  <si>
    <t>Fuse Holder, Class J Type Fuses, 2 Pole, 30 Amp, 110 - 600 Volt</t>
  </si>
  <si>
    <t>_2703015</t>
  </si>
  <si>
    <t>A808CH</t>
  </si>
  <si>
    <t>A8P8</t>
  </si>
  <si>
    <t>205-3879,201-1769</t>
  </si>
  <si>
    <t>Junction Box, NEMA 12, Hinged Cover, 8" x 8" x 4"</t>
  </si>
  <si>
    <t>205-3880,201-2142,201-2412</t>
  </si>
  <si>
    <t>Panel For Junction Box, 8" x 8", Steel/White Powder Coat Finish</t>
  </si>
  <si>
    <t>INST-PRS</t>
  </si>
  <si>
    <t>IFM-ProxSwtich</t>
  </si>
  <si>
    <t>IGC258</t>
  </si>
  <si>
    <t>INST-PRS001</t>
  </si>
  <si>
    <t>U20302</t>
  </si>
  <si>
    <t>ItemID</t>
  </si>
  <si>
    <t>Eng Hr</t>
  </si>
  <si>
    <t>Inductive sensor; M18 x 1 / L = 45 mm; Sensing range 8 mm flush mountable; normally open; DC; PNP; M12 Connector</t>
  </si>
  <si>
    <t>Angle bracket; M18 x 1 mm</t>
  </si>
  <si>
    <t>OptionList</t>
  </si>
  <si>
    <t>100A Therm. Mag. MCCB w/4'Cbl + Lugs</t>
  </si>
  <si>
    <t>140G-G6C3-D10-KJ</t>
  </si>
  <si>
    <t>MCCB003</t>
  </si>
  <si>
    <t>Molded Case Circuit Breaker, G Frame, 65 kA Interrupt Rating, T/M - Thermal Magnetic, 3 Poles, Rated Current 100 Amp, 1 Normally Open/Normally Close Auxiliary, 24 Volt DC</t>
  </si>
  <si>
    <t>STV25K-10S</t>
  </si>
  <si>
    <t>Surge</t>
  </si>
  <si>
    <t>SURGE SUPPRESSOR DIN RAIL MOUNT</t>
  </si>
  <si>
    <t>9701*-VWSTNBDLT4*</t>
  </si>
  <si>
    <t>FactoryTalk View SE Station Bundle: Unlimited Displays - 1 Client</t>
  </si>
  <si>
    <t>30HP</t>
  </si>
  <si>
    <t>30HP AC MOTOR, 1750/3500RP, 460V, 40 FLA, FL2162CZ FRAME, TEBC, HS35M ENC.</t>
  </si>
  <si>
    <t>BALDOR RPM/AC MOTOR, 30HP, 1750/3550RPM, 460V 3PH 60HZ 40A, FL2162CZ FRAME, FOOT MOUNTED W/ 250TC C-FACE, TEBC, AVTRON HS35M ENCODER W/ EPIC CONNECTOR, F-3 CONDUIT BOX, INCLUDES BALDOR ENCODER KIT P/N 417077-302.</t>
  </si>
  <si>
    <t>207-4036</t>
  </si>
  <si>
    <t>SwingArmMount</t>
  </si>
  <si>
    <t>Coupling, 360 Swivel</t>
  </si>
  <si>
    <t>OSMNT001</t>
  </si>
  <si>
    <t>Angle, 90 deg</t>
  </si>
  <si>
    <t>Wall Hinge, 230 Swivel</t>
  </si>
  <si>
    <t>20" Closed Tube Suspension Profile</t>
  </si>
  <si>
    <t>39" Closed Tube Suspension Profile</t>
  </si>
  <si>
    <t>OSMNT</t>
  </si>
  <si>
    <t>SAGINAW</t>
  </si>
  <si>
    <t>SCE-SA360C</t>
  </si>
  <si>
    <t>SCE-SA90A</t>
  </si>
  <si>
    <t>SCE-SA230WH</t>
  </si>
  <si>
    <t>SCE-SA20TC</t>
  </si>
  <si>
    <t>SCE-SA39TC</t>
  </si>
  <si>
    <t>SCE-SA79TC</t>
  </si>
  <si>
    <t>79" Closed Tube Suspension Profile</t>
  </si>
  <si>
    <t>Electrical Estimating Tool</t>
  </si>
  <si>
    <t>Motor Name</t>
  </si>
  <si>
    <t>Encl Type</t>
  </si>
  <si>
    <t>Additonal</t>
  </si>
  <si>
    <t>Speed Range</t>
  </si>
  <si>
    <t>Amps</t>
  </si>
  <si>
    <t>Total Amps</t>
  </si>
  <si>
    <t>Overload Req'd</t>
  </si>
  <si>
    <t>Drive Req'd</t>
  </si>
  <si>
    <t>TOTAL</t>
  </si>
  <si>
    <t>Drive Size (HP)</t>
  </si>
  <si>
    <t>—</t>
  </si>
  <si>
    <t>Table 430.250 Full-Load Current, Three-Phase Alternating-Current Motors</t>
  </si>
  <si>
    <t>Induction-Type Squirrel Cage and Wound Rotor (Amperes)</t>
  </si>
  <si>
    <r>
      <t>The following values of full-load currents are typical for motors running at speeds usual for belted motors and motors with normal torque characteristics. The voltages listed are rated motor voltages. The currents listed shall be permitted for system voltage ranges of 110 to 120, 220 to 240, 440 to 480, 550 to 600</t>
    </r>
    <r>
      <rPr>
        <sz val="11"/>
        <color theme="1"/>
        <rFont val="Franklin Gothic Medium"/>
        <family val="2"/>
      </rPr>
      <t>, and 2300 to 2400</t>
    </r>
    <r>
      <rPr>
        <sz val="11"/>
        <color theme="1"/>
        <rFont val="Calibri"/>
        <family val="2"/>
        <scheme val="minor"/>
      </rPr>
      <t> volts.</t>
    </r>
  </si>
  <si>
    <t>Votlage</t>
  </si>
  <si>
    <t>Electrical Estimate</t>
  </si>
  <si>
    <t>LVM</t>
  </si>
  <si>
    <t>A.Popovich</t>
  </si>
  <si>
    <t>Initial Release</t>
  </si>
  <si>
    <t>Proposal</t>
  </si>
  <si>
    <t>Rev.</t>
  </si>
  <si>
    <t>0.1E</t>
  </si>
  <si>
    <t>0.1D</t>
  </si>
  <si>
    <t>0.1C</t>
  </si>
  <si>
    <t>Macro used to add parts to main estimated</t>
  </si>
  <si>
    <t>Update / Changes</t>
  </si>
  <si>
    <t>Author</t>
  </si>
  <si>
    <t>0.1B</t>
  </si>
  <si>
    <t xml:space="preserve">Added Pivot Tables for Summary, </t>
  </si>
  <si>
    <t xml:space="preserve"> - Added MotorList with VFD Sizing and lookup motor current, 
 - Converted estimate sheet to dynamic array, 
 - Eng. &amp; Assy Hrs are added differently, 
 - Moved PartDB and AssemblyDB to  SharePoint.</t>
  </si>
  <si>
    <t>Version</t>
  </si>
  <si>
    <t>Drive Catalog</t>
  </si>
  <si>
    <t>DimDepth.</t>
  </si>
  <si>
    <t>Power Dist.</t>
  </si>
  <si>
    <t>PLC Bay</t>
  </si>
  <si>
    <t>Width (in)</t>
  </si>
  <si>
    <t>Heat Loss (W)</t>
  </si>
  <si>
    <t>Input Current</t>
  </si>
  <si>
    <t>Total VFD Input Current</t>
  </si>
  <si>
    <t>Hrs_Eng</t>
  </si>
  <si>
    <t>Hrs_PanelAssy</t>
  </si>
  <si>
    <t>Hrs_ShopAssy</t>
  </si>
  <si>
    <t xml:space="preserve"> - Added Hrs of Engineering Calculated</t>
  </si>
  <si>
    <t>0.1F</t>
  </si>
  <si>
    <t>Total Width 
+x" (in)</t>
  </si>
  <si>
    <t>Total Min Length Required</t>
  </si>
  <si>
    <t>Single Door Width</t>
  </si>
  <si>
    <t>Double Door Width</t>
  </si>
  <si>
    <t>Optimal Double Doors</t>
  </si>
  <si>
    <t>Remaining Length</t>
  </si>
  <si>
    <t>Additional Single Doors</t>
  </si>
  <si>
    <t>Total Length Achieved</t>
  </si>
  <si>
    <t>Blower Starers+Aux</t>
  </si>
  <si>
    <t>=</t>
  </si>
  <si>
    <t>1734-PointIO-Config</t>
  </si>
  <si>
    <t>PLC003</t>
  </si>
  <si>
    <t>100HP_140MG+100C+E300+Eth/IP</t>
  </si>
  <si>
    <t>140MG-J8P-D20</t>
  </si>
  <si>
    <t>FVNR017</t>
  </si>
  <si>
    <t>100-E146ED11</t>
  </si>
  <si>
    <t>193-ESM-I-200A-E146</t>
  </si>
  <si>
    <t>125HP_140MG+100C+E300+Eth/IP</t>
  </si>
  <si>
    <t>140MG-J8P-D25</t>
  </si>
  <si>
    <t>FVNR018</t>
  </si>
  <si>
    <t>193-ESM-I-200A-E205</t>
  </si>
  <si>
    <t>MCP</t>
  </si>
  <si>
    <t>140MG - Motor Circuit Protectors, J frame, 35..65 kA at 480V, MCP (magnetic only), Rated Current 250 A</t>
  </si>
  <si>
    <t>Current Sensing Module (20...200 A) Mounts to 100-E190...E205 contactor</t>
  </si>
  <si>
    <t>100-E</t>
  </si>
  <si>
    <t>190A</t>
  </si>
  <si>
    <t>100-E190ED11</t>
  </si>
  <si>
    <t>Contactor, 190 Amp, AC3 Duty, 100 - 250 Volt AC/DC, Electronic Coil , with PLC Input, 1 Normally Open, 1 Normally Closed</t>
  </si>
  <si>
    <t>Breaker, Molded Case, 200 Amp, 3-Pole, J Frame, 480 Volt AC, 65 kAIC, Magnetic Trip Only</t>
  </si>
  <si>
    <t>146A</t>
  </si>
  <si>
    <t>Contactor, 146 Amp, AC3 Duty, 100 - 250 Volt AC/DC, Electronic Coil , 1 Normally Open, 1 Normally Closed</t>
  </si>
  <si>
    <t>Current Sensing Module (20...200 A) Mounts to 100-E146 contactor</t>
  </si>
  <si>
    <t>LVM-Entry-Inst+Cbl</t>
  </si>
  <si>
    <t>LVM001</t>
  </si>
  <si>
    <t>5J6F4-A11-US0A - 2</t>
  </si>
  <si>
    <t>MS14SPM-7FP-10M-B-EN01</t>
  </si>
  <si>
    <t>VAN-590-00</t>
  </si>
  <si>
    <t>LVM-Exit-Inst+Cbl</t>
  </si>
  <si>
    <t>LVM002</t>
  </si>
  <si>
    <t>Inductive sensor; M30 x 1.5 / L = 60 mm; Sensing range 15 mm flush mountable; normally open; DC; PNP; M12 Connector; IP 65; IP 66; IP 67; IP 68; IP 69K; 3-wire; Ambient temperature -40...85 °C; Switching frequency 100 Hz</t>
  </si>
  <si>
    <t>CANFIELD CONNECTOR</t>
  </si>
  <si>
    <t>Universal, 4-position, Socket angled M12 SPEEDCON, Coding: A, Screw connection, cable gland Pg7, external cable diameter 4 mm ... 6 mm</t>
  </si>
  <si>
    <t>CM 7 POLE 10 METER CABLE ASSEMBLY</t>
  </si>
  <si>
    <t>SOLENOID VALVE CONNECTOR, CORDSET, 4 POLE, FORM A, 5 METERS,  50V</t>
  </si>
  <si>
    <t>Line</t>
  </si>
  <si>
    <t>Sub</t>
  </si>
  <si>
    <t>Assy/Part</t>
  </si>
  <si>
    <t xml:space="preserve">Description </t>
  </si>
  <si>
    <t>Mod_Qty</t>
  </si>
  <si>
    <t>EquipCode</t>
  </si>
  <si>
    <t>EquipDesc</t>
  </si>
  <si>
    <t>ENG / FS</t>
  </si>
  <si>
    <t>WELD</t>
  </si>
  <si>
    <t>MACH</t>
  </si>
  <si>
    <t>ASSY</t>
  </si>
  <si>
    <t>INSPECT</t>
  </si>
  <si>
    <t>PURCHASE</t>
  </si>
  <si>
    <t>INVENTORY</t>
  </si>
  <si>
    <t>PURCHASES (combined)</t>
  </si>
  <si>
    <t>TOTAL
COST</t>
  </si>
  <si>
    <t>MAJOR 
OUTSIDE</t>
  </si>
  <si>
    <t>ITEM</t>
  </si>
  <si>
    <t>Equip
Code</t>
  </si>
  <si>
    <t>Equip
Description</t>
  </si>
  <si>
    <t>PANEL
ASSY</t>
  </si>
  <si>
    <t>PanelAssy</t>
  </si>
  <si>
    <t>ShopAssy</t>
  </si>
  <si>
    <t>Panel
Assy
Y/N</t>
  </si>
  <si>
    <t>Shop
Assy
Y/N</t>
  </si>
  <si>
    <t>Hrs_Panel
Assy</t>
  </si>
  <si>
    <t>Shop
Assy Hrs</t>
  </si>
  <si>
    <t>Redo Formulas, Removed PivotTables, per items worksheets, VBA Macro to add line item</t>
  </si>
  <si>
    <t>Breaker, Molded Case, G Frame, 65 kAIC, T/M - Thermal Magnetic, 3 Poles, Rated Current 125 Amp, 600 Volt AC, 1 Normally Open/Normally Closed Auxiliary Contact, 24 Volt AC</t>
  </si>
  <si>
    <t>SG</t>
  </si>
  <si>
    <t>SG-Inst+CBL</t>
  </si>
  <si>
    <t>P5103-1751000</t>
  </si>
  <si>
    <t>EVC854</t>
  </si>
  <si>
    <t>Y connection cable</t>
  </si>
  <si>
    <t>CONNECTOR 24 VOLT DS HOODS ONLY</t>
  </si>
  <si>
    <t>SG001</t>
  </si>
  <si>
    <t>LVST</t>
  </si>
  <si>
    <t>LVST-Entry-Inst+Cbl</t>
  </si>
  <si>
    <t>LVST001</t>
  </si>
  <si>
    <t>IOLS</t>
  </si>
  <si>
    <t>IOL002</t>
  </si>
  <si>
    <t>ShopAssy hours to run cable to device and terminate both ends</t>
  </si>
  <si>
    <t>HS</t>
  </si>
  <si>
    <t>Hyd_Sys_Panel</t>
  </si>
  <si>
    <t>A1412CH</t>
  </si>
  <si>
    <t>HYD001</t>
  </si>
  <si>
    <t>A14P12</t>
  </si>
  <si>
    <t>Misc250</t>
  </si>
  <si>
    <t>Junction Box, NEMA 12, Hinged Cover, 14 x 12 x 6 Inch, Steel/Gray</t>
  </si>
  <si>
    <t>Panel for Junction Box Size: 14" x 12", Size/Dims: 12.75x10.88, Material/Finish: Steel/White</t>
  </si>
  <si>
    <t>Hyd_Sys_Inst+Cbl</t>
  </si>
  <si>
    <t>HYD002</t>
  </si>
  <si>
    <t>Est_Summary!A1</t>
  </si>
  <si>
    <t>MAIN.OS - Small 1 HMI</t>
  </si>
  <si>
    <t>WC12B</t>
  </si>
  <si>
    <t>WC12W</t>
  </si>
  <si>
    <t>VESA-RADARM2-BLK</t>
  </si>
  <si>
    <t>WIEGMANN</t>
  </si>
  <si>
    <t>WC1248BD</t>
  </si>
  <si>
    <t>48" WIDE CONSOLE BODY, OILTIGHT, CARBON STEEL</t>
  </si>
  <si>
    <t>MIDWEST FABRICATIONS</t>
  </si>
  <si>
    <t>WC1248W</t>
  </si>
  <si>
    <t>48" WIDE CONSOLE WRITING DESK, CARBON STEEL GRAY</t>
  </si>
  <si>
    <t>WC12 36" WIDE CONSOLE BODY, OILTIGHT, CARBON STEEL - GRAY TOP</t>
  </si>
  <si>
    <t>WC12W - WC12 36" WIDE CONSOLE WRITING DESK,CARBON STEEL</t>
  </si>
  <si>
    <t>MAIN.OS - Lg.2 HMI</t>
  </si>
  <si>
    <t>OS003</t>
  </si>
  <si>
    <t>800T-PB</t>
  </si>
  <si>
    <t>800T-SL</t>
  </si>
  <si>
    <t>800T-SS-2POS</t>
  </si>
  <si>
    <t>800T-SS-3POS</t>
  </si>
  <si>
    <t>800T-PBLT</t>
  </si>
  <si>
    <t>800T-SS-2POS-KEY</t>
  </si>
  <si>
    <t>800T-Generic</t>
  </si>
  <si>
    <t>Push Button, Flush Head, Black, Momentary, 30 mm, NEMA 4/13, 1 Normally Open, 1 Normally Closed, Contact Block</t>
  </si>
  <si>
    <t>Pilot Light, LED, 12 - 130 Volt AC/DC, 30 mm, Type 4/13</t>
  </si>
  <si>
    <t>Selector Switch, 2 Position, Maintained, 30mm, Black Knob, White Insert, 1 Normally Open, 1 Normally Closed, Contact Block, Nema 4/13</t>
  </si>
  <si>
    <t>Selector Switch, 3 Position, 30mm, Knob Lever, Black with White Insert, Spring Return from Both, KB7 Cam, 2 Normally Open, 2 Normally Closed</t>
  </si>
  <si>
    <t>Push Button, Illuminated, Extended Head, with Guard, 12 - 130 Volt AC/DC, LED, 30 mm, Type 4/13, 1 Normally Open, 1 Normally Closed</t>
  </si>
  <si>
    <t>Selector Switch, 2 Position, Keyed, 30mm, Key Removal from Left, Key Code D018, 1 Normally Open, Contact Blocks, NEMA 4/13</t>
  </si>
  <si>
    <t>800T-SS-4POS</t>
  </si>
  <si>
    <t>Selector Switch, 4 Position, Lever Knob, Maintained, 4 Normally Open, 4 Normally Closed, Contacts, 4 x 800T-XA, 2 on White Side, 2 on Black Side, F Cam, 30mm</t>
  </si>
  <si>
    <t>440T-MRPSE11BB</t>
  </si>
  <si>
    <t>440T-AKEYE10BB</t>
  </si>
  <si>
    <t>Switch, ProSafe, Rotary, Panel Mount, Trapped Key, 20 Amp, 2 Normally Open, 2 Normally Closed, Contacts, Code BB</t>
  </si>
  <si>
    <t>Key, ProSafe, Interlocked Key Switch, Trapped, Key Code Bb</t>
  </si>
  <si>
    <t>EngHrs-v0.2</t>
  </si>
  <si>
    <t>Engineering Hours</t>
  </si>
  <si>
    <t>Comment</t>
  </si>
  <si>
    <t>DRV01</t>
  </si>
  <si>
    <t>ASSEMBLY</t>
  </si>
  <si>
    <t>PART</t>
  </si>
  <si>
    <t>DRV02</t>
  </si>
  <si>
    <t>part</t>
  </si>
  <si>
    <t>DRV03</t>
  </si>
  <si>
    <t>Location</t>
  </si>
  <si>
    <t>Entry Drive Panel</t>
  </si>
  <si>
    <t>LVM01</t>
  </si>
  <si>
    <t>Leveler Entry IO</t>
  </si>
  <si>
    <t>Shear Ram Motor</t>
  </si>
  <si>
    <t>Shear Recip</t>
  </si>
  <si>
    <t>Belt Conv.</t>
  </si>
  <si>
    <t>200% 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</si>
</sst>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_(&quot;$&quot;* #,##0_);_(&quot;$&quot;* \(#,##0\);_(&quot;$&quot;* &quot;-&quot;??_);_(@_)"/>
  </numFmts>
  <fonts count="3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b/>
      <sz val="20"/>
      <color theme="1"/>
      <name val="Calibri"/>
      <family val="2"/>
      <scheme val="minor"/>
    </font>
    <font>
      <b/>
      <sz val="36"/>
      <color theme="1"/>
      <name val="Calibri"/>
      <family val="2"/>
      <scheme val="minor"/>
    </font>
    <font>
      <sz val="10"/>
      <name val="Arial"/>
      <family val="2"/>
    </font>
    <font>
      <sz val="11"/>
      <name val="Arial"/>
      <family val="2"/>
    </font>
    <font>
      <sz val="10"/>
      <color theme="1"/>
      <name val="Calibri"/>
      <family val="2"/>
      <scheme val="minor"/>
    </font>
    <font>
      <b/>
      <sz val="10"/>
      <color theme="1"/>
      <name val="Calibri"/>
      <family val="2"/>
      <scheme val="minor"/>
    </font>
    <font>
      <b/>
      <sz val="12"/>
      <color theme="0"/>
      <name val="Calibri"/>
      <family val="2"/>
      <scheme val="minor"/>
    </font>
    <font>
      <sz val="11"/>
      <color rgb="FF3F3F76"/>
      <name val="Calibri"/>
      <family val="2"/>
      <scheme val="minor"/>
    </font>
    <font>
      <b/>
      <sz val="11"/>
      <color rgb="FFFA7D00"/>
      <name val="Calibri"/>
      <family val="2"/>
      <scheme val="minor"/>
    </font>
    <font>
      <b/>
      <sz val="10"/>
      <name val="Arial"/>
      <family val="2"/>
    </font>
    <font>
      <sz val="14"/>
      <color rgb="FF000000"/>
      <name val="Franklin Gothic Medium"/>
      <family val="2"/>
    </font>
    <font>
      <b/>
      <sz val="11"/>
      <color rgb="FF001A39"/>
      <name val="Franklin Gothic Medium"/>
      <family val="2"/>
    </font>
    <font>
      <sz val="11"/>
      <color theme="1"/>
      <name val="Franklin Gothic Medium"/>
      <family val="2"/>
    </font>
    <font>
      <sz val="11"/>
      <color rgb="FF646A82"/>
      <name val="Franklin Gothic Medium"/>
      <family val="2"/>
    </font>
    <font>
      <sz val="11"/>
      <color rgb="FFFA7D00"/>
      <name val="Calibri"/>
      <family val="2"/>
      <scheme val="minor"/>
    </font>
    <font>
      <b/>
      <sz val="8"/>
      <name val="Arial"/>
      <family val="2"/>
    </font>
    <font>
      <u/>
      <sz val="11"/>
      <color theme="10"/>
      <name val="Calibri"/>
      <family val="2"/>
      <scheme val="minor"/>
    </font>
    <font>
      <b/>
      <sz val="11"/>
      <color rgb="FF3F3F76"/>
      <name val="Calibri"/>
      <family val="2"/>
      <scheme val="minor"/>
    </font>
    <font>
      <sz val="11"/>
      <color rgb="FF000000"/>
      <name val="Calibri"/>
      <family val="2"/>
    </font>
    <font>
      <b/>
      <sz val="11"/>
      <color rgb="FF3F3F3F"/>
      <name val="Calibri"/>
      <family val="2"/>
      <scheme val="minor"/>
    </font>
    <font>
      <sz val="13.5"/>
      <color rgb="FF000000"/>
      <name val="Arial"/>
      <family val="2"/>
    </font>
  </fonts>
  <fills count="9">
    <fill>
      <patternFill patternType="none"/>
    </fill>
    <fill>
      <patternFill patternType="gray125"/>
    </fill>
    <fill>
      <patternFill patternType="solid">
        <fgColor theme="4"/>
        <bgColor theme="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1"/>
        <bgColor indexed="64"/>
      </patternFill>
    </fill>
    <fill>
      <patternFill patternType="solid">
        <fgColor theme="4" tint="0.79998168889431442"/>
        <bgColor indexed="64"/>
      </patternFill>
    </fill>
    <fill>
      <patternFill patternType="solid">
        <fgColor rgb="FFCCFF99"/>
        <bgColor indexed="64"/>
      </patternFill>
    </fill>
  </fills>
  <borders count="68">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thin">
        <color auto="1"/>
      </left>
      <right style="thin">
        <color auto="1"/>
      </right>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auto="1"/>
      </left>
      <right style="thin">
        <color auto="1"/>
      </right>
      <top style="medium">
        <color auto="1"/>
      </top>
      <bottom style="dashed">
        <color auto="1"/>
      </bottom>
      <diagonal/>
    </border>
    <border>
      <left style="thin">
        <color auto="1"/>
      </left>
      <right style="thin">
        <color auto="1"/>
      </right>
      <top style="medium">
        <color auto="1"/>
      </top>
      <bottom style="dashed">
        <color auto="1"/>
      </bottom>
      <diagonal/>
    </border>
    <border>
      <left style="medium">
        <color auto="1"/>
      </left>
      <right style="thin">
        <color auto="1"/>
      </right>
      <top style="dashed">
        <color auto="1"/>
      </top>
      <bottom style="dashed">
        <color auto="1"/>
      </bottom>
      <diagonal/>
    </border>
    <border>
      <left style="thin">
        <color auto="1"/>
      </left>
      <right style="thin">
        <color auto="1"/>
      </right>
      <top style="dashed">
        <color auto="1"/>
      </top>
      <bottom style="dashed">
        <color auto="1"/>
      </bottom>
      <diagonal/>
    </border>
    <border>
      <left style="medium">
        <color auto="1"/>
      </left>
      <right style="thin">
        <color auto="1"/>
      </right>
      <top style="dashed">
        <color auto="1"/>
      </top>
      <bottom style="medium">
        <color auto="1"/>
      </bottom>
      <diagonal/>
    </border>
    <border>
      <left style="thin">
        <color auto="1"/>
      </left>
      <right style="thin">
        <color auto="1"/>
      </right>
      <top style="dashed">
        <color auto="1"/>
      </top>
      <bottom style="medium">
        <color auto="1"/>
      </bottom>
      <diagonal/>
    </border>
    <border>
      <left style="thin">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style="thin">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thin">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thin">
        <color theme="4" tint="0.39997558519241921"/>
      </left>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rgb="FFAEB3C5"/>
      </bottom>
      <diagonal/>
    </border>
    <border>
      <left/>
      <right/>
      <top style="medium">
        <color rgb="FFAEB3C5"/>
      </top>
      <bottom/>
      <diagonal/>
    </border>
    <border>
      <left style="medium">
        <color auto="1"/>
      </left>
      <right style="medium">
        <color auto="1"/>
      </right>
      <top style="medium">
        <color auto="1"/>
      </top>
      <bottom style="medium">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double">
        <color rgb="FFFF800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theme="1"/>
      </left>
      <right style="thin">
        <color rgb="FF7F7F7F"/>
      </right>
      <top style="medium">
        <color theme="1"/>
      </top>
      <bottom style="thin">
        <color rgb="FF7F7F7F"/>
      </bottom>
      <diagonal/>
    </border>
    <border>
      <left style="medium">
        <color theme="1"/>
      </left>
      <right style="thin">
        <color rgb="FF7F7F7F"/>
      </right>
      <top style="thin">
        <color rgb="FF7F7F7F"/>
      </top>
      <bottom style="thin">
        <color rgb="FF7F7F7F"/>
      </bottom>
      <diagonal/>
    </border>
    <border>
      <left style="medium">
        <color auto="1"/>
      </left>
      <right style="thin">
        <color auto="1"/>
      </right>
      <top/>
      <bottom style="medium">
        <color theme="1"/>
      </bottom>
      <diagonal/>
    </border>
    <border>
      <left style="thin">
        <color auto="1"/>
      </left>
      <right style="thin">
        <color auto="1"/>
      </right>
      <top/>
      <bottom style="medium">
        <color theme="1"/>
      </bottom>
      <diagonal/>
    </border>
    <border>
      <left style="thin">
        <color rgb="FF7F7F7F"/>
      </left>
      <right style="thick">
        <color rgb="FF7F7F7F"/>
      </right>
      <top/>
      <bottom/>
      <diagonal/>
    </border>
    <border>
      <left style="thin">
        <color rgb="FF7F7F7F"/>
      </left>
      <right style="thin">
        <color rgb="FF7F7F7F"/>
      </right>
      <top style="medium">
        <color theme="1"/>
      </top>
      <bottom/>
      <diagonal/>
    </border>
    <border>
      <left style="thin">
        <color rgb="FF7F7F7F"/>
      </left>
      <right style="thick">
        <color rgb="FF7F7F7F"/>
      </right>
      <top style="medium">
        <color theme="1"/>
      </top>
      <bottom/>
      <diagonal/>
    </border>
    <border>
      <left style="thin">
        <color rgb="FF7F7F7F"/>
      </left>
      <right style="thin">
        <color rgb="FF7F7F7F"/>
      </right>
      <top/>
      <bottom/>
      <diagonal/>
    </border>
    <border>
      <left style="medium">
        <color theme="1"/>
      </left>
      <right style="thin">
        <color rgb="FF7F7F7F"/>
      </right>
      <top style="thin">
        <color rgb="FF7F7F7F"/>
      </top>
      <bottom/>
      <diagonal/>
    </border>
    <border>
      <left style="thin">
        <color rgb="FF7F7F7F"/>
      </left>
      <right style="medium">
        <color theme="1"/>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auto="1"/>
      </left>
      <right style="medium">
        <color auto="1"/>
      </right>
      <top/>
      <bottom style="thin">
        <color rgb="FF7F7F7F"/>
      </bottom>
      <diagonal/>
    </border>
    <border>
      <left style="thin">
        <color rgb="FF7F7F7F"/>
      </left>
      <right style="thin">
        <color rgb="FF7F7F7F"/>
      </right>
      <top style="double">
        <color theme="1"/>
      </top>
      <bottom style="medium">
        <color theme="1"/>
      </bottom>
      <diagonal/>
    </border>
    <border>
      <left style="thin">
        <color rgb="FF7F7F7F"/>
      </left>
      <right style="thick">
        <color rgb="FF7F7F7F"/>
      </right>
      <top style="double">
        <color theme="1"/>
      </top>
      <bottom style="medium">
        <color theme="1"/>
      </bottom>
      <diagonal/>
    </border>
    <border>
      <left style="thin">
        <color rgb="FF7F7F7F"/>
      </left>
      <right style="medium">
        <color theme="1"/>
      </right>
      <top style="double">
        <color theme="1"/>
      </top>
      <bottom style="medium">
        <color theme="1"/>
      </bottom>
      <diagonal/>
    </border>
    <border>
      <left style="medium">
        <color theme="1"/>
      </left>
      <right/>
      <top style="double">
        <color theme="1"/>
      </top>
      <bottom style="medium">
        <color theme="1"/>
      </bottom>
      <diagonal/>
    </border>
    <border>
      <left/>
      <right/>
      <top style="double">
        <color theme="1"/>
      </top>
      <bottom style="medium">
        <color theme="1"/>
      </bottom>
      <diagonal/>
    </border>
    <border>
      <left/>
      <right style="thin">
        <color rgb="FF7F7F7F"/>
      </right>
      <top style="double">
        <color theme="1"/>
      </top>
      <bottom style="medium">
        <color theme="1"/>
      </bottom>
      <diagonal/>
    </border>
  </borders>
  <cellStyleXfs count="13">
    <xf numFmtId="0" fontId="0" fillId="0" borderId="0"/>
    <xf numFmtId="44" fontId="12" fillId="0" borderId="0" applyFont="0" applyFill="0" applyBorder="0" applyAlignment="0" applyProtection="0"/>
    <xf numFmtId="0" fontId="11" fillId="0" borderId="0"/>
    <xf numFmtId="9" fontId="11" fillId="0" borderId="0" applyFont="0" applyFill="0" applyBorder="0" applyAlignment="0" applyProtection="0"/>
    <xf numFmtId="0" fontId="17" fillId="0" borderId="0"/>
    <xf numFmtId="0" fontId="10" fillId="0" borderId="0"/>
    <xf numFmtId="0" fontId="22" fillId="3" borderId="32" applyNumberFormat="0" applyAlignment="0" applyProtection="0"/>
    <xf numFmtId="0" fontId="23" fillId="4" borderId="32" applyNumberFormat="0" applyAlignment="0" applyProtection="0"/>
    <xf numFmtId="0" fontId="7" fillId="0" borderId="0"/>
    <xf numFmtId="44" fontId="7" fillId="0" borderId="0" applyFont="0" applyFill="0" applyBorder="0" applyAlignment="0" applyProtection="0"/>
    <xf numFmtId="0" fontId="29" fillId="0" borderId="45" applyNumberFormat="0" applyFill="0" applyAlignment="0" applyProtection="0"/>
    <xf numFmtId="0" fontId="31" fillId="0" borderId="0" applyNumberFormat="0" applyFill="0" applyBorder="0" applyAlignment="0" applyProtection="0"/>
    <xf numFmtId="0" fontId="34" fillId="4" borderId="60" applyNumberFormat="0" applyAlignment="0" applyProtection="0"/>
  </cellStyleXfs>
  <cellXfs count="187">
    <xf numFmtId="0" fontId="0" fillId="0" borderId="0" xfId="0"/>
    <xf numFmtId="0" fontId="0" fillId="0" borderId="0" xfId="0" applyAlignment="1">
      <alignment horizontal="center"/>
    </xf>
    <xf numFmtId="14" fontId="0" fillId="0" borderId="0" xfId="0" applyNumberFormat="1"/>
    <xf numFmtId="44" fontId="0" fillId="0" borderId="0" xfId="1" applyFont="1"/>
    <xf numFmtId="0" fontId="0" fillId="0" borderId="4" xfId="0" applyBorder="1"/>
    <xf numFmtId="0" fontId="18" fillId="0" borderId="7" xfId="4" applyFont="1" applyBorder="1" applyAlignment="1">
      <alignment horizontal="center" vertical="center"/>
    </xf>
    <xf numFmtId="0" fontId="19" fillId="0" borderId="0" xfId="0" applyFont="1"/>
    <xf numFmtId="0" fontId="0" fillId="0" borderId="0" xfId="0" applyAlignment="1">
      <alignment wrapText="1"/>
    </xf>
    <xf numFmtId="0" fontId="20" fillId="0" borderId="0" xfId="0" applyFont="1"/>
    <xf numFmtId="0" fontId="19" fillId="0" borderId="0" xfId="0" applyFont="1" applyAlignment="1">
      <alignment horizontal="center"/>
    </xf>
    <xf numFmtId="49" fontId="0" fillId="0" borderId="0" xfId="0" applyNumberFormat="1"/>
    <xf numFmtId="49" fontId="19" fillId="0" borderId="0" xfId="0" applyNumberFormat="1" applyFont="1"/>
    <xf numFmtId="164" fontId="0" fillId="0" borderId="0" xfId="0" applyNumberFormat="1"/>
    <xf numFmtId="3" fontId="0" fillId="0" borderId="0" xfId="0" applyNumberFormat="1"/>
    <xf numFmtId="49" fontId="9" fillId="0" borderId="0" xfId="0" applyNumberFormat="1" applyFont="1"/>
    <xf numFmtId="0" fontId="8" fillId="0" borderId="0" xfId="0" applyFont="1"/>
    <xf numFmtId="0" fontId="21" fillId="2" borderId="31" xfId="0" applyFont="1" applyFill="1" applyBorder="1" applyAlignment="1">
      <alignment horizontal="center" vertical="center"/>
    </xf>
    <xf numFmtId="44" fontId="21" fillId="2" borderId="31" xfId="1" applyFont="1" applyFill="1" applyBorder="1" applyAlignment="1">
      <alignment horizontal="center" vertical="center"/>
    </xf>
    <xf numFmtId="0" fontId="21" fillId="2" borderId="31" xfId="1" applyNumberFormat="1" applyFont="1" applyFill="1" applyBorder="1" applyAlignment="1">
      <alignment horizontal="center" vertical="center"/>
    </xf>
    <xf numFmtId="0" fontId="0" fillId="0" borderId="0" xfId="1" applyNumberFormat="1" applyFont="1" applyAlignment="1">
      <alignment horizontal="center" vertical="center"/>
    </xf>
    <xf numFmtId="44" fontId="0" fillId="0" borderId="0" xfId="1" applyFont="1" applyAlignment="1">
      <alignment horizontal="center" vertical="center"/>
    </xf>
    <xf numFmtId="165" fontId="21" fillId="2" borderId="31" xfId="1" applyNumberFormat="1" applyFont="1" applyFill="1" applyBorder="1" applyAlignment="1">
      <alignment horizontal="center" vertical="center"/>
    </xf>
    <xf numFmtId="165" fontId="0" fillId="0" borderId="0" xfId="1" applyNumberFormat="1" applyFont="1"/>
    <xf numFmtId="0" fontId="0" fillId="0" borderId="37" xfId="0" applyBorder="1"/>
    <xf numFmtId="0" fontId="0" fillId="0" borderId="15" xfId="0" applyBorder="1"/>
    <xf numFmtId="0" fontId="0" fillId="0" borderId="38" xfId="0" applyBorder="1" applyAlignment="1">
      <alignment horizontal="center"/>
    </xf>
    <xf numFmtId="0" fontId="24" fillId="0" borderId="33" xfId="0" applyFont="1" applyBorder="1" applyAlignment="1">
      <alignment horizontal="center"/>
    </xf>
    <xf numFmtId="0" fontId="24" fillId="0" borderId="36" xfId="0" applyFont="1" applyBorder="1" applyAlignment="1">
      <alignment horizontal="center"/>
    </xf>
    <xf numFmtId="0" fontId="24" fillId="0" borderId="35" xfId="0" applyFont="1" applyBorder="1" applyAlignment="1">
      <alignment horizontal="center"/>
    </xf>
    <xf numFmtId="0" fontId="26" fillId="0" borderId="39" xfId="0" applyFont="1" applyBorder="1" applyAlignment="1">
      <alignment horizontal="center" wrapText="1"/>
    </xf>
    <xf numFmtId="0" fontId="28" fillId="0" borderId="0" xfId="0" applyFont="1" applyAlignment="1">
      <alignment horizontal="center" vertical="center" wrapText="1"/>
    </xf>
    <xf numFmtId="0" fontId="28" fillId="0" borderId="0" xfId="0" applyFont="1" applyAlignment="1">
      <alignment horizontal="center" vertical="top" wrapText="1"/>
    </xf>
    <xf numFmtId="0" fontId="28" fillId="0" borderId="39" xfId="0" applyFont="1" applyBorder="1" applyAlignment="1">
      <alignment horizontal="center" vertical="center" wrapText="1"/>
    </xf>
    <xf numFmtId="0" fontId="28" fillId="0" borderId="39" xfId="0" applyFont="1" applyBorder="1" applyAlignment="1">
      <alignment horizontal="center" vertical="top" wrapText="1"/>
    </xf>
    <xf numFmtId="0" fontId="23" fillId="4" borderId="32" xfId="7" applyAlignment="1">
      <alignment horizontal="center"/>
    </xf>
    <xf numFmtId="0" fontId="22" fillId="3" borderId="32" xfId="6"/>
    <xf numFmtId="0" fontId="22" fillId="3" borderId="32" xfId="6" applyAlignment="1">
      <alignment horizontal="center"/>
    </xf>
    <xf numFmtId="9" fontId="22" fillId="3" borderId="32" xfId="6" applyNumberFormat="1" applyAlignment="1">
      <alignment horizontal="center"/>
    </xf>
    <xf numFmtId="0" fontId="0" fillId="0" borderId="42" xfId="0" applyBorder="1"/>
    <xf numFmtId="0" fontId="0" fillId="0" borderId="44" xfId="0" applyBorder="1"/>
    <xf numFmtId="0" fontId="0" fillId="0" borderId="5" xfId="0" applyBorder="1"/>
    <xf numFmtId="0" fontId="7" fillId="0" borderId="1" xfId="8" applyBorder="1"/>
    <xf numFmtId="0" fontId="7" fillId="0" borderId="2" xfId="8" applyBorder="1"/>
    <xf numFmtId="0" fontId="7" fillId="0" borderId="3" xfId="8" applyBorder="1"/>
    <xf numFmtId="0" fontId="7" fillId="0" borderId="0" xfId="8"/>
    <xf numFmtId="0" fontId="7" fillId="0" borderId="42" xfId="8" applyBorder="1"/>
    <xf numFmtId="0" fontId="15" fillId="0" borderId="0" xfId="8" applyFont="1"/>
    <xf numFmtId="0" fontId="7" fillId="0" borderId="43" xfId="8" applyBorder="1"/>
    <xf numFmtId="0" fontId="7" fillId="0" borderId="44" xfId="8" applyBorder="1"/>
    <xf numFmtId="0" fontId="7" fillId="0" borderId="4" xfId="8" applyBorder="1"/>
    <xf numFmtId="0" fontId="7" fillId="0" borderId="5" xfId="8" applyBorder="1"/>
    <xf numFmtId="0" fontId="13" fillId="0" borderId="0" xfId="8" applyFont="1" applyAlignment="1">
      <alignment horizontal="right"/>
    </xf>
    <xf numFmtId="0" fontId="7" fillId="0" borderId="16" xfId="8" applyBorder="1" applyAlignment="1">
      <alignment vertical="center"/>
    </xf>
    <xf numFmtId="0" fontId="7" fillId="0" borderId="17" xfId="8" applyBorder="1" applyAlignment="1">
      <alignment horizontal="center" vertical="center"/>
    </xf>
    <xf numFmtId="0" fontId="7" fillId="0" borderId="18" xfId="8" applyBorder="1" applyAlignment="1">
      <alignment vertical="center"/>
    </xf>
    <xf numFmtId="0" fontId="7" fillId="0" borderId="19" xfId="8" applyBorder="1" applyAlignment="1">
      <alignment horizontal="center" vertical="center"/>
    </xf>
    <xf numFmtId="0" fontId="7" fillId="0" borderId="20" xfId="8" applyBorder="1" applyAlignment="1">
      <alignment vertical="center"/>
    </xf>
    <xf numFmtId="14" fontId="7" fillId="0" borderId="21" xfId="8" applyNumberFormat="1" applyBorder="1" applyAlignment="1">
      <alignment horizontal="center" vertical="center"/>
    </xf>
    <xf numFmtId="0" fontId="7" fillId="0" borderId="21" xfId="8" applyBorder="1" applyAlignment="1">
      <alignment horizontal="center" vertical="center"/>
    </xf>
    <xf numFmtId="0" fontId="23" fillId="4" borderId="32" xfId="7" applyAlignment="1"/>
    <xf numFmtId="14" fontId="23" fillId="4" borderId="32" xfId="7" applyNumberFormat="1" applyAlignment="1"/>
    <xf numFmtId="0" fontId="13" fillId="0" borderId="41" xfId="8" applyFont="1" applyBorder="1" applyAlignment="1">
      <alignment horizontal="right" vertical="center"/>
    </xf>
    <xf numFmtId="0" fontId="7" fillId="0" borderId="41" xfId="8" applyBorder="1" applyAlignment="1">
      <alignment horizontal="right" vertical="center"/>
    </xf>
    <xf numFmtId="0" fontId="13" fillId="0" borderId="41" xfId="8" applyFont="1" applyBorder="1" applyAlignment="1">
      <alignment horizontal="right"/>
    </xf>
    <xf numFmtId="14" fontId="7" fillId="0" borderId="41" xfId="8" applyNumberFormat="1" applyBorder="1" applyAlignment="1">
      <alignment horizontal="right"/>
    </xf>
    <xf numFmtId="0" fontId="7" fillId="0" borderId="0" xfId="0" applyFont="1"/>
    <xf numFmtId="0" fontId="7" fillId="0" borderId="0" xfId="0" applyFont="1" applyAlignment="1">
      <alignment horizontal="right"/>
    </xf>
    <xf numFmtId="0" fontId="7" fillId="0" borderId="0" xfId="0" applyFont="1" applyAlignment="1">
      <alignment wrapText="1"/>
    </xf>
    <xf numFmtId="0" fontId="0" fillId="0" borderId="0" xfId="0" applyAlignment="1">
      <alignment horizontal="center" vertical="center"/>
    </xf>
    <xf numFmtId="0" fontId="13" fillId="5" borderId="0" xfId="0" applyFont="1" applyFill="1"/>
    <xf numFmtId="0" fontId="13" fillId="0" borderId="3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0" fontId="13" fillId="0" borderId="36" xfId="0" applyFont="1" applyBorder="1" applyAlignment="1">
      <alignment horizontal="center" vertical="center"/>
    </xf>
    <xf numFmtId="0" fontId="13" fillId="0" borderId="6" xfId="0" applyFont="1" applyBorder="1" applyAlignment="1">
      <alignment horizontal="center" vertical="center"/>
    </xf>
    <xf numFmtId="0" fontId="13" fillId="0" borderId="34" xfId="0" applyFont="1" applyBorder="1" applyAlignment="1">
      <alignment horizontal="center" vertical="center" wrapText="1"/>
    </xf>
    <xf numFmtId="0" fontId="0" fillId="0" borderId="1" xfId="0" applyBorder="1"/>
    <xf numFmtId="0" fontId="0" fillId="0" borderId="2" xfId="0" applyBorder="1"/>
    <xf numFmtId="0" fontId="6" fillId="0" borderId="0" xfId="0" quotePrefix="1" applyFont="1" applyAlignment="1">
      <alignment wrapText="1"/>
    </xf>
    <xf numFmtId="0" fontId="5" fillId="0" borderId="0" xfId="0" applyFont="1"/>
    <xf numFmtId="0" fontId="5" fillId="0" borderId="0" xfId="0" applyFont="1" applyAlignment="1">
      <alignment horizontal="right"/>
    </xf>
    <xf numFmtId="0" fontId="13" fillId="0" borderId="0" xfId="0" applyFont="1" applyAlignment="1">
      <alignment horizontal="right"/>
    </xf>
    <xf numFmtId="0" fontId="5" fillId="0" borderId="0" xfId="0" applyFont="1" applyAlignment="1">
      <alignment horizontal="center"/>
    </xf>
    <xf numFmtId="0" fontId="0" fillId="0" borderId="43" xfId="0" applyBorder="1"/>
    <xf numFmtId="0" fontId="22" fillId="3" borderId="32" xfId="6" applyNumberFormat="1" applyAlignment="1">
      <alignment horizontal="center"/>
    </xf>
    <xf numFmtId="0" fontId="13" fillId="0" borderId="0" xfId="0" applyFont="1"/>
    <xf numFmtId="0" fontId="0" fillId="6" borderId="0" xfId="0" applyFill="1"/>
    <xf numFmtId="0" fontId="0" fillId="6" borderId="0" xfId="1" applyNumberFormat="1" applyFont="1" applyFill="1" applyAlignment="1">
      <alignment horizontal="center" vertical="center"/>
    </xf>
    <xf numFmtId="44" fontId="0" fillId="6" borderId="0" xfId="1" applyFont="1" applyFill="1"/>
    <xf numFmtId="0" fontId="21" fillId="2" borderId="31" xfId="1" applyNumberFormat="1" applyFont="1" applyFill="1" applyBorder="1" applyAlignment="1">
      <alignment horizontal="center" vertical="center" wrapText="1"/>
    </xf>
    <xf numFmtId="0" fontId="24" fillId="7" borderId="46" xfId="0" applyFont="1" applyFill="1" applyBorder="1" applyAlignment="1">
      <alignment horizontal="center" vertical="center"/>
    </xf>
    <xf numFmtId="44" fontId="30" fillId="8" borderId="48" xfId="1" applyFont="1" applyFill="1" applyBorder="1" applyAlignment="1" applyProtection="1">
      <alignment horizontal="center" vertical="center"/>
      <protection locked="0"/>
    </xf>
    <xf numFmtId="0" fontId="0" fillId="0" borderId="0" xfId="1" applyNumberFormat="1" applyFont="1"/>
    <xf numFmtId="0" fontId="5" fillId="0" borderId="0" xfId="1" applyNumberFormat="1" applyFont="1"/>
    <xf numFmtId="0" fontId="0" fillId="6" borderId="0" xfId="1" applyNumberFormat="1" applyFont="1" applyFill="1"/>
    <xf numFmtId="0" fontId="0" fillId="6" borderId="0" xfId="0" applyFill="1" applyAlignment="1">
      <alignment horizontal="center"/>
    </xf>
    <xf numFmtId="0" fontId="13" fillId="0" borderId="0" xfId="0" applyFont="1" applyAlignment="1">
      <alignment horizontal="center"/>
    </xf>
    <xf numFmtId="0" fontId="13" fillId="6" borderId="0" xfId="0" applyFont="1" applyFill="1" applyAlignment="1">
      <alignment horizontal="center"/>
    </xf>
    <xf numFmtId="0" fontId="22" fillId="3" borderId="32" xfId="6" applyAlignment="1">
      <alignment horizontal="center" vertical="center"/>
    </xf>
    <xf numFmtId="0" fontId="29" fillId="0" borderId="45" xfId="10" applyAlignment="1">
      <alignment horizontal="center"/>
    </xf>
    <xf numFmtId="0" fontId="32" fillId="3" borderId="32" xfId="6" applyFont="1" applyAlignment="1">
      <alignment horizontal="left" vertical="center"/>
    </xf>
    <xf numFmtId="0" fontId="32" fillId="3" borderId="32" xfId="6" applyFont="1" applyAlignment="1">
      <alignment horizontal="center" vertical="center"/>
    </xf>
    <xf numFmtId="0" fontId="23" fillId="4" borderId="51" xfId="7" applyBorder="1" applyAlignment="1">
      <alignment horizontal="center"/>
    </xf>
    <xf numFmtId="0" fontId="24" fillId="7" borderId="9" xfId="0" applyFont="1" applyFill="1" applyBorder="1" applyAlignment="1">
      <alignment horizontal="center" vertical="center" wrapText="1"/>
    </xf>
    <xf numFmtId="0" fontId="31" fillId="4" borderId="51" xfId="11" applyFill="1" applyBorder="1" applyAlignment="1">
      <alignment horizontal="center"/>
    </xf>
    <xf numFmtId="0" fontId="31" fillId="4" borderId="50" xfId="11" applyFill="1" applyBorder="1" applyAlignment="1">
      <alignment horizontal="center"/>
    </xf>
    <xf numFmtId="0" fontId="24" fillId="7" borderId="46" xfId="0" applyFont="1" applyFill="1" applyBorder="1" applyAlignment="1">
      <alignment horizontal="center" vertical="center" wrapText="1"/>
    </xf>
    <xf numFmtId="0" fontId="21" fillId="2" borderId="0" xfId="0" applyFont="1" applyFill="1" applyAlignment="1">
      <alignment horizontal="center" vertical="center" wrapText="1"/>
    </xf>
    <xf numFmtId="0" fontId="5" fillId="3" borderId="32" xfId="6" applyFont="1"/>
    <xf numFmtId="0" fontId="5" fillId="0" borderId="0" xfId="0" quotePrefix="1" applyFont="1" applyAlignment="1">
      <alignment wrapText="1"/>
    </xf>
    <xf numFmtId="0" fontId="0" fillId="0" borderId="55" xfId="0" applyBorder="1"/>
    <xf numFmtId="0" fontId="0" fillId="0" borderId="56" xfId="0" applyBorder="1"/>
    <xf numFmtId="0" fontId="0" fillId="0" borderId="57" xfId="0" applyBorder="1"/>
    <xf numFmtId="0" fontId="0" fillId="0" borderId="54" xfId="0" applyBorder="1"/>
    <xf numFmtId="0" fontId="23" fillId="4" borderId="58" xfId="7" applyBorder="1" applyAlignment="1">
      <alignment horizontal="center"/>
    </xf>
    <xf numFmtId="0" fontId="13" fillId="5" borderId="0" xfId="0" applyFont="1" applyFill="1" applyAlignment="1">
      <alignment horizontal="center"/>
    </xf>
    <xf numFmtId="0" fontId="7" fillId="0" borderId="0" xfId="0" applyFont="1" applyAlignment="1">
      <alignment horizontal="center" vertical="center"/>
    </xf>
    <xf numFmtId="0" fontId="6" fillId="0" borderId="0" xfId="0" applyFont="1" applyAlignment="1">
      <alignment horizontal="center"/>
    </xf>
    <xf numFmtId="0" fontId="0" fillId="0" borderId="2" xfId="0" applyBorder="1" applyAlignment="1">
      <alignment horizontal="center"/>
    </xf>
    <xf numFmtId="0" fontId="0" fillId="0" borderId="4" xfId="0" applyBorder="1" applyAlignment="1">
      <alignment horizontal="center"/>
    </xf>
    <xf numFmtId="0" fontId="21" fillId="2" borderId="31" xfId="1" applyNumberFormat="1" applyFont="1" applyFill="1" applyBorder="1" applyAlignment="1">
      <alignment horizontal="left" vertical="center" wrapText="1"/>
    </xf>
    <xf numFmtId="165" fontId="23" fillId="4" borderId="32" xfId="7" applyNumberFormat="1"/>
    <xf numFmtId="165" fontId="23" fillId="4" borderId="59" xfId="7" applyNumberFormat="1" applyBorder="1"/>
    <xf numFmtId="44" fontId="24" fillId="7" borderId="9" xfId="1" applyFont="1" applyFill="1" applyBorder="1" applyAlignment="1">
      <alignment horizontal="center" vertical="center" wrapText="1"/>
    </xf>
    <xf numFmtId="44" fontId="24" fillId="7" borderId="49" xfId="1" applyFont="1" applyFill="1" applyBorder="1" applyAlignment="1">
      <alignment horizontal="center" vertical="center" wrapText="1"/>
    </xf>
    <xf numFmtId="0" fontId="24" fillId="7" borderId="49" xfId="0" applyFont="1" applyFill="1" applyBorder="1" applyAlignment="1">
      <alignment horizontal="center" vertical="center" wrapText="1"/>
    </xf>
    <xf numFmtId="0" fontId="0" fillId="0" borderId="0" xfId="0" applyAlignment="1">
      <alignment horizontal="left" vertical="top" wrapText="1"/>
    </xf>
    <xf numFmtId="0" fontId="0" fillId="6" borderId="0" xfId="0" applyFill="1" applyAlignment="1">
      <alignment horizontal="left" vertical="top" wrapText="1"/>
    </xf>
    <xf numFmtId="165" fontId="23" fillId="4" borderId="62" xfId="7" applyNumberFormat="1" applyBorder="1"/>
    <xf numFmtId="0" fontId="0" fillId="0" borderId="62" xfId="0" applyBorder="1"/>
    <xf numFmtId="0" fontId="0" fillId="0" borderId="63" xfId="0" applyBorder="1"/>
    <xf numFmtId="165" fontId="23" fillId="4" borderId="64" xfId="7" applyNumberFormat="1" applyBorder="1"/>
    <xf numFmtId="44" fontId="0" fillId="0" borderId="2" xfId="1" applyFont="1" applyBorder="1" applyAlignment="1">
      <alignment horizontal="center"/>
    </xf>
    <xf numFmtId="44" fontId="0" fillId="0" borderId="0" xfId="1" applyFont="1" applyBorder="1" applyAlignment="1">
      <alignment horizontal="center"/>
    </xf>
    <xf numFmtId="0" fontId="16" fillId="0" borderId="0" xfId="8" applyFont="1" applyAlignment="1">
      <alignment horizontal="center" vertical="center"/>
    </xf>
    <xf numFmtId="44" fontId="0" fillId="0" borderId="4" xfId="1" applyFont="1" applyBorder="1" applyAlignment="1">
      <alignment horizontal="center"/>
    </xf>
    <xf numFmtId="1" fontId="23" fillId="4" borderId="62" xfId="7" applyNumberFormat="1" applyBorder="1" applyAlignment="1">
      <alignment horizontal="center"/>
    </xf>
    <xf numFmtId="44" fontId="0" fillId="0" borderId="0" xfId="1" applyFont="1" applyAlignment="1">
      <alignment horizontal="center"/>
    </xf>
    <xf numFmtId="49" fontId="4" fillId="0" borderId="0" xfId="0" applyNumberFormat="1" applyFont="1"/>
    <xf numFmtId="0" fontId="31" fillId="0" borderId="0" xfId="11" applyAlignment="1">
      <alignment horizontal="left" vertical="top" wrapText="1"/>
    </xf>
    <xf numFmtId="44" fontId="23" fillId="4" borderId="62" xfId="1" applyFont="1" applyFill="1" applyBorder="1" applyAlignment="1">
      <alignment horizontal="center"/>
    </xf>
    <xf numFmtId="0" fontId="23" fillId="4" borderId="32" xfId="7"/>
    <xf numFmtId="1" fontId="34" fillId="4" borderId="60" xfId="12" applyNumberFormat="1" applyAlignment="1">
      <alignment horizontal="center"/>
    </xf>
    <xf numFmtId="165" fontId="34" fillId="4" borderId="60" xfId="12" applyNumberFormat="1" applyAlignment="1">
      <alignment horizontal="center"/>
    </xf>
    <xf numFmtId="0" fontId="3" fillId="3" borderId="32" xfId="6" applyFont="1"/>
    <xf numFmtId="0" fontId="2" fillId="0" borderId="0" xfId="0" applyFont="1"/>
    <xf numFmtId="0" fontId="35" fillId="0" borderId="0" xfId="0" applyFont="1" applyAlignment="1">
      <alignment horizontal="left" vertical="center" wrapText="1"/>
    </xf>
    <xf numFmtId="0" fontId="2" fillId="0" borderId="0" xfId="0" applyFont="1" applyAlignment="1">
      <alignment horizontal="left" vertical="top" wrapText="1"/>
    </xf>
    <xf numFmtId="0" fontId="2" fillId="0" borderId="0" xfId="0" applyFont="1" applyAlignment="1">
      <alignment horizontal="center"/>
    </xf>
    <xf numFmtId="0" fontId="7" fillId="0" borderId="28" xfId="8" applyBorder="1" applyAlignment="1">
      <alignment horizontal="left" vertical="center"/>
    </xf>
    <xf numFmtId="0" fontId="7" fillId="0" borderId="29" xfId="8" applyBorder="1" applyAlignment="1">
      <alignment horizontal="left" vertical="center"/>
    </xf>
    <xf numFmtId="0" fontId="7" fillId="0" borderId="30" xfId="8" applyBorder="1" applyAlignment="1">
      <alignment horizontal="left" vertical="center"/>
    </xf>
    <xf numFmtId="0" fontId="7" fillId="0" borderId="0" xfId="8" applyAlignment="1">
      <alignment horizontal="left" vertical="top"/>
    </xf>
    <xf numFmtId="0" fontId="7" fillId="0" borderId="25" xfId="8" applyBorder="1" applyAlignment="1">
      <alignment horizontal="left" vertical="center"/>
    </xf>
    <xf numFmtId="0" fontId="7" fillId="0" borderId="26" xfId="8" applyBorder="1" applyAlignment="1">
      <alignment horizontal="left" vertical="center"/>
    </xf>
    <xf numFmtId="0" fontId="7" fillId="0" borderId="27" xfId="8" applyBorder="1" applyAlignment="1">
      <alignment horizontal="left" vertical="center"/>
    </xf>
    <xf numFmtId="0" fontId="7" fillId="0" borderId="22" xfId="8" applyBorder="1" applyAlignment="1">
      <alignment horizontal="left" vertical="center"/>
    </xf>
    <xf numFmtId="0" fontId="7" fillId="0" borderId="23" xfId="8" applyBorder="1" applyAlignment="1">
      <alignment horizontal="left" vertical="center"/>
    </xf>
    <xf numFmtId="0" fontId="7" fillId="0" borderId="24" xfId="8" applyBorder="1" applyAlignment="1">
      <alignment horizontal="left" vertical="center"/>
    </xf>
    <xf numFmtId="0" fontId="18" fillId="0" borderId="8" xfId="4" applyFont="1" applyBorder="1" applyAlignment="1">
      <alignment horizontal="center" vertical="center"/>
    </xf>
    <xf numFmtId="0" fontId="18" fillId="0" borderId="13" xfId="4" applyFont="1" applyBorder="1" applyAlignment="1">
      <alignment horizontal="center" vertical="center"/>
    </xf>
    <xf numFmtId="0" fontId="18" fillId="0" borderId="9" xfId="4" applyFont="1" applyBorder="1" applyAlignment="1">
      <alignment horizontal="center" vertical="center"/>
    </xf>
    <xf numFmtId="0" fontId="18" fillId="0" borderId="14" xfId="4" applyFont="1" applyBorder="1" applyAlignment="1">
      <alignment horizontal="center" vertical="center"/>
    </xf>
    <xf numFmtId="0" fontId="18" fillId="0" borderId="10" xfId="4" applyFont="1" applyBorder="1" applyAlignment="1">
      <alignment horizontal="center" vertical="center"/>
    </xf>
    <xf numFmtId="0" fontId="18" fillId="0" borderId="2" xfId="4" applyFont="1" applyBorder="1" applyAlignment="1">
      <alignment horizontal="center" vertical="center"/>
    </xf>
    <xf numFmtId="0" fontId="18" fillId="0" borderId="3" xfId="4" applyFont="1" applyBorder="1" applyAlignment="1">
      <alignment horizontal="center" vertical="center"/>
    </xf>
    <xf numFmtId="0" fontId="18" fillId="0" borderId="11" xfId="4" applyFont="1" applyBorder="1" applyAlignment="1">
      <alignment horizontal="center" vertical="center"/>
    </xf>
    <xf numFmtId="0" fontId="18" fillId="0" borderId="4" xfId="4" applyFont="1" applyBorder="1" applyAlignment="1">
      <alignment horizontal="center" vertical="center"/>
    </xf>
    <xf numFmtId="0" fontId="18" fillId="0" borderId="5" xfId="4" applyFont="1" applyBorder="1" applyAlignment="1">
      <alignment horizontal="center" vertical="center"/>
    </xf>
    <xf numFmtId="0" fontId="18" fillId="0" borderId="12" xfId="4" applyFont="1" applyBorder="1" applyAlignment="1">
      <alignment horizontal="center" vertical="center"/>
    </xf>
    <xf numFmtId="0" fontId="18" fillId="0" borderId="15" xfId="4" applyFont="1" applyBorder="1" applyAlignment="1">
      <alignment horizontal="center" vertical="center"/>
    </xf>
    <xf numFmtId="0" fontId="24" fillId="7" borderId="47" xfId="0" applyFont="1" applyFill="1" applyBorder="1" applyAlignment="1">
      <alignment horizontal="center" vertical="center" wrapText="1"/>
    </xf>
    <xf numFmtId="0" fontId="24" fillId="7" borderId="61" xfId="0" applyFont="1" applyFill="1" applyBorder="1" applyAlignment="1">
      <alignment horizontal="center" vertical="center" wrapText="1"/>
    </xf>
    <xf numFmtId="0" fontId="23" fillId="4" borderId="65" xfId="7" applyBorder="1" applyAlignment="1">
      <alignment horizontal="center"/>
    </xf>
    <xf numFmtId="0" fontId="23" fillId="4" borderId="66" xfId="7" applyBorder="1" applyAlignment="1">
      <alignment horizontal="center"/>
    </xf>
    <xf numFmtId="0" fontId="23" fillId="4" borderId="67" xfId="7" applyBorder="1" applyAlignment="1">
      <alignment horizontal="center"/>
    </xf>
    <xf numFmtId="0" fontId="24" fillId="7" borderId="9" xfId="0" applyFont="1" applyFill="1" applyBorder="1" applyAlignment="1">
      <alignment horizontal="center" vertical="center" wrapText="1"/>
    </xf>
    <xf numFmtId="0" fontId="24" fillId="7" borderId="49" xfId="0" applyFont="1" applyFill="1" applyBorder="1" applyAlignment="1">
      <alignment horizontal="center" vertical="center" wrapText="1"/>
    </xf>
    <xf numFmtId="0" fontId="24" fillId="7" borderId="8" xfId="0" applyFont="1" applyFill="1" applyBorder="1" applyAlignment="1">
      <alignment horizontal="center" vertical="center"/>
    </xf>
    <xf numFmtId="0" fontId="24" fillId="7" borderId="52" xfId="0" applyFont="1" applyFill="1" applyBorder="1" applyAlignment="1">
      <alignment horizontal="center" vertical="center"/>
    </xf>
    <xf numFmtId="0" fontId="24" fillId="7" borderId="53" xfId="0" applyFont="1" applyFill="1" applyBorder="1" applyAlignment="1">
      <alignment horizontal="center" vertical="center"/>
    </xf>
    <xf numFmtId="0" fontId="25" fillId="0" borderId="0" xfId="0" applyFont="1" applyAlignment="1">
      <alignment horizontal="center" vertical="center" wrapText="1"/>
    </xf>
    <xf numFmtId="0" fontId="26" fillId="0" borderId="40" xfId="0" applyFont="1" applyBorder="1" applyAlignment="1">
      <alignment horizontal="center" wrapText="1"/>
    </xf>
    <xf numFmtId="0" fontId="26" fillId="0" borderId="0" xfId="0" applyFont="1" applyAlignment="1">
      <alignment horizontal="center" wrapText="1"/>
    </xf>
    <xf numFmtId="0" fontId="26" fillId="0" borderId="39" xfId="0" applyFont="1" applyBorder="1" applyAlignment="1">
      <alignment horizontal="center" wrapText="1"/>
    </xf>
    <xf numFmtId="0" fontId="26" fillId="0" borderId="39" xfId="0" applyFont="1" applyBorder="1"/>
    <xf numFmtId="0" fontId="0" fillId="0" borderId="39" xfId="0" applyBorder="1"/>
  </cellXfs>
  <cellStyles count="13">
    <cellStyle name="Calculation" xfId="7" builtinId="22"/>
    <cellStyle name="Currency" xfId="1" builtinId="4"/>
    <cellStyle name="Currency 2" xfId="9" xr:uid="{EE44FBB4-142D-4AA7-B4C8-02EFEA591D94}"/>
    <cellStyle name="Hyperlink" xfId="11" builtinId="8"/>
    <cellStyle name="Input" xfId="6" builtinId="20"/>
    <cellStyle name="Linked Cell" xfId="10" builtinId="24"/>
    <cellStyle name="Normal" xfId="0" builtinId="0"/>
    <cellStyle name="Normal 2" xfId="2" xr:uid="{D7E973A9-F99B-46CE-BCE8-D60837EBFBDA}"/>
    <cellStyle name="Normal 3" xfId="5" xr:uid="{8357943F-6FBE-479B-BBD4-9FE7FD93090A}"/>
    <cellStyle name="Normal 4" xfId="8" xr:uid="{610BFC05-C3D0-459E-A460-72BDE2575255}"/>
    <cellStyle name="Normal_MotorlistType" xfId="4" xr:uid="{0D6B3076-A7FD-4C89-B1E4-757CAFE07ADA}"/>
    <cellStyle name="Output" xfId="12" builtinId="21"/>
    <cellStyle name="Percent 2" xfId="3" xr:uid="{18BCDCA5-5D72-44F9-9F61-2E07B4A23E70}"/>
  </cellStyles>
  <dxfs count="48">
    <dxf>
      <fill>
        <patternFill>
          <bgColor theme="9" tint="0.79998168889431442"/>
        </patternFill>
      </fill>
    </dxf>
    <dxf>
      <fill>
        <patternFill>
          <bgColor theme="9" tint="0.79998168889431442"/>
        </patternFill>
      </fill>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general" vertical="bottom" textRotation="0" wrapText="0" indent="0" justifyLastLine="0" shrinkToFit="0" readingOrder="0"/>
    </dxf>
    <dxf>
      <numFmt numFmtId="0" formatCode="General"/>
    </dxf>
    <dxf>
      <numFmt numFmtId="30" formatCode="@"/>
      <alignment horizontal="general" vertical="bottom" textRotation="0" wrapText="0" indent="0" justifyLastLine="0" shrinkToFit="0" readingOrder="0"/>
    </dxf>
    <dxf>
      <numFmt numFmtId="19" formatCode="m/d/yyyy"/>
    </dxf>
    <dxf>
      <numFmt numFmtId="30" formatCode="@"/>
      <alignment horizontal="general" vertical="bottom" textRotation="0" wrapText="0" indent="0" justifyLastLine="0" shrinkToFit="0" readingOrder="0"/>
    </dxf>
    <dxf>
      <numFmt numFmtId="164" formatCode="_([$$-409]* #,##0.00_);_([$$-409]* \(#,##0.00\);_([$$-409]* &quot;-&quot;??_);_(@_)"/>
    </dxf>
    <dxf>
      <numFmt numFmtId="0" formatCode="General"/>
    </dxf>
    <dxf>
      <numFmt numFmtId="164" formatCode="_([$$-409]* #,##0.00_);_([$$-409]* \(#,##0.00\);_([$$-409]* &quot;-&quot;??_);_(@_)"/>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bgColor theme="9"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0</xdr:row>
      <xdr:rowOff>187325</xdr:rowOff>
    </xdr:from>
    <xdr:to>
      <xdr:col>3</xdr:col>
      <xdr:colOff>276225</xdr:colOff>
      <xdr:row>4</xdr:row>
      <xdr:rowOff>85937</xdr:rowOff>
    </xdr:to>
    <xdr:pic>
      <xdr:nvPicPr>
        <xdr:cNvPr id="2" name="Picture 1">
          <a:extLst>
            <a:ext uri="{FF2B5EF4-FFF2-40B4-BE49-F238E27FC236}">
              <a16:creationId xmlns:a16="http://schemas.microsoft.com/office/drawing/2014/main" id="{255C22D1-5612-4828-A099-E09F5D6633C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187325"/>
          <a:ext cx="1990725" cy="803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352425</xdr:colOff>
          <xdr:row>6</xdr:row>
          <xdr:rowOff>152400</xdr:rowOff>
        </xdr:from>
        <xdr:to>
          <xdr:col>2</xdr:col>
          <xdr:colOff>2047875</xdr:colOff>
          <xdr:row>8</xdr:row>
          <xdr:rowOff>161925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Item</a:t>
              </a:r>
            </a:p>
          </xdr:txBody>
        </xdr:sp>
        <xdr:clientData fPrintsWithSheet="0"/>
      </xdr:twoCellAnchor>
    </mc:Choice>
    <mc:Fallback/>
  </mc:AlternateContent>
  <xdr:twoCellAnchor editAs="oneCell">
    <xdr:from>
      <xdr:col>0</xdr:col>
      <xdr:colOff>133350</xdr:colOff>
      <xdr:row>0</xdr:row>
      <xdr:rowOff>171450</xdr:rowOff>
    </xdr:from>
    <xdr:to>
      <xdr:col>2</xdr:col>
      <xdr:colOff>771525</xdr:colOff>
      <xdr:row>3</xdr:row>
      <xdr:rowOff>311875</xdr:rowOff>
    </xdr:to>
    <xdr:pic>
      <xdr:nvPicPr>
        <xdr:cNvPr id="3" name="Picture 2">
          <a:extLst>
            <a:ext uri="{FF2B5EF4-FFF2-40B4-BE49-F238E27FC236}">
              <a16:creationId xmlns:a16="http://schemas.microsoft.com/office/drawing/2014/main" id="{5D5A55C9-63D4-211E-56E3-7491DEAD34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171450"/>
          <a:ext cx="1838325" cy="7455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447675</xdr:colOff>
          <xdr:row>0</xdr:row>
          <xdr:rowOff>85725</xdr:rowOff>
        </xdr:from>
        <xdr:to>
          <xdr:col>5</xdr:col>
          <xdr:colOff>895350</xdr:colOff>
          <xdr:row>1</xdr:row>
          <xdr:rowOff>238125</xdr:rowOff>
        </xdr:to>
        <xdr:sp macro="" textlink="">
          <xdr:nvSpPr>
            <xdr:cNvPr id="32780" name="Button 12" hidden="1">
              <a:extLst>
                <a:ext uri="{63B3BB69-23CF-44E3-9099-C40C66FF867C}">
                  <a14:compatExt spid="_x0000_s32780"/>
                </a:ext>
                <a:ext uri="{FF2B5EF4-FFF2-40B4-BE49-F238E27FC236}">
                  <a16:creationId xmlns:a16="http://schemas.microsoft.com/office/drawing/2014/main" id="{00000000-0008-0000-0400-00000C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Protect/Unprotect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447675</xdr:colOff>
          <xdr:row>0</xdr:row>
          <xdr:rowOff>85725</xdr:rowOff>
        </xdr:from>
        <xdr:to>
          <xdr:col>5</xdr:col>
          <xdr:colOff>895350</xdr:colOff>
          <xdr:row>1</xdr:row>
          <xdr:rowOff>238125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A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Protect/Unprotect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447675</xdr:colOff>
          <xdr:row>0</xdr:row>
          <xdr:rowOff>85725</xdr:rowOff>
        </xdr:from>
        <xdr:to>
          <xdr:col>5</xdr:col>
          <xdr:colOff>895350</xdr:colOff>
          <xdr:row>1</xdr:row>
          <xdr:rowOff>238125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B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Protect/Unprotect Sheet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ssemblies" backgroundRefresh="0" connectionId="1" xr16:uid="{C323780C-B0A5-465C-BD34-EE2A5605A6BC}" autoFormatId="16" applyNumberFormats="0" applyBorderFormats="0" applyFontFormats="0" applyPatternFormats="0" applyAlignmentFormats="0" applyWidthHeightFormats="0">
  <queryTableRefresh nextId="10">
    <queryTableFields count="9">
      <queryTableField id="1" name="Title" tableColumnId="1"/>
      <queryTableField id="2" name="Assembly_ID" tableColumnId="2"/>
      <queryTableField id="3" name="Component_Part_Number" tableColumnId="3"/>
      <queryTableField id="4" name="Quantity" tableColumnId="4"/>
      <queryTableField id="5" name="Assy_#" tableColumnId="5"/>
      <queryTableField id="7" name="Item Type" tableColumnId="6"/>
      <queryTableField id="6" name="Path" tableColumnId="7"/>
      <queryTableField id="8" name="PanelAssy" tableColumnId="8"/>
      <queryTableField id="9" name="ShopAssy"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backgroundRefresh="0" connectionId="2" xr16:uid="{C09D5DBD-1419-4818-AD16-5972988C8949}" autoFormatId="16" applyNumberFormats="0" applyBorderFormats="0" applyFontFormats="0" applyPatternFormats="0" applyAlignmentFormats="0" applyWidthHeightFormats="0">
  <queryTableRefresh nextId="30">
    <queryTableFields count="29">
      <queryTableField id="1" name="Title" tableColumnId="1"/>
      <queryTableField id="2" name="Model" tableColumnId="2"/>
      <queryTableField id="3" name="Rating" tableColumnId="3"/>
      <queryTableField id="4" name="Item_#" tableColumnId="4"/>
      <queryTableField id="5" name="Mfg." tableColumnId="5"/>
      <queryTableField id="6" name="Catalog" tableColumnId="6"/>
      <queryTableField id="7" name="Description" tableColumnId="7"/>
      <queryTableField id="8" name="UnitCost" tableColumnId="8"/>
      <queryTableField id="9" name="Multipler" tableColumnId="9"/>
      <queryTableField id="24" name="TotalCost" tableColumnId="10"/>
      <queryTableField id="10" name="Supplier" tableColumnId="11"/>
      <queryTableField id="11" name="PriceUpdated" tableColumnId="12"/>
      <queryTableField id="12" name="Comments" tableColumnId="13"/>
      <queryTableField id="13" name="SCCR" tableColumnId="14"/>
      <queryTableField id="14" name="Duty" tableColumnId="15"/>
      <queryTableField id="15" name="InputCurrent" tableColumnId="16"/>
      <queryTableField id="16" name="Rating2" tableColumnId="17"/>
      <queryTableField id="17" name="OutputCurrent" tableColumnId="18"/>
      <queryTableField id="18" name="Frame" tableColumnId="19"/>
      <queryTableField id="19" name="DimWidth" tableColumnId="20"/>
      <queryTableField id="20" name="DimHeight" tableColumnId="21"/>
      <queryTableField id="21" name="DimLen." tableColumnId="22"/>
      <queryTableField id="22" name="Heat Loss" tableColumnId="23"/>
      <queryTableField id="23" name="DaysElapsed" tableColumnId="24"/>
      <queryTableField id="26" name="Item Type" tableColumnId="25"/>
      <queryTableField id="25" name="Path" tableColumnId="26"/>
      <queryTableField id="27" name="Hrs_Eng" tableColumnId="27"/>
      <queryTableField id="28" name="Hrs_PanelAssy" tableColumnId="28"/>
      <queryTableField id="29" name="Hrs_ShopAssy" tableColumnId="29"/>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C454B-7748-4952-9550-18B87ADD415D}" name="Options" displayName="Options" ref="A1:A4" totalsRowShown="0" headerRowDxfId="44" dataDxfId="43">
  <autoFilter ref="A1:A4" xr:uid="{AC1C454B-7748-4952-9550-18B87ADD415D}"/>
  <tableColumns count="1">
    <tableColumn id="1" xr3:uid="{B49F21E9-6089-4012-AEB1-E808A17EDE9D}" name="OptionList"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A17411-1EC8-4359-A2FC-65D6593DAE32}" name="AssembliesDB" displayName="AssembliesDB" ref="A1:I795" tableType="queryTable" totalsRowShown="0" headerRowDxfId="41" dataDxfId="40">
  <autoFilter ref="A1:I795" xr:uid="{9AA17411-1EC8-4359-A2FC-65D6593DAE32}">
    <filterColumn colId="0">
      <filters>
        <filter val="OS"/>
      </filters>
    </filterColumn>
  </autoFilter>
  <tableColumns count="9">
    <tableColumn id="1" xr3:uid="{52DEE633-B0A7-4A9C-9F92-49BA624FA4BF}" uniqueName="Title" name="Title" queryTableFieldId="1" dataDxfId="39"/>
    <tableColumn id="2" xr3:uid="{B72E7FA5-3FFB-468C-8A6E-D0A60354DF0E}" uniqueName="field_1" name="Assembly_ID" queryTableFieldId="2" dataDxfId="38"/>
    <tableColumn id="3" xr3:uid="{A32E3026-4D06-4D45-B894-A251A6727BB0}" uniqueName="field_2" name="Component_Part_Number" queryTableFieldId="3" dataDxfId="37"/>
    <tableColumn id="4" xr3:uid="{C0E32BEB-0ED7-4D00-8FB9-2F89866412AB}" uniqueName="field_3" name="Quantity" queryTableFieldId="4" dataDxfId="36"/>
    <tableColumn id="5" xr3:uid="{16D73E0B-93F4-44D7-BE88-8FB74F066BEE}" uniqueName="field_4" name="Assy_#" queryTableFieldId="5" dataDxfId="35"/>
    <tableColumn id="6" xr3:uid="{E1DA0F76-9917-4B13-BB10-3018E6270C58}" uniqueName="FSObjType" name="Item Type" queryTableFieldId="7" dataDxfId="34"/>
    <tableColumn id="7" xr3:uid="{D5E01B0C-E7A7-4636-A343-A56A83674AC5}" uniqueName="FileDirRef" name="Path" queryTableFieldId="6" dataDxfId="33"/>
    <tableColumn id="8" xr3:uid="{C281CD5E-4121-4161-90A9-4527177868C2}" uniqueName="PanelAssy" name="PanelAssy" queryTableFieldId="8" dataDxfId="32"/>
    <tableColumn id="9" xr3:uid="{0D9B791D-3153-45FE-A76B-E8A05D2B0AD7}" uniqueName="ShopAssy" name="ShopAssy" queryTableFieldId="9" dataDxfId="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EC0EEA-AC69-43F5-8601-734B0DE8A095}" name="PartsDB" displayName="PartsDB" ref="A1:AC397" tableType="queryTable" totalsRowShown="0">
  <autoFilter ref="A1:AC397" xr:uid="{FCEC0EEA-AC69-43F5-8601-734B0DE8A095}">
    <filterColumn colId="5">
      <filters>
        <filter val="1492-FB2C30-L"/>
      </filters>
    </filterColumn>
  </autoFilter>
  <tableColumns count="29">
    <tableColumn id="1" xr3:uid="{0BBA98A0-4673-4BBF-B33F-1D725E1CDA0E}" uniqueName="Title" name="Title" queryTableFieldId="1" dataDxfId="30"/>
    <tableColumn id="2" xr3:uid="{A1EAB87B-7FA6-41E5-97C8-A72F6B6F9E96}" uniqueName="field_1" name="Model" queryTableFieldId="2" dataDxfId="29"/>
    <tableColumn id="3" xr3:uid="{BA4E9954-0F8F-45FD-A92A-EF254C512B56}" uniqueName="field_2" name="Rating" queryTableFieldId="3" dataDxfId="28"/>
    <tableColumn id="4" xr3:uid="{3A1219F6-24D3-4304-8379-9D40E3DEA671}" uniqueName="field_3" name="Item_#" queryTableFieldId="4" dataDxfId="27"/>
    <tableColumn id="5" xr3:uid="{E3F46534-E4A7-4945-9B6D-E02EBA35A1FE}" uniqueName="field_4" name="Mfg." queryTableFieldId="5" dataDxfId="26"/>
    <tableColumn id="6" xr3:uid="{A46FBF2E-C7E1-48CF-A6E0-7D3F338BDE53}" uniqueName="field_5" name="Catalog" queryTableFieldId="6" dataDxfId="25"/>
    <tableColumn id="7" xr3:uid="{A32E0813-AA11-4D0E-A52B-B156732D36D4}" uniqueName="field_6" name="Description" queryTableFieldId="7" dataDxfId="24"/>
    <tableColumn id="8" xr3:uid="{F68A92AA-8FE5-4771-9D3E-DD69C23F4192}" uniqueName="field_7" name="UnitCost" queryTableFieldId="8" dataDxfId="23"/>
    <tableColumn id="9" xr3:uid="{731F85E6-0CFD-4B38-BA84-27984499F2C2}" uniqueName="field_8" name="Multipler" queryTableFieldId="9" dataDxfId="22"/>
    <tableColumn id="10" xr3:uid="{662E4CEB-EA91-45DC-AFC2-6EA8D1BDCF90}" uniqueName="Total_x005f_x002d_Cost" name="TotalCost" queryTableFieldId="24" dataDxfId="21"/>
    <tableColumn id="11" xr3:uid="{A4AEAE32-BD47-47F5-AE75-1D09D354F6FA}" uniqueName="field_10" name="Supplier" queryTableFieldId="10" dataDxfId="20"/>
    <tableColumn id="12" xr3:uid="{CBAA2F86-0D43-4DC3-AA96-1CF7E3EF058B}" uniqueName="field_11" name="PriceUpdated" queryTableFieldId="11" dataDxfId="19"/>
    <tableColumn id="13" xr3:uid="{AB78154E-CA4F-46E8-A362-FA4CE1D66112}" uniqueName="field_13" name="Comments" queryTableFieldId="12" dataDxfId="18"/>
    <tableColumn id="14" xr3:uid="{19D4F88C-7858-46F4-94B3-3B7DA179A83F}" uniqueName="field_14" name="SCCR" queryTableFieldId="13" dataDxfId="17"/>
    <tableColumn id="15" xr3:uid="{CA274A93-5CCB-4684-B335-9F4FCD312AE9}" uniqueName="field_15" name="Duty" queryTableFieldId="14" dataDxfId="16"/>
    <tableColumn id="16" xr3:uid="{58F815CE-BFD2-485C-B5F2-839081B8C9FC}" uniqueName="field_16" name="InputCurrent" queryTableFieldId="15" dataDxfId="15"/>
    <tableColumn id="17" xr3:uid="{9C3F8575-C154-40E0-BF3F-1FA4D7D898A0}" uniqueName="field_17" name="Rating2" queryTableFieldId="16" dataDxfId="14"/>
    <tableColumn id="18" xr3:uid="{4E1BECAE-1609-4F13-BBA5-4C3EB75766DB}" uniqueName="field_18" name="OutputCurrent" queryTableFieldId="17" dataDxfId="13"/>
    <tableColumn id="19" xr3:uid="{35B78F79-6B41-4D2F-A784-CA52A5257A7B}" uniqueName="field_19" name="Frame" queryTableFieldId="18" dataDxfId="12"/>
    <tableColumn id="20" xr3:uid="{35201DC5-7DFF-48A5-9795-8EBFC58BE554}" uniqueName="field_20" name="DimWidth" queryTableFieldId="19" dataDxfId="11"/>
    <tableColumn id="21" xr3:uid="{BA8192BE-9455-433D-9D8E-EDC8F5069AD5}" uniqueName="field_21" name="DimHeight" queryTableFieldId="20" dataDxfId="10"/>
    <tableColumn id="22" xr3:uid="{E0E404FD-F4A5-47DA-9401-0FBD4C91B992}" uniqueName="field_22" name="DimDepth." queryTableFieldId="21" dataDxfId="9"/>
    <tableColumn id="23" xr3:uid="{0BC0F9AA-EA83-4C21-82CE-FC65A48D3484}" uniqueName="field_23" name="Heat Loss" queryTableFieldId="22" dataDxfId="8"/>
    <tableColumn id="24" xr3:uid="{3248708E-CF23-47CF-93B5-8E8A1709EF24}" uniqueName="DaysElapsed" name="DaysElapsed" queryTableFieldId="23" dataDxfId="7"/>
    <tableColumn id="25" xr3:uid="{E3059303-1B07-46CA-A716-792101E044A0}" uniqueName="FSObjType" name="Item Type" queryTableFieldId="26" dataDxfId="6"/>
    <tableColumn id="26" xr3:uid="{8860AC43-248F-4FFF-BA5C-0A44C33CBE6C}" uniqueName="FileDirRef" name="Path" queryTableFieldId="25" dataDxfId="5"/>
    <tableColumn id="27" xr3:uid="{75BA743F-501B-4A24-8E8B-920CEE0846EE}" uniqueName="Hrs_Eng" name="Hrs_Eng" queryTableFieldId="27" dataDxfId="4"/>
    <tableColumn id="28" xr3:uid="{2A49876E-A956-4177-80A7-4F5A9ABFC399}" uniqueName="Hrs_PanelAssy" name="Hrs_PanelAssy" queryTableFieldId="28" dataDxfId="3"/>
    <tableColumn id="29" xr3:uid="{77AE0346-96BB-4BED-B6BE-0692082A77F1}" uniqueName="Hrs_ShopAssy" name="Hrs_ShopAssy" queryTableFieldId="29" dataDxfId="2"/>
  </tableColumns>
  <tableStyleInfo name="TableStyleMedium2" showFirstColumn="0" showLastColumn="0" showRowStripes="1" showColumnStripes="0"/>
</table>
</file>

<file path=xl/theme/theme1.xml><?xml version="1.0" encoding="utf-8"?>
<a:theme xmlns:a="http://schemas.openxmlformats.org/drawingml/2006/main" name="SpreadsheetLight Office">
  <a:themeElements>
    <a:clrScheme name="SpreadsheetLight 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preadsheetLigh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SpreadsheetLigh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7BFF-F53D-4ECA-976D-AD0D0D810DBF}">
  <sheetPr codeName="Sheet1">
    <pageSetUpPr fitToPage="1"/>
  </sheetPr>
  <dimension ref="A1:J34"/>
  <sheetViews>
    <sheetView topLeftCell="A21" workbookViewId="0"/>
    <sheetView workbookViewId="1"/>
  </sheetViews>
  <sheetFormatPr defaultColWidth="9.140625" defaultRowHeight="15" x14ac:dyDescent="0.25"/>
  <cols>
    <col min="1" max="1" width="4.5703125" style="44" customWidth="1"/>
    <col min="2" max="2" width="10.5703125" style="44" bestFit="1" customWidth="1"/>
    <col min="3" max="5" width="12.7109375" style="44" customWidth="1"/>
    <col min="6" max="6" width="13" style="44" customWidth="1"/>
    <col min="7" max="7" width="9.140625" style="44"/>
    <col min="8" max="8" width="6.5703125" style="44" customWidth="1"/>
    <col min="9" max="9" width="6" style="44" customWidth="1"/>
    <col min="10" max="10" width="15.7109375" style="44" customWidth="1"/>
    <col min="11" max="16384" width="9.140625" style="44"/>
  </cols>
  <sheetData>
    <row r="1" spans="1:10" x14ac:dyDescent="0.25">
      <c r="A1" s="41"/>
      <c r="B1" s="42"/>
      <c r="C1" s="42"/>
      <c r="D1" s="42"/>
      <c r="E1" s="42"/>
      <c r="F1" s="42"/>
      <c r="G1" s="42"/>
      <c r="H1" s="42"/>
      <c r="I1" s="42"/>
      <c r="J1" s="43"/>
    </row>
    <row r="2" spans="1:10" ht="26.25" x14ac:dyDescent="0.4">
      <c r="A2" s="45"/>
      <c r="E2" s="46" t="s">
        <v>1346</v>
      </c>
      <c r="J2" s="47"/>
    </row>
    <row r="3" spans="1:10" x14ac:dyDescent="0.25">
      <c r="A3" s="45"/>
      <c r="J3" s="47"/>
    </row>
    <row r="4" spans="1:10" x14ac:dyDescent="0.25">
      <c r="A4" s="45"/>
      <c r="J4" s="47"/>
    </row>
    <row r="5" spans="1:10" x14ac:dyDescent="0.25">
      <c r="A5" s="45"/>
      <c r="J5" s="47"/>
    </row>
    <row r="6" spans="1:10" ht="15.75" thickBot="1" x14ac:dyDescent="0.3">
      <c r="A6" s="48"/>
      <c r="B6" s="49"/>
      <c r="C6" s="49"/>
      <c r="D6" s="49"/>
      <c r="E6" s="49"/>
      <c r="F6" s="49"/>
      <c r="G6" s="49"/>
      <c r="H6" s="49"/>
      <c r="I6" s="49"/>
      <c r="J6" s="50"/>
    </row>
    <row r="7" spans="1:10" x14ac:dyDescent="0.25">
      <c r="A7" s="41"/>
      <c r="B7" s="42"/>
      <c r="C7" s="42"/>
      <c r="D7" s="42"/>
      <c r="E7" s="42"/>
      <c r="F7" s="42"/>
      <c r="G7" s="42"/>
      <c r="H7" s="42"/>
      <c r="I7" s="42"/>
      <c r="J7" s="43"/>
    </row>
    <row r="8" spans="1:10" x14ac:dyDescent="0.25">
      <c r="A8" s="45"/>
      <c r="J8" s="47"/>
    </row>
    <row r="9" spans="1:10" x14ac:dyDescent="0.25">
      <c r="A9" s="45"/>
      <c r="C9" s="51" t="s">
        <v>261</v>
      </c>
      <c r="E9" s="51" t="s">
        <v>262</v>
      </c>
      <c r="J9" s="47"/>
    </row>
    <row r="10" spans="1:10" x14ac:dyDescent="0.25">
      <c r="A10" s="45"/>
      <c r="C10" s="51" t="s">
        <v>260</v>
      </c>
      <c r="E10" s="51" t="s">
        <v>0</v>
      </c>
      <c r="F10" s="59">
        <f>MAX(A25:A32)</f>
        <v>0</v>
      </c>
      <c r="J10" s="47"/>
    </row>
    <row r="11" spans="1:10" x14ac:dyDescent="0.25">
      <c r="A11" s="45"/>
      <c r="E11" s="51" t="s">
        <v>40</v>
      </c>
      <c r="F11" s="60">
        <f>MAX(B25:B32)</f>
        <v>0</v>
      </c>
      <c r="J11" s="47"/>
    </row>
    <row r="12" spans="1:10" x14ac:dyDescent="0.25">
      <c r="A12" s="45"/>
      <c r="C12" s="51" t="s">
        <v>263</v>
      </c>
      <c r="D12" s="152"/>
      <c r="E12" s="152"/>
      <c r="F12" s="152"/>
      <c r="G12" s="152"/>
      <c r="J12" s="47"/>
    </row>
    <row r="13" spans="1:10" x14ac:dyDescent="0.25">
      <c r="A13" s="45"/>
      <c r="D13" s="152"/>
      <c r="E13" s="152"/>
      <c r="F13" s="152"/>
      <c r="G13" s="152"/>
      <c r="J13" s="47"/>
    </row>
    <row r="14" spans="1:10" x14ac:dyDescent="0.25">
      <c r="A14" s="45"/>
      <c r="J14" s="47"/>
    </row>
    <row r="15" spans="1:10" x14ac:dyDescent="0.25">
      <c r="A15" s="45"/>
      <c r="J15" s="47"/>
    </row>
    <row r="16" spans="1:10" x14ac:dyDescent="0.25">
      <c r="A16" s="45"/>
      <c r="J16" s="47"/>
    </row>
    <row r="17" spans="1:10" x14ac:dyDescent="0.25">
      <c r="A17" s="45"/>
      <c r="J17" s="47"/>
    </row>
    <row r="18" spans="1:10" x14ac:dyDescent="0.25">
      <c r="A18" s="45"/>
      <c r="J18" s="47"/>
    </row>
    <row r="19" spans="1:10" x14ac:dyDescent="0.25">
      <c r="A19" s="45"/>
      <c r="J19" s="47"/>
    </row>
    <row r="20" spans="1:10" x14ac:dyDescent="0.25">
      <c r="A20" s="45"/>
      <c r="J20" s="47"/>
    </row>
    <row r="21" spans="1:10" x14ac:dyDescent="0.25">
      <c r="A21" s="45"/>
      <c r="J21" s="47"/>
    </row>
    <row r="22" spans="1:10" x14ac:dyDescent="0.25">
      <c r="A22" s="45"/>
      <c r="J22" s="47"/>
    </row>
    <row r="23" spans="1:10" x14ac:dyDescent="0.25">
      <c r="A23" s="45"/>
      <c r="J23" s="47"/>
    </row>
    <row r="24" spans="1:10" ht="15.75" thickBot="1" x14ac:dyDescent="0.3">
      <c r="A24" s="48"/>
      <c r="B24" s="49"/>
      <c r="C24" s="49"/>
      <c r="D24" s="49"/>
      <c r="E24" s="49"/>
      <c r="F24" s="49"/>
      <c r="G24" s="49"/>
      <c r="H24" s="49"/>
      <c r="I24" s="49"/>
      <c r="J24" s="50"/>
    </row>
    <row r="25" spans="1:10" ht="36" customHeight="1" x14ac:dyDescent="0.25">
      <c r="A25" s="52"/>
      <c r="B25" s="53"/>
      <c r="C25" s="53"/>
      <c r="D25" s="53"/>
      <c r="E25" s="53"/>
      <c r="F25" s="153"/>
      <c r="G25" s="154"/>
      <c r="H25" s="154"/>
      <c r="I25" s="154"/>
      <c r="J25" s="155"/>
    </row>
    <row r="26" spans="1:10" ht="36" customHeight="1" x14ac:dyDescent="0.25">
      <c r="A26" s="54"/>
      <c r="B26" s="55"/>
      <c r="C26" s="55"/>
      <c r="D26" s="55"/>
      <c r="E26" s="55"/>
      <c r="F26" s="149"/>
      <c r="G26" s="150"/>
      <c r="H26" s="150"/>
      <c r="I26" s="150"/>
      <c r="J26" s="151"/>
    </row>
    <row r="27" spans="1:10" ht="36" customHeight="1" x14ac:dyDescent="0.25">
      <c r="A27" s="54"/>
      <c r="B27" s="55"/>
      <c r="C27" s="55"/>
      <c r="D27" s="55"/>
      <c r="E27" s="55"/>
      <c r="F27" s="149"/>
      <c r="G27" s="150"/>
      <c r="H27" s="150"/>
      <c r="I27" s="150"/>
      <c r="J27" s="151"/>
    </row>
    <row r="28" spans="1:10" ht="36" customHeight="1" x14ac:dyDescent="0.25">
      <c r="A28" s="54"/>
      <c r="B28" s="55"/>
      <c r="C28" s="55"/>
      <c r="D28" s="55"/>
      <c r="E28" s="55"/>
      <c r="F28" s="149"/>
      <c r="G28" s="150"/>
      <c r="H28" s="150"/>
      <c r="I28" s="150"/>
      <c r="J28" s="151"/>
    </row>
    <row r="29" spans="1:10" ht="36" customHeight="1" x14ac:dyDescent="0.25">
      <c r="A29" s="54"/>
      <c r="B29" s="55"/>
      <c r="C29" s="55"/>
      <c r="D29" s="55"/>
      <c r="E29" s="55"/>
      <c r="F29" s="149"/>
      <c r="G29" s="150"/>
      <c r="H29" s="150"/>
      <c r="I29" s="150"/>
      <c r="J29" s="151"/>
    </row>
    <row r="30" spans="1:10" ht="36" customHeight="1" x14ac:dyDescent="0.25">
      <c r="A30" s="54"/>
      <c r="B30" s="55"/>
      <c r="C30" s="55"/>
      <c r="D30" s="55"/>
      <c r="E30" s="55"/>
      <c r="F30" s="149"/>
      <c r="G30" s="150"/>
      <c r="H30" s="150"/>
      <c r="I30" s="150"/>
      <c r="J30" s="151"/>
    </row>
    <row r="31" spans="1:10" ht="36" customHeight="1" x14ac:dyDescent="0.25">
      <c r="A31" s="54"/>
      <c r="B31" s="55"/>
      <c r="C31" s="55"/>
      <c r="D31" s="55"/>
      <c r="E31" s="55"/>
      <c r="F31" s="149"/>
      <c r="G31" s="150"/>
      <c r="H31" s="150"/>
      <c r="I31" s="150"/>
      <c r="J31" s="151"/>
    </row>
    <row r="32" spans="1:10" ht="36" customHeight="1" thickBot="1" x14ac:dyDescent="0.3">
      <c r="A32" s="56"/>
      <c r="B32" s="57"/>
      <c r="C32" s="58" t="s">
        <v>259</v>
      </c>
      <c r="D32" s="58" t="s">
        <v>259</v>
      </c>
      <c r="E32" s="58" t="s">
        <v>259</v>
      </c>
      <c r="F32" s="156"/>
      <c r="G32" s="157"/>
      <c r="H32" s="157"/>
      <c r="I32" s="157"/>
      <c r="J32" s="158"/>
    </row>
    <row r="33" spans="1:10" x14ac:dyDescent="0.25">
      <c r="A33" s="159" t="s">
        <v>0</v>
      </c>
      <c r="B33" s="161" t="s">
        <v>40</v>
      </c>
      <c r="C33" s="161" t="s">
        <v>257</v>
      </c>
      <c r="D33" s="5" t="s">
        <v>258</v>
      </c>
      <c r="E33" s="5" t="s">
        <v>254</v>
      </c>
      <c r="F33" s="163" t="s">
        <v>256</v>
      </c>
      <c r="G33" s="164"/>
      <c r="H33" s="164"/>
      <c r="I33" s="164"/>
      <c r="J33" s="165"/>
    </row>
    <row r="34" spans="1:10" ht="15.75" thickBot="1" x14ac:dyDescent="0.3">
      <c r="A34" s="160"/>
      <c r="B34" s="162"/>
      <c r="C34" s="162"/>
      <c r="D34" s="169" t="s">
        <v>255</v>
      </c>
      <c r="E34" s="170"/>
      <c r="F34" s="166"/>
      <c r="G34" s="167"/>
      <c r="H34" s="167"/>
      <c r="I34" s="167"/>
      <c r="J34" s="168"/>
    </row>
  </sheetData>
  <mergeCells count="14">
    <mergeCell ref="F30:J30"/>
    <mergeCell ref="F31:J31"/>
    <mergeCell ref="F32:J32"/>
    <mergeCell ref="A33:A34"/>
    <mergeCell ref="B33:B34"/>
    <mergeCell ref="C33:C34"/>
    <mergeCell ref="F33:J34"/>
    <mergeCell ref="D34:E34"/>
    <mergeCell ref="F29:J29"/>
    <mergeCell ref="D12:G13"/>
    <mergeCell ref="F25:J25"/>
    <mergeCell ref="F26:J26"/>
    <mergeCell ref="F27:J27"/>
    <mergeCell ref="F28:J28"/>
  </mergeCells>
  <pageMargins left="0.25" right="0.25" top="0.75" bottom="0.75" header="0.3" footer="0.3"/>
  <pageSetup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E036D-9117-4309-8301-11FD03540673}">
  <sheetPr codeName="Sheet23"/>
  <dimension ref="A1:CV52"/>
  <sheetViews>
    <sheetView workbookViewId="0"/>
    <sheetView workbookViewId="1"/>
  </sheetViews>
  <sheetFormatPr defaultRowHeight="15" x14ac:dyDescent="0.25"/>
  <cols>
    <col min="1" max="1" width="9.140625" style="6"/>
    <col min="2" max="2" width="14" bestFit="1" customWidth="1"/>
    <col min="3" max="3" width="13.140625" bestFit="1" customWidth="1"/>
    <col min="4" max="4" width="12" bestFit="1" customWidth="1"/>
    <col min="5" max="5" width="10.5703125" bestFit="1" customWidth="1"/>
    <col min="6" max="6" width="12.42578125" bestFit="1" customWidth="1"/>
    <col min="7" max="7" width="15.140625" bestFit="1" customWidth="1"/>
    <col min="8" max="8" width="17.5703125" bestFit="1" customWidth="1"/>
    <col min="9" max="9" width="15.28515625" bestFit="1" customWidth="1"/>
    <col min="10" max="10" width="9.42578125" bestFit="1" customWidth="1"/>
    <col min="11" max="11" width="20.7109375" bestFit="1" customWidth="1"/>
    <col min="12" max="12" width="18.85546875" bestFit="1" customWidth="1"/>
    <col min="13" max="13" width="12.140625" bestFit="1" customWidth="1"/>
    <col min="14" max="14" width="23" bestFit="1" customWidth="1"/>
    <col min="15" max="15" width="12.7109375" bestFit="1" customWidth="1"/>
    <col min="16" max="16" width="9.85546875" bestFit="1" customWidth="1"/>
    <col min="17" max="17" width="14" bestFit="1" customWidth="1"/>
  </cols>
  <sheetData>
    <row r="1" spans="1:100" x14ac:dyDescent="0.25">
      <c r="A1" s="8" t="s">
        <v>264</v>
      </c>
      <c r="B1" t="str" cm="1">
        <f t="array" ref="B1:CV1">TRANSPOSE(_xlfn.TOCOL(A2:A100))</f>
        <v>Assy-Labor</v>
      </c>
      <c r="C1" t="str">
        <v>Assy-Mtl</v>
      </c>
      <c r="D1" t="str">
        <v>BEACON</v>
      </c>
      <c r="E1" t="str">
        <v>CAB</v>
      </c>
      <c r="F1" t="str">
        <v>CB</v>
      </c>
      <c r="G1" t="str">
        <v>CBL</v>
      </c>
      <c r="H1" t="str">
        <v>COMM</v>
      </c>
      <c r="I1" t="str">
        <v>CONN</v>
      </c>
      <c r="J1" t="str">
        <v>CONTACTOR</v>
      </c>
      <c r="K1" t="str">
        <v>COOLING</v>
      </c>
      <c r="L1" t="str">
        <v>CR-Sfty</v>
      </c>
      <c r="M1" t="str">
        <v>DBR</v>
      </c>
      <c r="N1" t="str">
        <v>DCPS</v>
      </c>
      <c r="O1" t="str">
        <v>DISC</v>
      </c>
      <c r="P1" t="str">
        <v>FU</v>
      </c>
      <c r="Q1" t="str">
        <v>GND</v>
      </c>
      <c r="R1" t="str">
        <v>HMI</v>
      </c>
      <c r="S1" t="str">
        <v>INST-LAS</v>
      </c>
      <c r="T1" t="str">
        <v>INST-PRS</v>
      </c>
      <c r="U1" t="str">
        <v>IOL</v>
      </c>
      <c r="V1" t="str">
        <v>Labor</v>
      </c>
      <c r="W1" t="str">
        <v>MCCB</v>
      </c>
      <c r="X1" t="str">
        <v>MCCB-MAG</v>
      </c>
      <c r="Y1" t="str">
        <v>MCP</v>
      </c>
      <c r="Z1" t="str">
        <v>MISC</v>
      </c>
      <c r="AA1" t="str">
        <v>MPCB</v>
      </c>
      <c r="AB1" t="str">
        <v>MTR</v>
      </c>
      <c r="AC1" t="str">
        <v>OL</v>
      </c>
      <c r="AD1" t="str">
        <v>OS</v>
      </c>
      <c r="AE1" t="str">
        <v>OSMNT</v>
      </c>
      <c r="AF1" t="str">
        <v>PB</v>
      </c>
      <c r="AG1" t="str">
        <v>PC</v>
      </c>
      <c r="AH1" t="str">
        <v>PDB</v>
      </c>
      <c r="AI1" t="str">
        <v>PL</v>
      </c>
      <c r="AJ1" t="str">
        <v>PLC</v>
      </c>
      <c r="AK1" t="str">
        <v>POT</v>
      </c>
      <c r="AL1" t="str">
        <v>RF</v>
      </c>
      <c r="AM1" t="str">
        <v>RIO</v>
      </c>
      <c r="AN1" t="str">
        <v>SS</v>
      </c>
      <c r="AO1" t="str">
        <v>Surge</v>
      </c>
      <c r="AP1" t="str">
        <v>SW</v>
      </c>
      <c r="AQ1" t="str">
        <v>TB</v>
      </c>
      <c r="AR1" t="str">
        <v>VFD</v>
      </c>
      <c r="AS1" t="str">
        <v>VFD-AUX.</v>
      </c>
      <c r="AT1" t="str">
        <v>WIRE</v>
      </c>
      <c r="AU1" t="str">
        <v>WW</v>
      </c>
      <c r="AV1" t="str">
        <v>XFMR-Ctrl</v>
      </c>
      <c r="AW1" t="str">
        <v>XR</v>
      </c>
      <c r="AX1">
        <v>0</v>
      </c>
      <c r="AY1">
        <v>0</v>
      </c>
      <c r="AZ1">
        <v>0</v>
      </c>
      <c r="BA1">
        <v>0</v>
      </c>
      <c r="BB1">
        <v>0</v>
      </c>
      <c r="BC1">
        <v>0</v>
      </c>
      <c r="BD1">
        <v>0</v>
      </c>
      <c r="BE1">
        <v>0</v>
      </c>
      <c r="BF1">
        <v>0</v>
      </c>
      <c r="BG1">
        <v>0</v>
      </c>
      <c r="BH1">
        <v>0</v>
      </c>
      <c r="BI1">
        <v>0</v>
      </c>
      <c r="BJ1">
        <v>0</v>
      </c>
      <c r="BK1">
        <v>0</v>
      </c>
      <c r="BL1">
        <v>0</v>
      </c>
      <c r="BM1">
        <v>0</v>
      </c>
      <c r="BN1">
        <v>0</v>
      </c>
      <c r="BO1">
        <v>0</v>
      </c>
      <c r="BP1">
        <v>0</v>
      </c>
      <c r="BQ1">
        <v>0</v>
      </c>
      <c r="BR1">
        <v>0</v>
      </c>
      <c r="BS1">
        <v>0</v>
      </c>
      <c r="BT1">
        <v>0</v>
      </c>
      <c r="BU1">
        <v>0</v>
      </c>
      <c r="BV1">
        <v>0</v>
      </c>
      <c r="BW1">
        <v>0</v>
      </c>
      <c r="BX1">
        <v>0</v>
      </c>
      <c r="BY1">
        <v>0</v>
      </c>
      <c r="BZ1">
        <v>0</v>
      </c>
      <c r="CA1">
        <v>0</v>
      </c>
      <c r="CB1">
        <v>0</v>
      </c>
      <c r="CC1">
        <v>0</v>
      </c>
      <c r="CD1">
        <v>0</v>
      </c>
      <c r="CE1">
        <v>0</v>
      </c>
      <c r="CF1">
        <v>0</v>
      </c>
      <c r="CG1">
        <v>0</v>
      </c>
      <c r="CH1">
        <v>0</v>
      </c>
      <c r="CI1">
        <v>0</v>
      </c>
      <c r="CJ1">
        <v>0</v>
      </c>
      <c r="CK1">
        <v>0</v>
      </c>
      <c r="CL1">
        <v>0</v>
      </c>
      <c r="CM1">
        <v>0</v>
      </c>
      <c r="CN1">
        <v>0</v>
      </c>
      <c r="CO1">
        <v>0</v>
      </c>
      <c r="CP1">
        <v>0</v>
      </c>
      <c r="CQ1">
        <v>0</v>
      </c>
      <c r="CR1">
        <v>0</v>
      </c>
      <c r="CS1">
        <v>0</v>
      </c>
      <c r="CT1">
        <v>0</v>
      </c>
      <c r="CU1">
        <v>0</v>
      </c>
      <c r="CV1">
        <v>0</v>
      </c>
    </row>
    <row r="2" spans="1:100" x14ac:dyDescent="0.25">
      <c r="A2" s="6" t="str" cm="1">
        <f t="array" ref="A2:A50">_xlfn._xlws.SORT(_xlfn.UNIQUE(PartsDB[Title],FALSE,FALSE),1,1)</f>
        <v>Assy-Labor</v>
      </c>
      <c r="B2" t="str" cm="1">
        <f t="array" ref="B2:B5">IF(B1&lt;&gt; 0,_xlfn._xlws.SORT(_xlfn.UNIQUE(_xlfn._xlws.FILTER(PartsDB[[Catalog]:[Catalog]],PartsDB[[Title]:[Title]]=B1),FALSE,FALSE),1,1),"")</f>
        <v>LaborIO</v>
      </c>
      <c r="C2" t="str" cm="1">
        <f t="array" ref="C2:C5">IF(C1&lt;&gt; 0,_xlfn._xlws.SORT(_xlfn.UNIQUE(_xlfn._xlws.FILTER(PartsDB[[Catalog]:[Catalog]],PartsDB[[Title]:[Title]]=C1),FALSE,FALSE),1,1),"")</f>
        <v>MtI/O</v>
      </c>
      <c r="D2" t="str" cm="1">
        <f t="array" ref="D2:D4">IF(D1&lt;&gt; 0,_xlfn._xlws.SORT(_xlfn.UNIQUE(_xlfn._xlws.FILTER(PartsDB[[Catalog]:[Catalog]],PartsDB[[Title]:[Title]]=D1),FALSE,FALSE),1,1),"")</f>
        <v>854K-BPM10C</v>
      </c>
      <c r="E2" t="str" cm="1">
        <f t="array" ref="E2:E38">IF(E1&lt;&gt; 0,_xlfn._xlws.SORT(_xlfn.UNIQUE(_xlfn._xlws.FILTER(PartsDB[[Catalog]:[Catalog]],PartsDB[[Title]:[Title]]=E1),FALSE,FALSE),1,1),"")</f>
        <v>1492-REC15</v>
      </c>
      <c r="F2" t="str" cm="1">
        <f t="array" ref="F2">IF(F1&lt;&gt; 0,_xlfn._xlws.SORT(_xlfn.UNIQUE(_xlfn._xlws.FILTER(PartsDB[[Catalog]:[Catalog]],PartsDB[[Title]:[Title]]=F1),FALSE,FALSE),1,1),"")</f>
        <v>1492-SP1C200</v>
      </c>
      <c r="G2" t="str" cm="1">
        <f t="array" ref="G2">IF(G1&lt;&gt; 0,_xlfn._xlws.SORT(_xlfn.UNIQUE(_xlfn._xlws.FILTER(PartsDB[[Catalog]:[Catalog]],PartsDB[[Title]:[Title]]=G1),FALSE,FALSE),1,1),"")</f>
        <v>EVC086</v>
      </c>
      <c r="H2" t="str" cm="1">
        <f t="array" ref="H2:H7">IF(H1&lt;&gt; 0,_xlfn._xlws.SORT(_xlfn.UNIQUE(_xlfn._xlws.FILTER(PartsDB[[Catalog]:[Catalog]],PartsDB[[Title]:[Title]]=H1),FALSE,FALSE),1,1),"")</f>
        <v>_2703015</v>
      </c>
      <c r="I2" t="str" cm="1">
        <f t="array" ref="I2:I13">IF(I1&lt;&gt; 0,_xlfn._xlws.SORT(_xlfn.UNIQUE(_xlfn._xlws.FILTER(PartsDB[[Catalog]:[Catalog]],PartsDB[[Title]:[Title]]=I1),FALSE,FALSE),1,1),"")</f>
        <v>_1521339</v>
      </c>
      <c r="J2" t="str" cm="1">
        <f t="array" ref="J2:J14">IF(J1&lt;&gt; 0,_xlfn._xlws.SORT(_xlfn.UNIQUE(_xlfn._xlws.FILTER(PartsDB[[Catalog]:[Catalog]],PartsDB[[Title]:[Title]]=J1),FALSE,FALSE),1,1),"")</f>
        <v>100-C23D10</v>
      </c>
      <c r="K2" t="str" cm="1">
        <f t="array" ref="K2:K5">IF(K1&lt;&gt; 0,_xlfn._xlws.SORT(_xlfn.UNIQUE(_xlfn._xlws.FILTER(PartsDB[[Catalog]:[Catalog]],PartsDB[[Title]:[Title]]=K1),FALSE,FALSE),1,1),"")</f>
        <v>HF1316424</v>
      </c>
      <c r="L2" t="str" cm="1">
        <f t="array" ref="L2:L5">IF(L1&lt;&gt; 0,_xlfn._xlws.SORT(_xlfn.UNIQUE(_xlfn._xlws.FILTER(PartsDB[[Catalog]:[Catalog]],PartsDB[[Title]:[Title]]=L1),FALSE,FALSE),1,1),"")</f>
        <v>700-HN123</v>
      </c>
      <c r="M2" t="str" cm="1">
        <f t="array" ref="M2:M16">IF(M1&lt;&gt; 0,_xlfn._xlws.SORT(_xlfn.UNIQUE(_xlfn._xlws.FILTER(PartsDB[[Catalog]:[Catalog]],PartsDB[[Title]:[Title]]=M1),FALSE,FALSE),1,1),"")</f>
        <v>PF100R800W</v>
      </c>
      <c r="N2" t="str" cm="1">
        <f t="array" ref="N2:N5">IF(N1&lt;&gt; 0,_xlfn._xlws.SORT(_xlfn.UNIQUE(_xlfn._xlws.FILTER(PartsDB[[Catalog]:[Catalog]],PartsDB[[Title]:[Title]]=N1),FALSE,FALSE),1,1),"")</f>
        <v>1606-XLB240E</v>
      </c>
      <c r="O2" t="str" cm="1">
        <f t="array" ref="O2">IF(O1&lt;&gt; 0,_xlfn._xlws.SORT(_xlfn.UNIQUE(_xlfn._xlws.FILTER(PartsDB[[Catalog]:[Catalog]],PartsDB[[Title]:[Title]]=O1),FALSE,FALSE),1,1),"")</f>
        <v>1494U-J60-C4-M-PC</v>
      </c>
      <c r="P2" t="str" cm="1">
        <f t="array" ref="P2:P52">IF(P1&lt;&gt; 0,_xlfn._xlws.SORT(_xlfn.UNIQUE(_xlfn._xlws.FILTER(PartsDB[[Catalog]:[Catalog]],PartsDB[[Title]:[Title]]=P1),FALSE,FALSE),1,1),"")</f>
        <v>1492-FB1C30-D1</v>
      </c>
      <c r="Q2" t="str" cm="1">
        <f t="array" ref="Q2">IF(Q1&lt;&gt; 0,_xlfn._xlws.SORT(_xlfn.UNIQUE(_xlfn._xlws.FILTER(PartsDB[[Catalog]:[Catalog]],PartsDB[[Title]:[Title]]=Q1),FALSE,FALSE),1,1),"")</f>
        <v>D167-8</v>
      </c>
      <c r="R2" t="str" cm="1">
        <f t="array" ref="R2:R4">IF(R1&lt;&gt; 0,_xlfn._xlws.SORT(_xlfn.UNIQUE(_xlfn._xlws.FILTER(PartsDB[[Catalog]:[Catalog]],PartsDB[[Title]:[Title]]=R1),FALSE,FALSE),1,1),"")</f>
        <v>HISML19-CTBH</v>
      </c>
      <c r="S2" t="str" cm="1">
        <f t="array" ref="S2:S5">IF(S1&lt;&gt; 0,_xlfn._xlws.SORT(_xlfn.UNIQUE(_xlfn._xlws.FILTER(PartsDB[[Catalog]:[Catalog]],PartsDB[[Title]:[Title]]=S1),FALSE,FALSE),1,1),"")</f>
        <v>E21079</v>
      </c>
      <c r="T2" t="str" cm="1">
        <f t="array" ref="T2:T4">IF(T1&lt;&gt; 0,_xlfn._xlws.SORT(_xlfn.UNIQUE(_xlfn._xlws.FILTER(PartsDB[[Catalog]:[Catalog]],PartsDB[[Title]:[Title]]=T1),FALSE,FALSE),1,1),"")</f>
        <v>IGC258</v>
      </c>
      <c r="U2" t="str" cm="1">
        <f t="array" ref="U2:U4">IF(U1&lt;&gt; 0,_xlfn._xlws.SORT(_xlfn.UNIQUE(_xlfn._xlws.FILTER(PartsDB[[Catalog]:[Catalog]],PartsDB[[Title]:[Title]]=U1),FALSE,FALSE),1,1),"")</f>
        <v>BNI00CP</v>
      </c>
      <c r="V2" t="str" cm="1">
        <f t="array" ref="V2:V6">IF(V1&lt;&gt; 0,_xlfn._xlws.SORT(_xlfn.UNIQUE(_xlfn._xlws.FILTER(PartsDB[[Catalog]:[Catalog]],PartsDB[[Title]:[Title]]=V1),FALSE,FALSE),1,1),"")</f>
        <v>Assy</v>
      </c>
      <c r="W2" t="str" cm="1">
        <f t="array" ref="W2:W14">IF(W1&lt;&gt; 0,_xlfn._xlws.SORT(_xlfn.UNIQUE(_xlfn._xlws.FILTER(PartsDB[[Catalog]:[Catalog]],PartsDB[[Title]:[Title]]=W1),FALSE,FALSE),1,1),"")</f>
        <v>140G-G6C3-C40</v>
      </c>
      <c r="X2" t="str" cm="1">
        <f t="array" ref="X2:X9">IF(X1&lt;&gt; 0,_xlfn._xlws.SORT(_xlfn.UNIQUE(_xlfn._xlws.FILTER(PartsDB[[Catalog]:[Catalog]],PartsDB[[Title]:[Title]]=X1),FALSE,FALSE),1,1),"")</f>
        <v>140MG-G8P-B30</v>
      </c>
      <c r="Y2" t="str" cm="1">
        <f t="array" ref="Y2:Y3">IF(Y1&lt;&gt; 0,_xlfn._xlws.SORT(_xlfn.UNIQUE(_xlfn._xlws.FILTER(PartsDB[[Catalog]:[Catalog]],PartsDB[[Title]:[Title]]=Y1),FALSE,FALSE),1,1),"")</f>
        <v>140MG-J8P-D20</v>
      </c>
      <c r="Z2" t="str" cm="1">
        <f t="array" ref="Z2:Z5">IF(Z1&lt;&gt; 0,_xlfn._xlws.SORT(_xlfn.UNIQUE(_xlfn._xlws.FILTER(PartsDB[[Catalog]:[Catalog]],PartsDB[[Title]:[Title]]=Z1),FALSE,FALSE),1,1),"")</f>
        <v>MISC1000</v>
      </c>
      <c r="AA2" t="str" cm="1">
        <f t="array" ref="AA2:AA5">IF(AA1&lt;&gt; 0,_xlfn._xlws.SORT(_xlfn.UNIQUE(_xlfn._xlws.FILTER(PartsDB[[Catalog]:[Catalog]],PartsDB[[Title]:[Title]]=AA1),FALSE,FALSE),1,1),"")</f>
        <v>140MT-C3E-A16-KY-BX</v>
      </c>
      <c r="AB2" t="str" cm="1">
        <f t="array" ref="AB2:AB5">IF(AB1&lt;&gt; 0,_xlfn._xlws.SORT(_xlfn.UNIQUE(_xlfn._xlws.FILTER(PartsDB[[Catalog]:[Catalog]],PartsDB[[Title]:[Title]]=AB1),FALSE,FALSE),1,1),"")</f>
        <v>100HP, 1750/3550RPM, 460VAC, 124A, FL2898Z FRAME. TEAO-BC, HS35M ENC.</v>
      </c>
      <c r="AC2" t="str" cm="1">
        <f t="array" ref="AC2:AC11">IF(AC1&lt;&gt; 0,_xlfn._xlws.SORT(_xlfn.UNIQUE(_xlfn._xlws.FILTER(PartsDB[[Catalog]:[Catalog]],PartsDB[[Title]:[Title]]=AC1),FALSE,FALSE),1,1),"")</f>
        <v>193-1EECB</v>
      </c>
      <c r="AD2" t="str" cm="1">
        <f t="array" ref="AD2:AD5">IF(AD1&lt;&gt; 0,_xlfn._xlws.SORT(_xlfn.UNIQUE(_xlfn._xlws.FILTER(PartsDB[[Catalog]:[Catalog]],PartsDB[[Title]:[Title]]=AD1),FALSE,FALSE),1,1),"")</f>
        <v>WC1248BD</v>
      </c>
      <c r="AE2" t="str" cm="1">
        <f t="array" ref="AE2:AE7">IF(AE1&lt;&gt; 0,_xlfn._xlws.SORT(_xlfn.UNIQUE(_xlfn._xlws.FILTER(PartsDB[[Catalog]:[Catalog]],PartsDB[[Title]:[Title]]=AE1),FALSE,FALSE),1,1),"")</f>
        <v>SCE-SA20TC</v>
      </c>
      <c r="AF2" t="str" cm="1">
        <f t="array" ref="AF2:AF25">IF(AF1&lt;&gt; 0,_xlfn._xlws.SORT(_xlfn.UNIQUE(_xlfn._xlws.FILTER(PartsDB[[Catalog]:[Catalog]],PartsDB[[Title]:[Title]]=AF1),FALSE,FALSE),1,1),"")</f>
        <v>440T-AKEYE10BB</v>
      </c>
      <c r="AG2" t="str" cm="1">
        <f t="array" ref="AG2:AG4">IF(AG1&lt;&gt; 0,_xlfn._xlws.SORT(_xlfn.UNIQUE(_xlfn._xlws.FILTER(PartsDB[[Catalog]:[Catalog]],PartsDB[[Title]:[Title]]=AG1),FALSE,FALSE),1,1),"")</f>
        <v>Generic Server PC</v>
      </c>
      <c r="AH2" t="str" cm="1">
        <f t="array" ref="AH2:AH4">IF(AH1&lt;&gt; 0,_xlfn._xlws.SORT(_xlfn.UNIQUE(_xlfn._xlws.FILTER(PartsDB[[Catalog]:[Catalog]],PartsDB[[Title]:[Title]]=AH1),FALSE,FALSE),1,1),"")</f>
        <v>1492-PBC3</v>
      </c>
      <c r="AI2" t="str" cm="1">
        <f t="array" ref="AI2:AI3">IF(AI1&lt;&gt; 0,_xlfn._xlws.SORT(_xlfn.UNIQUE(_xlfn._xlws.FILTER(PartsDB[[Catalog]:[Catalog]],PartsDB[[Title]:[Title]]=AI1),FALSE,FALSE),1,1),"")</f>
        <v>800T-PL-LED-12-130V AC/DC</v>
      </c>
      <c r="AJ2" t="str" cm="1">
        <f t="array" ref="AJ2:AJ40">IF(AJ1&lt;&gt; 0,_xlfn._xlws.SORT(_xlfn.UNIQUE(_xlfn._xlws.FILTER(PartsDB[[Catalog]:[Catalog]],PartsDB[[Title]:[Title]]=AJ1),FALSE,FALSE),1,1),"")</f>
        <v>1492-CABLE010X</v>
      </c>
      <c r="AK2" t="str" cm="1">
        <f t="array" ref="AK2">IF(AK1&lt;&gt; 0,_xlfn._xlws.SORT(_xlfn.UNIQUE(_xlfn._xlws.FILTER(PartsDB[[Catalog]:[Catalog]],PartsDB[[Title]:[Title]]=AK1),FALSE,FALSE),1,1),"")</f>
        <v>800T-U29</v>
      </c>
      <c r="AL2" t="str" cm="1">
        <f t="array" ref="AL2:AL5">IF(AL1&lt;&gt; 0,_xlfn._xlws.SORT(_xlfn.UNIQUE(_xlfn._xlws.FILTER(PartsDB[[Catalog]:[Catalog]],PartsDB[[Title]:[Title]]=AL1),FALSE,FALSE),1,1),"")</f>
        <v>A2404NJ-OC-B</v>
      </c>
      <c r="AM2" t="str" cm="1">
        <f t="array" ref="AM2:AM22">IF(AM1&lt;&gt; 0,_xlfn._xlws.SORT(_xlfn.UNIQUE(_xlfn._xlws.FILTER(PartsDB[[Catalog]:[Catalog]],PartsDB[[Title]:[Title]]=AM1),FALSE,FALSE),1,1),"")</f>
        <v>1734-4IOL</v>
      </c>
      <c r="AN2" t="str" cm="1">
        <f t="array" ref="AN2:AN8">IF(AN1&lt;&gt; 0,_xlfn._xlws.SORT(_xlfn.UNIQUE(_xlfn._xlws.FILTER(PartsDB[[Catalog]:[Catalog]],PartsDB[[Title]:[Title]]=AN1),FALSE,FALSE),1,1),"")</f>
        <v>800T-2JGH91KB7AX</v>
      </c>
      <c r="AO2" t="str" cm="1">
        <f t="array" ref="AO2">IF(AO1&lt;&gt; 0,_xlfn._xlws.SORT(_xlfn.UNIQUE(_xlfn._xlws.FILTER(PartsDB[[Catalog]:[Catalog]],PartsDB[[Title]:[Title]]=AO1),FALSE,FALSE),1,1),"")</f>
        <v>STV25K-10S</v>
      </c>
      <c r="AP2" t="str" cm="1">
        <f t="array" ref="AP2:AP4">IF(AP1&lt;&gt; 0,_xlfn._xlws.SORT(_xlfn.UNIQUE(_xlfn._xlws.FILTER(PartsDB[[Catalog]:[Catalog]],PartsDB[[Title]:[Title]]=AP1),FALSE,FALSE),1,1),"")</f>
        <v>30.771.024</v>
      </c>
      <c r="AQ2" t="str" cm="1">
        <f t="array" ref="AQ2">IF(AQ1&lt;&gt; 0,_xlfn._xlws.SORT(_xlfn.UNIQUE(_xlfn._xlws.FILTER(PartsDB[[Catalog]:[Catalog]],PartsDB[[Title]:[Title]]=AQ1),FALSE,FALSE),1,1),"")</f>
        <v>1492-EAJ35</v>
      </c>
      <c r="AR2" t="str" cm="1">
        <f t="array" ref="AR2:AR20">IF(AR1&lt;&gt; 0,_xlfn._xlws.SORT(_xlfn.UNIQUE(_xlfn._xlws.FILTER(PartsDB[[Catalog]:[Catalog]],PartsDB[[Title]:[Title]]=AR1),FALSE,FALSE),1,1),"")</f>
        <v>20G21ND011JA0NNNNN</v>
      </c>
      <c r="AS2" t="str" cm="1">
        <f t="array" ref="AS2:AS4">IF(AS1&lt;&gt; 0,_xlfn._xlws.SORT(_xlfn.UNIQUE(_xlfn._xlws.FILTER(PartsDB[[Catalog]:[Catalog]],PartsDB[[Title]:[Title]]=AS1),FALSE,FALSE),1,1),"")</f>
        <v>20-750-ENC-1</v>
      </c>
      <c r="AT2" t="str" cm="1">
        <f t="array" ref="AT2:AT4">IF(AT1&lt;&gt; 0,_xlfn._xlws.SORT(_xlfn.UNIQUE(_xlfn._xlws.FILTER(PartsDB[[Catalog]:[Catalog]],PartsDB[[Title]:[Title]]=AT1),FALSE,FALSE),1,1),"")</f>
        <v>29530F</v>
      </c>
      <c r="AU2" t="str" cm="1">
        <f t="array" ref="AU2:AU7">IF(AU1&lt;&gt; 0,_xlfn._xlws.SORT(_xlfn.UNIQUE(_xlfn._xlws.FILTER(PartsDB[[Catalog]:[Catalog]],PartsDB[[Title]:[Title]]=AU1),FALSE,FALSE),1,1),"")</f>
        <v>39438</v>
      </c>
      <c r="AV2" t="str" cm="1">
        <f t="array" ref="AV2:AV6">IF(AV1&lt;&gt; 0,_xlfn._xlws.SORT(_xlfn.UNIQUE(_xlfn._xlws.FILTER(PartsDB[[Catalog]:[Catalog]],PartsDB[[Title]:[Title]]=AV1),FALSE,FALSE),1,1),"")</f>
        <v>HZ1000</v>
      </c>
      <c r="AW2" t="str" cm="1">
        <f t="array" ref="AW2:AW15">IF(AW1&lt;&gt; 0,_xlfn._xlws.SORT(_xlfn.UNIQUE(_xlfn._xlws.FILTER(PartsDB[[Catalog]:[Catalog]],PartsDB[[Title]:[Title]]=AW1),FALSE,FALSE),1,1),"")</f>
        <v>1321-3R100-B</v>
      </c>
      <c r="AX2" t="str" cm="1">
        <f t="array" ref="AX2">IF(AX1&lt;&gt; 0,_xlfn._xlws.SORT(_xlfn.UNIQUE(_xlfn._xlws.FILTER(PartsDB[[Catalog]:[Catalog]],PartsDB[[Title]:[Title]]=AX1),FALSE,FALSE),1,1),"")</f>
        <v/>
      </c>
      <c r="AY2" t="str" cm="1">
        <f t="array" ref="AY2">IF(AY1&lt;&gt; 0,_xlfn._xlws.SORT(_xlfn.UNIQUE(_xlfn._xlws.FILTER(PartsDB[[Catalog]:[Catalog]],PartsDB[[Title]:[Title]]=AY1),FALSE,FALSE),1,1),"")</f>
        <v/>
      </c>
      <c r="AZ2" t="str" cm="1">
        <f t="array" ref="AZ2">IF(AZ1&lt;&gt; 0,_xlfn._xlws.SORT(_xlfn.UNIQUE(_xlfn._xlws.FILTER(PartsDB[[Catalog]:[Catalog]],PartsDB[[Title]:[Title]]=AZ1),FALSE,FALSE),1,1),"")</f>
        <v/>
      </c>
      <c r="BA2" t="str" cm="1">
        <f t="array" ref="BA2">IF(BA1&lt;&gt; 0,_xlfn._xlws.SORT(_xlfn.UNIQUE(_xlfn._xlws.FILTER(PartsDB[[Catalog]:[Catalog]],PartsDB[[Title]:[Title]]=BA1),FALSE,FALSE),1,1),"")</f>
        <v/>
      </c>
      <c r="BB2" t="str" cm="1">
        <f t="array" ref="BB2">IF(BB1&lt;&gt; 0,_xlfn._xlws.SORT(_xlfn.UNIQUE(_xlfn._xlws.FILTER(PartsDB[[Catalog]:[Catalog]],PartsDB[[Title]:[Title]]=BB1),FALSE,FALSE),1,1),"")</f>
        <v/>
      </c>
      <c r="BC2" t="str" cm="1">
        <f t="array" ref="BC2">IF(BC1&lt;&gt; 0,_xlfn._xlws.SORT(_xlfn.UNIQUE(_xlfn._xlws.FILTER(PartsDB[[Catalog]:[Catalog]],PartsDB[[Title]:[Title]]=BC1),FALSE,FALSE),1,1),"")</f>
        <v/>
      </c>
      <c r="BD2" t="str" cm="1">
        <f t="array" ref="BD2">IF(BD1&lt;&gt; 0,_xlfn._xlws.SORT(_xlfn.UNIQUE(_xlfn._xlws.FILTER(PartsDB[[Catalog]:[Catalog]],PartsDB[[Title]:[Title]]=BD1),FALSE,FALSE),1,1),"")</f>
        <v/>
      </c>
      <c r="BE2" t="str" cm="1">
        <f t="array" ref="BE2">IF(BE1&lt;&gt; 0,_xlfn._xlws.SORT(_xlfn.UNIQUE(_xlfn._xlws.FILTER(PartsDB[[Catalog]:[Catalog]],PartsDB[[Title]:[Title]]=BE1),FALSE,FALSE),1,1),"")</f>
        <v/>
      </c>
      <c r="BF2" t="str" cm="1">
        <f t="array" ref="BF2">IF(BF1&lt;&gt; 0,_xlfn._xlws.SORT(_xlfn.UNIQUE(_xlfn._xlws.FILTER(PartsDB[[Catalog]:[Catalog]],PartsDB[[Title]:[Title]]=BF1),FALSE,FALSE),1,1),"")</f>
        <v/>
      </c>
      <c r="BG2" t="str" cm="1">
        <f t="array" ref="BG2">IF(BG1&lt;&gt; 0,_xlfn._xlws.SORT(_xlfn.UNIQUE(_xlfn._xlws.FILTER(PartsDB[[Catalog]:[Catalog]],PartsDB[[Title]:[Title]]=BG1),FALSE,FALSE),1,1),"")</f>
        <v/>
      </c>
      <c r="BH2" t="str" cm="1">
        <f t="array" ref="BH2">IF(BH1&lt;&gt; 0,_xlfn._xlws.SORT(_xlfn.UNIQUE(_xlfn._xlws.FILTER(PartsDB[[Catalog]:[Catalog]],PartsDB[[Title]:[Title]]=BH1),FALSE,FALSE),1,1),"")</f>
        <v/>
      </c>
      <c r="BI2" t="str" cm="1">
        <f t="array" ref="BI2">IF(BI1&lt;&gt; 0,_xlfn._xlws.SORT(_xlfn.UNIQUE(_xlfn._xlws.FILTER(PartsDB[[Catalog]:[Catalog]],PartsDB[[Title]:[Title]]=BI1),FALSE,FALSE),1,1),"")</f>
        <v/>
      </c>
      <c r="BJ2" t="str" cm="1">
        <f t="array" ref="BJ2">IF(BJ1&lt;&gt; 0,_xlfn._xlws.SORT(_xlfn.UNIQUE(_xlfn._xlws.FILTER(PartsDB[[Catalog]:[Catalog]],PartsDB[[Title]:[Title]]=BJ1),FALSE,FALSE),1,1),"")</f>
        <v/>
      </c>
      <c r="BK2" t="str" cm="1">
        <f t="array" ref="BK2">IF(BK1&lt;&gt; 0,_xlfn._xlws.SORT(_xlfn.UNIQUE(_xlfn._xlws.FILTER(PartsDB[[Catalog]:[Catalog]],PartsDB[[Title]:[Title]]=BK1),FALSE,FALSE),1,1),"")</f>
        <v/>
      </c>
      <c r="BL2" t="str" cm="1">
        <f t="array" ref="BL2">IF(BL1&lt;&gt; 0,_xlfn._xlws.SORT(_xlfn.UNIQUE(_xlfn._xlws.FILTER(PartsDB[[Catalog]:[Catalog]],PartsDB[[Title]:[Title]]=BL1),FALSE,FALSE),1,1),"")</f>
        <v/>
      </c>
      <c r="BM2" t="str" cm="1">
        <f t="array" ref="BM2">IF(BM1&lt;&gt; 0,_xlfn._xlws.SORT(_xlfn.UNIQUE(_xlfn._xlws.FILTER(PartsDB[[Catalog]:[Catalog]],PartsDB[[Title]:[Title]]=BM1),FALSE,FALSE),1,1),"")</f>
        <v/>
      </c>
      <c r="BN2" t="str" cm="1">
        <f t="array" ref="BN2">IF(BN1&lt;&gt; 0,_xlfn._xlws.SORT(_xlfn.UNIQUE(_xlfn._xlws.FILTER(PartsDB[[Catalog]:[Catalog]],PartsDB[[Title]:[Title]]=BN1),FALSE,FALSE),1,1),"")</f>
        <v/>
      </c>
      <c r="BO2" t="str" cm="1">
        <f t="array" ref="BO2">IF(BO1&lt;&gt; 0,_xlfn._xlws.SORT(_xlfn.UNIQUE(_xlfn._xlws.FILTER(PartsDB[[Catalog]:[Catalog]],PartsDB[[Title]:[Title]]=BO1),FALSE,FALSE),1,1),"")</f>
        <v/>
      </c>
      <c r="BP2" t="str" cm="1">
        <f t="array" ref="BP2">IF(BP1&lt;&gt; 0,_xlfn._xlws.SORT(_xlfn.UNIQUE(_xlfn._xlws.FILTER(PartsDB[[Catalog]:[Catalog]],PartsDB[[Title]:[Title]]=BP1),FALSE,FALSE),1,1),"")</f>
        <v/>
      </c>
      <c r="BQ2" t="str" cm="1">
        <f t="array" ref="BQ2">IF(BQ1&lt;&gt; 0,_xlfn._xlws.SORT(_xlfn.UNIQUE(_xlfn._xlws.FILTER(PartsDB[[Catalog]:[Catalog]],PartsDB[[Title]:[Title]]=BQ1),FALSE,FALSE),1,1),"")</f>
        <v/>
      </c>
      <c r="BR2" t="str" cm="1">
        <f t="array" ref="BR2">IF(BR1&lt;&gt; 0,_xlfn._xlws.SORT(_xlfn.UNIQUE(_xlfn._xlws.FILTER(PartsDB[[Catalog]:[Catalog]],PartsDB[[Title]:[Title]]=BR1),FALSE,FALSE),1,1),"")</f>
        <v/>
      </c>
      <c r="BS2" t="str" cm="1">
        <f t="array" ref="BS2">IF(BS1&lt;&gt; 0,_xlfn._xlws.SORT(_xlfn.UNIQUE(_xlfn._xlws.FILTER(PartsDB[[Catalog]:[Catalog]],PartsDB[[Title]:[Title]]=BS1),FALSE,FALSE),1,1),"")</f>
        <v/>
      </c>
      <c r="BT2" t="str" cm="1">
        <f t="array" ref="BT2">IF(BT1&lt;&gt; 0,_xlfn._xlws.SORT(_xlfn.UNIQUE(_xlfn._xlws.FILTER(PartsDB[[Catalog]:[Catalog]],PartsDB[[Title]:[Title]]=BT1),FALSE,FALSE),1,1),"")</f>
        <v/>
      </c>
      <c r="BU2" t="str" cm="1">
        <f t="array" ref="BU2">IF(BU1&lt;&gt; 0,_xlfn._xlws.SORT(_xlfn.UNIQUE(_xlfn._xlws.FILTER(PartsDB[[Catalog]:[Catalog]],PartsDB[[Title]:[Title]]=BU1),FALSE,FALSE),1,1),"")</f>
        <v/>
      </c>
      <c r="BV2" t="str" cm="1">
        <f t="array" ref="BV2">IF(BV1&lt;&gt; 0,_xlfn._xlws.SORT(_xlfn.UNIQUE(_xlfn._xlws.FILTER(PartsDB[[Catalog]:[Catalog]],PartsDB[[Title]:[Title]]=BV1),FALSE,FALSE),1,1),"")</f>
        <v/>
      </c>
      <c r="BW2" t="str" cm="1">
        <f t="array" ref="BW2">IF(BW1&lt;&gt; 0,_xlfn._xlws.SORT(_xlfn.UNIQUE(_xlfn._xlws.FILTER(PartsDB[[Catalog]:[Catalog]],PartsDB[[Title]:[Title]]=BW1),FALSE,FALSE),1,1),"")</f>
        <v/>
      </c>
      <c r="BX2" t="str" cm="1">
        <f t="array" ref="BX2">IF(BX1&lt;&gt; 0,_xlfn._xlws.SORT(_xlfn.UNIQUE(_xlfn._xlws.FILTER(PartsDB[[Catalog]:[Catalog]],PartsDB[[Title]:[Title]]=BX1),FALSE,FALSE),1,1),"")</f>
        <v/>
      </c>
      <c r="BY2" t="str" cm="1">
        <f t="array" ref="BY2">IF(BY1&lt;&gt; 0,_xlfn._xlws.SORT(_xlfn.UNIQUE(_xlfn._xlws.FILTER(PartsDB[[Catalog]:[Catalog]],PartsDB[[Title]:[Title]]=BY1),FALSE,FALSE),1,1),"")</f>
        <v/>
      </c>
      <c r="BZ2" t="str" cm="1">
        <f t="array" ref="BZ2">IF(BZ1&lt;&gt; 0,_xlfn._xlws.SORT(_xlfn.UNIQUE(_xlfn._xlws.FILTER(PartsDB[[Catalog]:[Catalog]],PartsDB[[Title]:[Title]]=BZ1),FALSE,FALSE),1,1),"")</f>
        <v/>
      </c>
      <c r="CA2" t="str" cm="1">
        <f t="array" ref="CA2">IF(CA1&lt;&gt; 0,_xlfn._xlws.SORT(_xlfn.UNIQUE(_xlfn._xlws.FILTER(PartsDB[[Catalog]:[Catalog]],PartsDB[[Title]:[Title]]=CA1),FALSE,FALSE),1,1),"")</f>
        <v/>
      </c>
      <c r="CB2" t="str" cm="1">
        <f t="array" ref="CB2">IF(CB1&lt;&gt; 0,_xlfn._xlws.SORT(_xlfn.UNIQUE(_xlfn._xlws.FILTER(PartsDB[[Catalog]:[Catalog]],PartsDB[[Title]:[Title]]=CB1),FALSE,FALSE),1,1),"")</f>
        <v/>
      </c>
      <c r="CC2" t="str" cm="1">
        <f t="array" ref="CC2">IF(CC1&lt;&gt; 0,_xlfn._xlws.SORT(_xlfn.UNIQUE(_xlfn._xlws.FILTER(PartsDB[[Catalog]:[Catalog]],PartsDB[[Title]:[Title]]=CC1),FALSE,FALSE),1,1),"")</f>
        <v/>
      </c>
      <c r="CD2" t="str" cm="1">
        <f t="array" ref="CD2">IF(CD1&lt;&gt; 0,_xlfn._xlws.SORT(_xlfn.UNIQUE(_xlfn._xlws.FILTER(PartsDB[[Catalog]:[Catalog]],PartsDB[[Title]:[Title]]=CD1),FALSE,FALSE),1,1),"")</f>
        <v/>
      </c>
      <c r="CE2" t="str" cm="1">
        <f t="array" ref="CE2">IF(CE1&lt;&gt; 0,_xlfn._xlws.SORT(_xlfn.UNIQUE(_xlfn._xlws.FILTER(PartsDB[[Catalog]:[Catalog]],PartsDB[[Title]:[Title]]=CE1),FALSE,FALSE),1,1),"")</f>
        <v/>
      </c>
      <c r="CF2" t="str" cm="1">
        <f t="array" ref="CF2">IF(CF1&lt;&gt; 0,_xlfn._xlws.SORT(_xlfn.UNIQUE(_xlfn._xlws.FILTER(PartsDB[[Catalog]:[Catalog]],PartsDB[[Title]:[Title]]=CF1),FALSE,FALSE),1,1),"")</f>
        <v/>
      </c>
      <c r="CG2" t="str" cm="1">
        <f t="array" ref="CG2">IF(CG1&lt;&gt; 0,_xlfn._xlws.SORT(_xlfn.UNIQUE(_xlfn._xlws.FILTER(PartsDB[[Catalog]:[Catalog]],PartsDB[[Title]:[Title]]=CG1),FALSE,FALSE),1,1),"")</f>
        <v/>
      </c>
      <c r="CH2" t="str" cm="1">
        <f t="array" ref="CH2">IF(CH1&lt;&gt; 0,_xlfn._xlws.SORT(_xlfn.UNIQUE(_xlfn._xlws.FILTER(PartsDB[[Catalog]:[Catalog]],PartsDB[[Title]:[Title]]=CH1),FALSE,FALSE),1,1),"")</f>
        <v/>
      </c>
      <c r="CI2" t="str" cm="1">
        <f t="array" ref="CI2">IF(CI1&lt;&gt; 0,_xlfn._xlws.SORT(_xlfn.UNIQUE(_xlfn._xlws.FILTER(PartsDB[[Catalog]:[Catalog]],PartsDB[[Title]:[Title]]=CI1),FALSE,FALSE),1,1),"")</f>
        <v/>
      </c>
      <c r="CJ2" t="str" cm="1">
        <f t="array" ref="CJ2">IF(CJ1&lt;&gt; 0,_xlfn._xlws.SORT(_xlfn.UNIQUE(_xlfn._xlws.FILTER(PartsDB[[Catalog]:[Catalog]],PartsDB[[Title]:[Title]]=CJ1),FALSE,FALSE),1,1),"")</f>
        <v/>
      </c>
      <c r="CK2" t="str" cm="1">
        <f t="array" ref="CK2">IF(CK1&lt;&gt; 0,_xlfn._xlws.SORT(_xlfn.UNIQUE(_xlfn._xlws.FILTER(PartsDB[[Catalog]:[Catalog]],PartsDB[[Title]:[Title]]=CK1),FALSE,FALSE),1,1),"")</f>
        <v/>
      </c>
      <c r="CL2" t="str" cm="1">
        <f t="array" ref="CL2">IF(CL1&lt;&gt; 0,_xlfn._xlws.SORT(_xlfn.UNIQUE(_xlfn._xlws.FILTER(PartsDB[[Catalog]:[Catalog]],PartsDB[[Title]:[Title]]=CL1),FALSE,FALSE),1,1),"")</f>
        <v/>
      </c>
      <c r="CM2" t="str" cm="1">
        <f t="array" ref="CM2">IF(CM1&lt;&gt; 0,_xlfn._xlws.SORT(_xlfn.UNIQUE(_xlfn._xlws.FILTER(PartsDB[[Catalog]:[Catalog]],PartsDB[[Title]:[Title]]=CM1),FALSE,FALSE),1,1),"")</f>
        <v/>
      </c>
      <c r="CN2" t="str" cm="1">
        <f t="array" ref="CN2">IF(CN1&lt;&gt; 0,_xlfn._xlws.SORT(_xlfn.UNIQUE(_xlfn._xlws.FILTER(PartsDB[[Catalog]:[Catalog]],PartsDB[[Title]:[Title]]=CN1),FALSE,FALSE),1,1),"")</f>
        <v/>
      </c>
      <c r="CO2" t="str" cm="1">
        <f t="array" ref="CO2">IF(CO1&lt;&gt; 0,_xlfn._xlws.SORT(_xlfn.UNIQUE(_xlfn._xlws.FILTER(PartsDB[[Catalog]:[Catalog]],PartsDB[[Title]:[Title]]=CO1),FALSE,FALSE),1,1),"")</f>
        <v/>
      </c>
      <c r="CP2" t="str" cm="1">
        <f t="array" ref="CP2">IF(CP1&lt;&gt; 0,_xlfn._xlws.SORT(_xlfn.UNIQUE(_xlfn._xlws.FILTER(PartsDB[[Catalog]:[Catalog]],PartsDB[[Title]:[Title]]=CP1),FALSE,FALSE),1,1),"")</f>
        <v/>
      </c>
      <c r="CQ2" t="str" cm="1">
        <f t="array" ref="CQ2">IF(CQ1&lt;&gt; 0,_xlfn._xlws.SORT(_xlfn.UNIQUE(_xlfn._xlws.FILTER(PartsDB[[Catalog]:[Catalog]],PartsDB[[Title]:[Title]]=CQ1),FALSE,FALSE),1,1),"")</f>
        <v/>
      </c>
      <c r="CR2" t="str" cm="1">
        <f t="array" ref="CR2">IF(CR1&lt;&gt; 0,_xlfn._xlws.SORT(_xlfn.UNIQUE(_xlfn._xlws.FILTER(PartsDB[[Catalog]:[Catalog]],PartsDB[[Title]:[Title]]=CR1),FALSE,FALSE),1,1),"")</f>
        <v/>
      </c>
      <c r="CS2" t="str" cm="1">
        <f t="array" ref="CS2">IF(CS1&lt;&gt; 0,_xlfn._xlws.SORT(_xlfn.UNIQUE(_xlfn._xlws.FILTER(PartsDB[[Catalog]:[Catalog]],PartsDB[[Title]:[Title]]=CS1),FALSE,FALSE),1,1),"")</f>
        <v/>
      </c>
      <c r="CT2" t="str" cm="1">
        <f t="array" ref="CT2">IF(CT1&lt;&gt; 0,_xlfn._xlws.SORT(_xlfn.UNIQUE(_xlfn._xlws.FILTER(PartsDB[[Catalog]:[Catalog]],PartsDB[[Title]:[Title]]=CT1),FALSE,FALSE),1,1),"")</f>
        <v/>
      </c>
      <c r="CU2" t="str" cm="1">
        <f t="array" ref="CU2">IF(CU1&lt;&gt; 0,_xlfn._xlws.SORT(_xlfn.UNIQUE(_xlfn._xlws.FILTER(PartsDB[[Catalog]:[Catalog]],PartsDB[[Title]:[Title]]=CU1),FALSE,FALSE),1,1),"")</f>
        <v/>
      </c>
      <c r="CV2" t="str" cm="1">
        <f t="array" ref="CV2">IF(CV1&lt;&gt; 0,_xlfn._xlws.SORT(_xlfn.UNIQUE(_xlfn._xlws.FILTER(PartsDB[[Catalog]:[Catalog]],PartsDB[[Title]:[Title]]=CV1),FALSE,FALSE),1,1),"")</f>
        <v/>
      </c>
    </row>
    <row r="3" spans="1:100" x14ac:dyDescent="0.25">
      <c r="A3" s="6" t="str">
        <v>Assy-Mtl</v>
      </c>
      <c r="B3" t="str">
        <v>LaborIOWall_Mt</v>
      </c>
      <c r="C3" t="str">
        <v>MtI/OWall_Mt</v>
      </c>
      <c r="D3" t="str">
        <v>856T-BB4</v>
      </c>
      <c r="E3" t="str">
        <v>A1412CH</v>
      </c>
      <c r="H3" t="str">
        <v>1783-CM20DP</v>
      </c>
      <c r="I3" t="str">
        <v>_1521355</v>
      </c>
      <c r="J3" t="str">
        <v>100-C30D10</v>
      </c>
      <c r="K3" t="str">
        <v>HG1300404</v>
      </c>
      <c r="L3" t="str">
        <v>700-HPS2Z24</v>
      </c>
      <c r="M3" t="str">
        <v>PF11F5R7K77</v>
      </c>
      <c r="N3" t="str">
        <v>1606-XLE240EN</v>
      </c>
      <c r="P3" t="str">
        <v>1492-FB1J60-L</v>
      </c>
      <c r="R3" t="str">
        <v>HIS-ML23.8-FTVA</v>
      </c>
      <c r="S3" t="str">
        <v>O1D100</v>
      </c>
      <c r="T3" t="str">
        <v>IIS226</v>
      </c>
      <c r="U3" t="str">
        <v>BNI00H2</v>
      </c>
      <c r="V3" t="str">
        <v>EngHR</v>
      </c>
      <c r="W3" t="str">
        <v>140G-G6C3-D10-KJ</v>
      </c>
      <c r="X3" t="str">
        <v>140MG-G8P-B70</v>
      </c>
      <c r="Y3" t="str">
        <v>140MG-J8P-D25</v>
      </c>
      <c r="Z3" t="str">
        <v>MISC250</v>
      </c>
      <c r="AA3" t="str">
        <v>140MT-C3E-A63-KY-BX</v>
      </c>
      <c r="AB3" t="str">
        <v>25HP AC MOTOR, 1750/3500 RPM, 460V, 34A, FL2162CZ FRAME, TEAO-BC,HS35M ENC.</v>
      </c>
      <c r="AC3" t="str">
        <v>193-1EEFD</v>
      </c>
      <c r="AD3" t="str">
        <v>WC1248W</v>
      </c>
      <c r="AE3" t="str">
        <v>SCE-SA230WH</v>
      </c>
      <c r="AF3" t="str">
        <v>440T-MRPSE11BB</v>
      </c>
      <c r="AG3" t="str">
        <v>HX500</v>
      </c>
      <c r="AH3" t="str">
        <v>1492-PD3287</v>
      </c>
      <c r="AI3" t="str">
        <v>800T-QH2G</v>
      </c>
      <c r="AJ3" t="str">
        <v>1492-CABLE010Y</v>
      </c>
      <c r="AL3" t="str">
        <v>C19M10-30-002</v>
      </c>
      <c r="AM3" t="str">
        <v>1734-AENTR</v>
      </c>
      <c r="AN3" t="str">
        <v>800TC-H32A</v>
      </c>
      <c r="AP3" t="str">
        <v>9701*-VWSTNBDLT4*</v>
      </c>
      <c r="AR3" t="str">
        <v>20G21ND014JA0NNNNN</v>
      </c>
      <c r="AS3" t="str">
        <v>20-750-S3</v>
      </c>
      <c r="AT3" t="str">
        <v>2A-1204</v>
      </c>
      <c r="AU3" t="str">
        <v>F126L##</v>
      </c>
      <c r="AV3" t="str">
        <v>HZ1500</v>
      </c>
      <c r="AW3" t="str">
        <v>1321-3R12-B</v>
      </c>
    </row>
    <row r="4" spans="1:100" x14ac:dyDescent="0.25">
      <c r="A4" s="6" t="str">
        <v>BEACON</v>
      </c>
      <c r="B4" t="str">
        <v>LaborJBX</v>
      </c>
      <c r="C4" t="str">
        <v>MtlJBX</v>
      </c>
      <c r="D4" t="str">
        <v>856T-BP1</v>
      </c>
      <c r="E4" t="str">
        <v>A14P12</v>
      </c>
      <c r="H4" t="str">
        <v>1783-US8T</v>
      </c>
      <c r="I4" t="str">
        <v>_1542952</v>
      </c>
      <c r="J4" t="str">
        <v>100-C37D10</v>
      </c>
      <c r="K4" t="str">
        <v>TEP4</v>
      </c>
      <c r="L4" t="str">
        <v>700S-P710A1</v>
      </c>
      <c r="M4" t="str">
        <v>PF13R5K45</v>
      </c>
      <c r="N4" t="str">
        <v>SDN40-24-100C</v>
      </c>
      <c r="P4" t="str">
        <v>1492-FB2C30-L</v>
      </c>
      <c r="R4" t="str">
        <v>VESA-RADARM2-BLK</v>
      </c>
      <c r="S4" t="str">
        <v>OY1P303P0102</v>
      </c>
      <c r="T4" t="str">
        <v>U20302</v>
      </c>
      <c r="U4" t="str">
        <v>IGC260</v>
      </c>
      <c r="V4" t="str">
        <v>EngHrs-v0.2</v>
      </c>
      <c r="W4" t="str">
        <v>140G-G6C3-D12-KJ</v>
      </c>
      <c r="X4" t="str">
        <v>140MG-G8P-C15</v>
      </c>
      <c r="Z4" t="str">
        <v>MISC500</v>
      </c>
      <c r="AA4" t="str">
        <v>140MT-C3E-B63</v>
      </c>
      <c r="AB4" t="str">
        <v>30HP AC MOTOR, 1750/3500RP, 460V, 40 FLA, FL2162CZ FRAME, TEBC, HS35M ENC.</v>
      </c>
      <c r="AC4" t="str">
        <v>193-ECM-ETR</v>
      </c>
      <c r="AD4" t="str">
        <v>WC12B</v>
      </c>
      <c r="AE4" t="str">
        <v>SCE-SA360C</v>
      </c>
      <c r="AF4" t="str">
        <v>800T-A2A</v>
      </c>
      <c r="AG4" t="str">
        <v>HX500-I7-512SSD-16GB-WIN10LTSC</v>
      </c>
      <c r="AH4" t="str">
        <v>MPDB62203</v>
      </c>
      <c r="AJ4" t="str">
        <v>1492-CABLE025X</v>
      </c>
      <c r="AL4" t="str">
        <v>C19M10-40-002</v>
      </c>
      <c r="AM4" t="str">
        <v>1734-EP24DC</v>
      </c>
      <c r="AN4" t="str">
        <v>800T-H2A</v>
      </c>
      <c r="AP4" t="str">
        <v>9701*-VWSVBDL05T3*</v>
      </c>
      <c r="AR4" t="str">
        <v>20G21ND022JA0NNNNN</v>
      </c>
      <c r="AS4" t="str">
        <v>20-HIM-C6S</v>
      </c>
      <c r="AT4" t="str">
        <v>9873</v>
      </c>
      <c r="AU4" t="str">
        <v>F126LB</v>
      </c>
      <c r="AV4" t="str">
        <v>HZ2000</v>
      </c>
      <c r="AW4" t="str">
        <v>1321-3R130-B</v>
      </c>
    </row>
    <row r="5" spans="1:100" x14ac:dyDescent="0.25">
      <c r="A5" s="6" t="str">
        <v>CAB</v>
      </c>
      <c r="B5" t="str">
        <v>LaborVFD</v>
      </c>
      <c r="C5" t="str">
        <v>MtlVFD</v>
      </c>
      <c r="E5" t="str">
        <v>A302416LP</v>
      </c>
      <c r="H5" t="str">
        <v>516TX-A</v>
      </c>
      <c r="I5" t="str">
        <v>_1543058</v>
      </c>
      <c r="J5" t="str">
        <v>100-C43D10</v>
      </c>
      <c r="K5" t="str">
        <v>TFP41</v>
      </c>
      <c r="L5" t="str">
        <v>774150</v>
      </c>
      <c r="M5" t="str">
        <v>PF150R800W</v>
      </c>
      <c r="N5" t="str">
        <v>SDN5-24-100C</v>
      </c>
      <c r="P5" t="str">
        <v>1492-FB2J30</v>
      </c>
      <c r="S5" t="str">
        <v>WP-Mount</v>
      </c>
      <c r="V5" t="str">
        <v>Mach</v>
      </c>
      <c r="W5" t="str">
        <v>140G-G-FCX03</v>
      </c>
      <c r="X5" t="str">
        <v>140MG-G8P-C30</v>
      </c>
      <c r="Z5" t="str">
        <v>MISC750</v>
      </c>
      <c r="AA5" t="str">
        <v>140MT-F9N-C45</v>
      </c>
      <c r="AB5" t="str">
        <v>75HP AC MOTOR, 1150/2300RPM, 460VAC, 96A, FL2898Z FRAME, TEAO-BC, HS35M ENC.</v>
      </c>
      <c r="AC5" t="str">
        <v>193-EIO-22-120</v>
      </c>
      <c r="AD5" t="str">
        <v>WC12W</v>
      </c>
      <c r="AE5" t="str">
        <v>SCE-SA39TC</v>
      </c>
      <c r="AF5" t="str">
        <v>800T-A6D2</v>
      </c>
      <c r="AJ5" t="str">
        <v>1492-CABLE025Y</v>
      </c>
      <c r="AL5" t="str">
        <v>RLX2-IHNF-A</v>
      </c>
      <c r="AM5" t="str">
        <v>1734-FPD</v>
      </c>
      <c r="AN5" t="str">
        <v>800T-H31D1</v>
      </c>
      <c r="AR5" t="str">
        <v>20G21ND027JA0NNNNN</v>
      </c>
      <c r="AU5" t="str">
        <v>F126LE9A</v>
      </c>
      <c r="AV5" t="str">
        <v>HZ3000</v>
      </c>
      <c r="AW5" t="str">
        <v>1321-3R160-B</v>
      </c>
    </row>
    <row r="6" spans="1:100" x14ac:dyDescent="0.25">
      <c r="A6" s="6" t="str">
        <v>CB</v>
      </c>
      <c r="E6" t="str">
        <v>A303008LP</v>
      </c>
      <c r="H6" t="str">
        <v>CAT6</v>
      </c>
      <c r="I6" t="str">
        <v>110-3-8-1-LUG</v>
      </c>
      <c r="J6" t="str">
        <v>100-C55D10</v>
      </c>
      <c r="M6" t="str">
        <v>PF19R4K86</v>
      </c>
      <c r="P6" t="str">
        <v>1492-H4</v>
      </c>
      <c r="V6" t="str">
        <v>Weld</v>
      </c>
      <c r="W6" t="str">
        <v>140G-G-MTL63</v>
      </c>
      <c r="X6" t="str">
        <v>140MG-G8P-C50</v>
      </c>
      <c r="AC6" t="str">
        <v>193-ESM-I-100A-C97</v>
      </c>
      <c r="AE6" t="str">
        <v>SCE-SA79TC</v>
      </c>
      <c r="AF6" t="str">
        <v>800T-B6A</v>
      </c>
      <c r="AJ6" t="str">
        <v>1492-IFM20F-F120-2</v>
      </c>
      <c r="AM6" t="str">
        <v>1734-IA4</v>
      </c>
      <c r="AN6" t="str">
        <v>800T-J20A</v>
      </c>
      <c r="AR6" t="str">
        <v>20G21ND034JA0NNNNN</v>
      </c>
      <c r="AU6" t="str">
        <v>F126LP</v>
      </c>
      <c r="AV6" t="str">
        <v>HZ5000</v>
      </c>
      <c r="AW6" t="str">
        <v>1321-3R18-B</v>
      </c>
    </row>
    <row r="7" spans="1:100" x14ac:dyDescent="0.25">
      <c r="A7" s="6" t="str">
        <v>CBL</v>
      </c>
      <c r="E7" t="str">
        <v>A30P24G</v>
      </c>
      <c r="H7" t="str">
        <v>FP6X88MTG</v>
      </c>
      <c r="I7" t="str">
        <v>5J6F4-A11-US0A - 2</v>
      </c>
      <c r="J7" t="str">
        <v>100-C72D10</v>
      </c>
      <c r="M7" t="str">
        <v>PF28R2K80</v>
      </c>
      <c r="P7" t="str">
        <v>1492-H5</v>
      </c>
      <c r="W7" t="str">
        <v>140G-G-TLC13</v>
      </c>
      <c r="X7" t="str">
        <v>140MG-G8P-C80</v>
      </c>
      <c r="AC7" t="str">
        <v>193-ESM-I-200A-D180</v>
      </c>
      <c r="AE7" t="str">
        <v>SCE-SA90A</v>
      </c>
      <c r="AF7" t="str">
        <v>800T-D6A</v>
      </c>
      <c r="AJ7" t="str">
        <v>1492-IFM40F-FS120-2</v>
      </c>
      <c r="AM7" t="str">
        <v>1734-IB4</v>
      </c>
      <c r="AN7" t="str">
        <v>800T-N17KF4C</v>
      </c>
      <c r="AR7" t="str">
        <v>20G21ND040JA0NNNNN</v>
      </c>
      <c r="AU7" t="str">
        <v>F126LTA</v>
      </c>
      <c r="AW7" t="str">
        <v>1321-3R200-B</v>
      </c>
    </row>
    <row r="8" spans="1:100" x14ac:dyDescent="0.25">
      <c r="A8" s="6" t="str">
        <v>COMM</v>
      </c>
      <c r="E8" t="str">
        <v>A30P30</v>
      </c>
      <c r="I8" t="str">
        <v>EBC113</v>
      </c>
      <c r="J8" t="str">
        <v>100-C85D10</v>
      </c>
      <c r="M8" t="str">
        <v>PF32R2K40</v>
      </c>
      <c r="P8" t="str">
        <v>CC&lt;=30A</v>
      </c>
      <c r="W8" t="str">
        <v>140G-J6H3-D25</v>
      </c>
      <c r="X8" t="str">
        <v>140MG-G8P-D10</v>
      </c>
      <c r="AC8" t="str">
        <v>193-ESM-I-200A-E146</v>
      </c>
      <c r="AF8" t="str">
        <v>800T-D9D2</v>
      </c>
      <c r="AJ8" t="str">
        <v>1492-IFM40F-FS-4</v>
      </c>
      <c r="AM8" t="str">
        <v>1734-IB8</v>
      </c>
      <c r="AN8" t="str">
        <v>800T-T2H3EEXX</v>
      </c>
      <c r="AR8" t="str">
        <v>20G21ND052JA0NNNNN</v>
      </c>
      <c r="AW8" t="str">
        <v>1321-3R25-B</v>
      </c>
    </row>
    <row r="9" spans="1:100" x14ac:dyDescent="0.25">
      <c r="A9" s="6" t="str">
        <v>CONN</v>
      </c>
      <c r="E9" t="str">
        <v>A363612LP</v>
      </c>
      <c r="I9" t="str">
        <v>EVC854</v>
      </c>
      <c r="J9" t="str">
        <v>100-C97D10</v>
      </c>
      <c r="M9" t="str">
        <v>PF3F3R21K4</v>
      </c>
      <c r="P9" t="str">
        <v>CCMR003.TXP</v>
      </c>
      <c r="W9" t="str">
        <v>140G-M6F3-D60</v>
      </c>
      <c r="X9" t="str">
        <v>140MG-G8P-D12</v>
      </c>
      <c r="AC9" t="str">
        <v>193-ESM-I-200A-E205</v>
      </c>
      <c r="AF9" t="str">
        <v>800T-FX6A1</v>
      </c>
      <c r="AJ9" t="str">
        <v>1756-A10</v>
      </c>
      <c r="AM9" t="str">
        <v>1734-IB8S</v>
      </c>
      <c r="AR9" t="str">
        <v>20G21ND065JA0NNNNN</v>
      </c>
      <c r="AW9" t="str">
        <v>1321-3R35-B</v>
      </c>
    </row>
    <row r="10" spans="1:100" x14ac:dyDescent="0.25">
      <c r="A10" s="6" t="str">
        <v>CONTACTOR</v>
      </c>
      <c r="E10" t="str">
        <v>A36P30</v>
      </c>
      <c r="I10" t="str">
        <v>MDE45-4MP-FW07</v>
      </c>
      <c r="J10" t="str">
        <v>100-E146ED11</v>
      </c>
      <c r="M10" t="str">
        <v>PF3F3R24K9</v>
      </c>
      <c r="P10" t="str">
        <v>CCMR005.TXP</v>
      </c>
      <c r="W10" t="str">
        <v>140G-M-FMX04</v>
      </c>
      <c r="AC10" t="str">
        <v>193-ESM-I-30A-C55</v>
      </c>
      <c r="AF10" t="str">
        <v>800T-FXQH2RA1</v>
      </c>
      <c r="AJ10" t="str">
        <v>1756-A17</v>
      </c>
      <c r="AM10" t="str">
        <v>1734-IE2C</v>
      </c>
      <c r="AR10" t="str">
        <v>20G21ND077JA0NNNNN</v>
      </c>
      <c r="AW10" t="str">
        <v>1321-3R45-B</v>
      </c>
    </row>
    <row r="11" spans="1:100" x14ac:dyDescent="0.25">
      <c r="A11" s="6" t="str">
        <v>COOLING</v>
      </c>
      <c r="E11" t="str">
        <v>A36P36</v>
      </c>
      <c r="I11" t="str">
        <v>MS14SPM-7FP-10M-B-EN01</v>
      </c>
      <c r="J11" t="str">
        <v>100-E190ED11</v>
      </c>
      <c r="M11" t="str">
        <v>PF40R1K60</v>
      </c>
      <c r="P11" t="str">
        <v>CCMR007.TXP</v>
      </c>
      <c r="W11" t="str">
        <v>140G-M-TLA23</v>
      </c>
      <c r="AC11" t="str">
        <v>193-ESM-I-60A-C55</v>
      </c>
      <c r="AF11" t="str">
        <v>800T-FXQH2RA5</v>
      </c>
      <c r="AJ11" t="str">
        <v>1756-A7</v>
      </c>
      <c r="AM11" t="str">
        <v>1734-IE2V</v>
      </c>
      <c r="AR11" t="str">
        <v>20G21ND096JA0NNNNN</v>
      </c>
      <c r="AW11" t="str">
        <v>1321-3R55-B</v>
      </c>
    </row>
    <row r="12" spans="1:100" x14ac:dyDescent="0.25">
      <c r="A12" s="6" t="str">
        <v>CR-Sfty</v>
      </c>
      <c r="E12" t="str">
        <v>A36SA3210LPPL</v>
      </c>
      <c r="I12" t="str">
        <v>P5103-1751000</v>
      </c>
      <c r="J12" t="str">
        <v>100-FA20</v>
      </c>
      <c r="M12" t="str">
        <v>PF40R2K00</v>
      </c>
      <c r="P12" t="str">
        <v>CCMR010.TXP</v>
      </c>
      <c r="W12" t="str">
        <v>PDG63M2000E2NN</v>
      </c>
      <c r="AF12" t="str">
        <v>800T-N310J</v>
      </c>
      <c r="AJ12" t="str">
        <v>1756-EN2TR</v>
      </c>
      <c r="AM12" t="str">
        <v>1734-IE4C</v>
      </c>
      <c r="AR12" t="str">
        <v>20G21ND8P0JA0NNNNN</v>
      </c>
      <c r="AW12" t="str">
        <v>1321-3R80-B</v>
      </c>
    </row>
    <row r="13" spans="1:100" x14ac:dyDescent="0.25">
      <c r="A13" s="6" t="str">
        <v>DBR</v>
      </c>
      <c r="E13" t="str">
        <v>A808CH</v>
      </c>
      <c r="I13" t="str">
        <v>VAN-590-00</v>
      </c>
      <c r="J13" t="str">
        <v>300-DOD930</v>
      </c>
      <c r="M13" t="str">
        <v>PF5F1R10K7</v>
      </c>
      <c r="P13" t="str">
        <v>CCMR012.TXP</v>
      </c>
      <c r="W13" t="str">
        <v>PDG6X3TA2000</v>
      </c>
      <c r="AF13" t="str">
        <v>800T-PB</v>
      </c>
      <c r="AJ13" t="str">
        <v>1756-EN4TR</v>
      </c>
      <c r="AM13" t="str">
        <v>1734-OA4</v>
      </c>
      <c r="AR13" t="str">
        <v>20G2AND125JA0NNNNN</v>
      </c>
      <c r="AW13" t="str">
        <v>1321-3R8-B</v>
      </c>
    </row>
    <row r="14" spans="1:100" x14ac:dyDescent="0.25">
      <c r="A14" s="6" t="str">
        <v>DCPS</v>
      </c>
      <c r="E14" t="str">
        <v>A84PM40</v>
      </c>
      <c r="J14" t="str">
        <v>300-EOD9311</v>
      </c>
      <c r="M14" t="str">
        <v>PF5F1R13K7</v>
      </c>
      <c r="P14" t="str">
        <v>CCMR015.TXP</v>
      </c>
      <c r="W14" t="str">
        <v>PDG6XFS06</v>
      </c>
      <c r="AF14" t="str">
        <v>800T-PBLT</v>
      </c>
      <c r="AJ14" t="str">
        <v>1756-HSC</v>
      </c>
      <c r="AM14" t="str">
        <v>1734-OB4</v>
      </c>
      <c r="AR14" t="str">
        <v>20G2AND156JA0NNNNN</v>
      </c>
      <c r="AW14" t="str">
        <v>1321-3RB250-B</v>
      </c>
    </row>
    <row r="15" spans="1:100" x14ac:dyDescent="0.25">
      <c r="A15" s="6" t="str">
        <v>DISC</v>
      </c>
      <c r="E15" t="str">
        <v>A84PM40G</v>
      </c>
      <c r="M15" t="str">
        <v>PF7R9K30</v>
      </c>
      <c r="P15" t="str">
        <v>CCMR025.TXP</v>
      </c>
      <c r="AF15" t="str">
        <v>800T-QBH2W</v>
      </c>
      <c r="AJ15" t="str">
        <v>1756-IA16</v>
      </c>
      <c r="AM15" t="str">
        <v>1734-OB8</v>
      </c>
      <c r="AR15" t="str">
        <v>20G2AND186JA0NNNNN</v>
      </c>
      <c r="AW15" t="str">
        <v>1321-3RB320-B</v>
      </c>
    </row>
    <row r="16" spans="1:100" x14ac:dyDescent="0.25">
      <c r="A16" s="6" t="str">
        <v>FU</v>
      </c>
      <c r="E16" t="str">
        <v>A84PM78</v>
      </c>
      <c r="M16" t="str">
        <v>PF80R1K2</v>
      </c>
      <c r="P16" t="str">
        <v>CCMR030.TXP</v>
      </c>
      <c r="AF16" t="str">
        <v>800T-SL</v>
      </c>
      <c r="AJ16" t="str">
        <v>1756-IA16I</v>
      </c>
      <c r="AM16" t="str">
        <v>1734-OB8S</v>
      </c>
      <c r="AR16" t="str">
        <v>20G2AND248JA0NNNNN</v>
      </c>
    </row>
    <row r="17" spans="1:44" x14ac:dyDescent="0.25">
      <c r="A17" s="6" t="str">
        <v>GND</v>
      </c>
      <c r="E17" t="str">
        <v>A84PM78G</v>
      </c>
      <c r="P17" t="str">
        <v>GDL2</v>
      </c>
      <c r="AF17" t="str">
        <v>800T-SS-2POS</v>
      </c>
      <c r="AJ17" t="str">
        <v>1756-IB16</v>
      </c>
      <c r="AM17" t="str">
        <v>1734-OE2C</v>
      </c>
      <c r="AR17" t="str">
        <v>20G2AND302JA0NNNNN</v>
      </c>
    </row>
    <row r="18" spans="1:44" x14ac:dyDescent="0.25">
      <c r="A18" s="6" t="str">
        <v>HMI</v>
      </c>
      <c r="E18" t="str">
        <v>A8P8</v>
      </c>
      <c r="P18" t="str">
        <v>Glass Fuse 1/4"</v>
      </c>
      <c r="AF18" t="str">
        <v>800T-SS-2POS-KEY</v>
      </c>
      <c r="AJ18" t="str">
        <v>1756-IB16S</v>
      </c>
      <c r="AM18" t="str">
        <v>1734-OE2V</v>
      </c>
      <c r="AR18" t="str">
        <v>20G2AND361JA0NNNNN</v>
      </c>
    </row>
    <row r="19" spans="1:44" x14ac:dyDescent="0.25">
      <c r="A19" s="6" t="str">
        <v>INST-LAS</v>
      </c>
      <c r="E19" t="str">
        <v>A90PM40G</v>
      </c>
      <c r="P19" t="str">
        <v>J&lt;=100</v>
      </c>
      <c r="AF19" t="str">
        <v>800T-SS-3POS</v>
      </c>
      <c r="AJ19" t="str">
        <v>1756-IB32</v>
      </c>
      <c r="AM19" t="str">
        <v>1734-OW4</v>
      </c>
      <c r="AR19" t="str">
        <v>20G2AND361JN0NNNNN</v>
      </c>
    </row>
    <row r="20" spans="1:44" x14ac:dyDescent="0.25">
      <c r="A20" s="6" t="str">
        <v>INST-PRS</v>
      </c>
      <c r="E20" t="str">
        <v>A90PM78G</v>
      </c>
      <c r="P20" t="str">
        <v>J&lt;=200</v>
      </c>
      <c r="AF20" t="str">
        <v>800T-SS-4POS</v>
      </c>
      <c r="AJ20" t="str">
        <v>1756-IF16</v>
      </c>
      <c r="AM20" t="str">
        <v>1734-TB</v>
      </c>
      <c r="AR20" t="str">
        <v>20G2AND415JA0NNNNN</v>
      </c>
    </row>
    <row r="21" spans="1:44" x14ac:dyDescent="0.25">
      <c r="A21" s="6" t="str">
        <v>IOL</v>
      </c>
      <c r="E21" t="str">
        <v>AEK115</v>
      </c>
      <c r="P21" t="str">
        <v>J&lt;=30</v>
      </c>
      <c r="AF21" t="str">
        <v>800T-X559JE</v>
      </c>
      <c r="AJ21" t="str">
        <v>1756-IF4FXOF2F</v>
      </c>
      <c r="AM21" t="str">
        <v>1734-VTM</v>
      </c>
    </row>
    <row r="22" spans="1:44" x14ac:dyDescent="0.25">
      <c r="A22" s="6" t="str">
        <v>Labor</v>
      </c>
      <c r="E22" t="str">
        <v>ATEMNO</v>
      </c>
      <c r="P22" t="str">
        <v>J&lt;=60</v>
      </c>
      <c r="AF22" t="str">
        <v>800T-X646EM</v>
      </c>
      <c r="AJ22" t="str">
        <v>1756-IF8</v>
      </c>
      <c r="AM22" t="str">
        <v>1794-AENTR</v>
      </c>
    </row>
    <row r="23" spans="1:44" x14ac:dyDescent="0.25">
      <c r="A23" s="6" t="str">
        <v>MCCB</v>
      </c>
      <c r="E23" t="str">
        <v>AU8424FEP</v>
      </c>
      <c r="P23" t="str">
        <v>JLS010</v>
      </c>
      <c r="AF23" t="str">
        <v>800T-XA1</v>
      </c>
      <c r="AJ23" t="str">
        <v>1756-IF8I</v>
      </c>
    </row>
    <row r="24" spans="1:44" x14ac:dyDescent="0.25">
      <c r="A24" s="6" t="str">
        <v>MCCB-MAG</v>
      </c>
      <c r="E24" t="str">
        <v>AU8424FGK</v>
      </c>
      <c r="P24" t="str">
        <v>JLS020</v>
      </c>
      <c r="AF24" t="str">
        <v>800T-XD2</v>
      </c>
      <c r="AJ24" t="str">
        <v>1756-L81ES</v>
      </c>
    </row>
    <row r="25" spans="1:44" x14ac:dyDescent="0.25">
      <c r="A25" s="6" t="str">
        <v>MCP</v>
      </c>
      <c r="E25" t="str">
        <v>AU84X4024BLP</v>
      </c>
      <c r="P25" t="str">
        <v>JLS030</v>
      </c>
      <c r="AF25" t="str">
        <v>ASPB</v>
      </c>
      <c r="AJ25" t="str">
        <v>1756-L82E</v>
      </c>
    </row>
    <row r="26" spans="1:44" x14ac:dyDescent="0.25">
      <c r="A26" s="6" t="str">
        <v>MISC</v>
      </c>
      <c r="E26" t="str">
        <v>AU84X4024LLP</v>
      </c>
      <c r="P26" t="str">
        <v>JLS035</v>
      </c>
      <c r="AJ26" t="str">
        <v>1756-L82ES</v>
      </c>
    </row>
    <row r="27" spans="1:44" x14ac:dyDescent="0.25">
      <c r="A27" s="6" t="str">
        <v>MPCB</v>
      </c>
      <c r="E27" t="str">
        <v>AU84X4024RLP</v>
      </c>
      <c r="P27" t="str">
        <v>JLS045</v>
      </c>
      <c r="AJ27" t="str">
        <v>1756-L83ES</v>
      </c>
    </row>
    <row r="28" spans="1:44" x14ac:dyDescent="0.25">
      <c r="A28" s="6" t="str">
        <v>MTR</v>
      </c>
      <c r="E28" t="str">
        <v>AU84X7824BLP</v>
      </c>
      <c r="P28" t="str">
        <v>JLS050</v>
      </c>
      <c r="AJ28" t="str">
        <v>1756-L84ES</v>
      </c>
    </row>
    <row r="29" spans="1:44" x14ac:dyDescent="0.25">
      <c r="A29" s="6" t="str">
        <v>OL</v>
      </c>
      <c r="E29" t="str">
        <v>AU84X7824LLP</v>
      </c>
      <c r="P29" t="str">
        <v>JLS070</v>
      </c>
      <c r="AJ29" t="str">
        <v>1756-L8SP</v>
      </c>
    </row>
    <row r="30" spans="1:44" x14ac:dyDescent="0.25">
      <c r="A30" s="6" t="str">
        <v>OS</v>
      </c>
      <c r="E30" t="str">
        <v>AU84X7824RLP</v>
      </c>
      <c r="P30" t="str">
        <v>JLS090</v>
      </c>
      <c r="AJ30" t="str">
        <v>1756-N2</v>
      </c>
    </row>
    <row r="31" spans="1:44" x14ac:dyDescent="0.25">
      <c r="A31" s="6" t="str">
        <v>OSMNT</v>
      </c>
      <c r="E31" t="str">
        <v>AU9024EPT</v>
      </c>
      <c r="P31" t="str">
        <v>JLS100</v>
      </c>
      <c r="AJ31" t="str">
        <v>1756-OA16</v>
      </c>
    </row>
    <row r="32" spans="1:44" x14ac:dyDescent="0.25">
      <c r="A32" s="6" t="str">
        <v>PB</v>
      </c>
      <c r="E32" t="str">
        <v>AU9024FGK</v>
      </c>
      <c r="P32" t="str">
        <v>JLS125</v>
      </c>
      <c r="AJ32" t="str">
        <v>1756-OBV8S</v>
      </c>
    </row>
    <row r="33" spans="1:36" x14ac:dyDescent="0.25">
      <c r="A33" s="6" t="str">
        <v>PC</v>
      </c>
      <c r="E33" t="str">
        <v>AU90X4024RLP</v>
      </c>
      <c r="P33" t="str">
        <v>JLS175</v>
      </c>
      <c r="AJ33" t="str">
        <v>1756-OF8</v>
      </c>
    </row>
    <row r="34" spans="1:36" x14ac:dyDescent="0.25">
      <c r="A34" s="6" t="str">
        <v>PDB</v>
      </c>
      <c r="E34" t="str">
        <v>AU90X7824RLP</v>
      </c>
      <c r="P34" t="str">
        <v>JLS200</v>
      </c>
      <c r="AJ34" t="str">
        <v>1756-OW16I</v>
      </c>
    </row>
    <row r="35" spans="1:36" x14ac:dyDescent="0.25">
      <c r="A35" s="6" t="str">
        <v>PL</v>
      </c>
      <c r="E35" t="str">
        <v>CP3024</v>
      </c>
      <c r="P35" t="str">
        <v>JLS300</v>
      </c>
      <c r="AJ35" t="str">
        <v>1756-PA75</v>
      </c>
    </row>
    <row r="36" spans="1:36" x14ac:dyDescent="0.25">
      <c r="A36" s="6" t="str">
        <v>PLC</v>
      </c>
      <c r="E36" t="str">
        <v>CSD243010LG</v>
      </c>
      <c r="P36" t="str">
        <v>JLS350</v>
      </c>
      <c r="AJ36" t="str">
        <v>1756-TBCH</v>
      </c>
    </row>
    <row r="37" spans="1:36" x14ac:dyDescent="0.25">
      <c r="A37" s="6" t="str">
        <v>POT</v>
      </c>
      <c r="E37" t="str">
        <v>LEDA2M35</v>
      </c>
      <c r="P37" t="str">
        <v>JLS400</v>
      </c>
      <c r="AJ37" t="str">
        <v>1756-TBCHS</v>
      </c>
    </row>
    <row r="38" spans="1:36" x14ac:dyDescent="0.25">
      <c r="A38" s="6" t="str">
        <v>RF</v>
      </c>
      <c r="E38" t="str">
        <v>P-R2-K3RF3</v>
      </c>
      <c r="P38" t="str">
        <v>JLS500</v>
      </c>
      <c r="AJ38" t="str">
        <v>1756-TBE</v>
      </c>
    </row>
    <row r="39" spans="1:36" x14ac:dyDescent="0.25">
      <c r="A39" s="6" t="str">
        <v>RIO</v>
      </c>
      <c r="P39" t="str">
        <v>JLS600</v>
      </c>
      <c r="AJ39" t="str">
        <v>1756-TBNH</v>
      </c>
    </row>
    <row r="40" spans="1:36" x14ac:dyDescent="0.25">
      <c r="A40" s="6" t="str">
        <v>SS</v>
      </c>
      <c r="P40" t="str">
        <v>JTD035</v>
      </c>
      <c r="AJ40" t="str">
        <v>1756-TBNHS</v>
      </c>
    </row>
    <row r="41" spans="1:36" x14ac:dyDescent="0.25">
      <c r="A41" s="6" t="str">
        <v>Surge</v>
      </c>
      <c r="P41" t="str">
        <v>JTD060</v>
      </c>
    </row>
    <row r="42" spans="1:36" x14ac:dyDescent="0.25">
      <c r="A42" s="6" t="str">
        <v>SW</v>
      </c>
      <c r="P42" t="str">
        <v>LFJ60030-3CID</v>
      </c>
    </row>
    <row r="43" spans="1:36" x14ac:dyDescent="0.25">
      <c r="A43" s="6" t="str">
        <v>TB</v>
      </c>
      <c r="P43" t="str">
        <v>LFJ60030FBC</v>
      </c>
    </row>
    <row r="44" spans="1:36" x14ac:dyDescent="0.25">
      <c r="A44" s="6" t="str">
        <v>VFD</v>
      </c>
      <c r="P44" t="str">
        <v>LFJ60060-3CID</v>
      </c>
    </row>
    <row r="45" spans="1:36" x14ac:dyDescent="0.25">
      <c r="A45" s="6" t="str">
        <v>VFD-AUX.</v>
      </c>
      <c r="P45" t="str">
        <v>LFJ60060FBC</v>
      </c>
    </row>
    <row r="46" spans="1:36" x14ac:dyDescent="0.25">
      <c r="A46" s="6" t="str">
        <v>WIRE</v>
      </c>
      <c r="P46" t="str">
        <v>LFJ60100-3CID</v>
      </c>
    </row>
    <row r="47" spans="1:36" x14ac:dyDescent="0.25">
      <c r="A47" s="6" t="str">
        <v>WW</v>
      </c>
      <c r="P47" t="str">
        <v>LFJ60100FBC</v>
      </c>
    </row>
    <row r="48" spans="1:36" x14ac:dyDescent="0.25">
      <c r="A48" s="6" t="str">
        <v>XFMR-Ctrl</v>
      </c>
      <c r="P48" t="str">
        <v>LFJ60200-3C</v>
      </c>
    </row>
    <row r="49" spans="1:16" x14ac:dyDescent="0.25">
      <c r="A49" s="6" t="str">
        <v>XR</v>
      </c>
      <c r="P49" t="str">
        <v>LFJ60400-3C</v>
      </c>
    </row>
    <row r="50" spans="1:16" x14ac:dyDescent="0.25">
      <c r="A50" s="6">
        <v>0</v>
      </c>
      <c r="P50" t="str">
        <v>LFJ60600-3C</v>
      </c>
    </row>
    <row r="51" spans="1:16" x14ac:dyDescent="0.25">
      <c r="P51" t="str">
        <v>M9L11120</v>
      </c>
    </row>
    <row r="52" spans="1:16" x14ac:dyDescent="0.25">
      <c r="P52" t="str">
        <v>Plexiglass</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51B5-244D-452A-9F63-7AA1DCCD84D7}">
  <sheetPr codeName="Sheet7">
    <pageSetUpPr fitToPage="1"/>
  </sheetPr>
  <dimension ref="A1:O51"/>
  <sheetViews>
    <sheetView workbookViewId="0">
      <selection activeCell="L14" sqref="L14"/>
    </sheetView>
    <sheetView topLeftCell="A21" workbookViewId="1"/>
  </sheetViews>
  <sheetFormatPr defaultRowHeight="15" x14ac:dyDescent="0.25"/>
  <cols>
    <col min="1" max="1" width="7.42578125" customWidth="1"/>
    <col min="2" max="2" width="10.5703125" bestFit="1" customWidth="1"/>
    <col min="3" max="3" width="42.85546875" customWidth="1"/>
    <col min="4" max="4" width="5.7109375" style="1" customWidth="1"/>
    <col min="5" max="9" width="9.140625" style="1"/>
    <col min="10" max="10" width="10.140625" style="1" customWidth="1"/>
    <col min="11" max="11" width="13.7109375" style="137" customWidth="1"/>
    <col min="12" max="12" width="13.85546875" customWidth="1"/>
    <col min="13" max="13" width="16.85546875" customWidth="1"/>
    <col min="14" max="14" width="13.42578125" customWidth="1"/>
    <col min="15" max="15" width="14.28515625" customWidth="1"/>
  </cols>
  <sheetData>
    <row r="1" spans="1:15" ht="15.75" thickBot="1" x14ac:dyDescent="0.3">
      <c r="A1" s="76"/>
      <c r="B1" s="77"/>
      <c r="C1" s="77"/>
      <c r="D1" s="118"/>
      <c r="E1" s="118"/>
      <c r="F1" s="118"/>
      <c r="G1" s="118"/>
      <c r="H1" s="118"/>
      <c r="I1" s="118"/>
      <c r="J1" s="118"/>
      <c r="K1" s="132"/>
      <c r="L1" s="77"/>
      <c r="M1" s="77"/>
      <c r="N1" s="61" t="s">
        <v>1366</v>
      </c>
      <c r="O1" s="62">
        <f>CoverPage!F9</f>
        <v>0</v>
      </c>
    </row>
    <row r="2" spans="1:15" ht="15.75" thickBot="1" x14ac:dyDescent="0.3">
      <c r="A2" s="38"/>
      <c r="K2" s="133"/>
      <c r="N2" s="61" t="s">
        <v>1367</v>
      </c>
      <c r="O2" s="62">
        <f>CoverPage!F10</f>
        <v>0</v>
      </c>
    </row>
    <row r="3" spans="1:15" ht="15.75" thickBot="1" x14ac:dyDescent="0.3">
      <c r="A3" s="38"/>
      <c r="K3" s="133"/>
      <c r="N3" s="63" t="s">
        <v>40</v>
      </c>
      <c r="O3" s="64">
        <f>CoverPage!F11</f>
        <v>0</v>
      </c>
    </row>
    <row r="4" spans="1:15" ht="33.75" customHeight="1" x14ac:dyDescent="0.25">
      <c r="A4" s="38"/>
      <c r="E4" s="134" t="s">
        <v>1362</v>
      </c>
      <c r="K4" s="133"/>
      <c r="O4" s="83"/>
    </row>
    <row r="5" spans="1:15" hidden="1" x14ac:dyDescent="0.25">
      <c r="A5" s="38"/>
      <c r="K5" s="133"/>
      <c r="O5" s="83"/>
    </row>
    <row r="6" spans="1:15" hidden="1" x14ac:dyDescent="0.25">
      <c r="A6" s="38"/>
      <c r="K6" s="133"/>
      <c r="O6" s="83"/>
    </row>
    <row r="7" spans="1:15" x14ac:dyDescent="0.25">
      <c r="A7" s="38"/>
      <c r="K7" s="133"/>
      <c r="O7" s="83"/>
    </row>
    <row r="8" spans="1:15" x14ac:dyDescent="0.25">
      <c r="A8" s="38"/>
      <c r="K8" s="133"/>
      <c r="O8" s="83"/>
    </row>
    <row r="9" spans="1:15" ht="15.75" thickBot="1" x14ac:dyDescent="0.3">
      <c r="A9" s="39"/>
      <c r="B9" s="4"/>
      <c r="C9" s="4"/>
      <c r="D9" s="119"/>
      <c r="E9" s="119"/>
      <c r="F9" s="119"/>
      <c r="G9" s="119"/>
      <c r="H9" s="119"/>
      <c r="I9" s="119"/>
      <c r="J9" s="119"/>
      <c r="K9" s="135"/>
      <c r="L9" s="4"/>
      <c r="M9" s="4"/>
      <c r="N9" s="4"/>
      <c r="O9" s="40"/>
    </row>
    <row r="10" spans="1:15" ht="25.5" x14ac:dyDescent="0.25">
      <c r="A10" s="178" t="s">
        <v>901</v>
      </c>
      <c r="B10" s="176" t="s">
        <v>1453</v>
      </c>
      <c r="C10" s="176" t="s">
        <v>1454</v>
      </c>
      <c r="D10" s="176" t="s">
        <v>172</v>
      </c>
      <c r="E10" s="90" t="s">
        <v>1442</v>
      </c>
      <c r="F10" s="90" t="s">
        <v>1443</v>
      </c>
      <c r="G10" s="90" t="s">
        <v>1444</v>
      </c>
      <c r="H10" s="90" t="s">
        <v>1445</v>
      </c>
      <c r="I10" s="90" t="s">
        <v>1446</v>
      </c>
      <c r="J10" s="106" t="s">
        <v>1455</v>
      </c>
      <c r="K10" s="123" t="s">
        <v>1447</v>
      </c>
      <c r="L10" s="103" t="s">
        <v>1448</v>
      </c>
      <c r="M10" s="103" t="s">
        <v>1451</v>
      </c>
      <c r="N10" s="176" t="s">
        <v>1449</v>
      </c>
      <c r="O10" s="171" t="s">
        <v>1450</v>
      </c>
    </row>
    <row r="11" spans="1:15" ht="15.75" thickBot="1" x14ac:dyDescent="0.3">
      <c r="A11" s="179"/>
      <c r="B11" s="180"/>
      <c r="C11" s="180"/>
      <c r="D11" s="180"/>
      <c r="E11" s="91">
        <v>145</v>
      </c>
      <c r="F11" s="91">
        <v>125</v>
      </c>
      <c r="G11" s="91">
        <v>125</v>
      </c>
      <c r="H11" s="91">
        <v>125</v>
      </c>
      <c r="I11" s="91">
        <v>125</v>
      </c>
      <c r="J11" s="91">
        <v>125</v>
      </c>
      <c r="K11" s="124"/>
      <c r="L11" s="125"/>
      <c r="M11" s="125"/>
      <c r="N11" s="177"/>
      <c r="O11" s="172"/>
    </row>
    <row r="12" spans="1:15" x14ac:dyDescent="0.25">
      <c r="A12" s="105">
        <v>1010</v>
      </c>
      <c r="B12" s="34" t="str">
        <f>'EstDetail-1010'!B2</f>
        <v>DRV01</v>
      </c>
      <c r="C12" s="141" t="str">
        <f>'EstDetail-1010'!D2</f>
        <v>Entry Drive Panel</v>
      </c>
      <c r="D12" s="36">
        <v>1</v>
      </c>
      <c r="E12" s="142">
        <f>'EstDetail-1010'!R200 * D13</f>
        <v>263.50000000000006</v>
      </c>
      <c r="F12" s="142"/>
      <c r="G12" s="142"/>
      <c r="H12" s="142">
        <f>'EstDetail-1010'!Q200 * D12</f>
        <v>0</v>
      </c>
      <c r="I12" s="142"/>
      <c r="J12" s="142">
        <f>'EstDetail-1010'!S200 * D13</f>
        <v>246.45000000000002</v>
      </c>
      <c r="K12" s="143">
        <f>'EstDetail-1010'!P200 * D12</f>
        <v>345123.62303000002</v>
      </c>
      <c r="L12" s="110"/>
      <c r="M12" s="111"/>
      <c r="N12" s="121">
        <f>M12+L12+K12</f>
        <v>345123.62303000002</v>
      </c>
      <c r="O12" s="122">
        <f>N12+(J12*$J$11)+(I12*$I$11)+(H12*$H$11)+(G12*$G$11)+(F12*$F$11)+(E12*$E$11)</f>
        <v>414137.37303000002</v>
      </c>
    </row>
    <row r="13" spans="1:15" x14ac:dyDescent="0.25">
      <c r="A13" s="104">
        <v>1020</v>
      </c>
      <c r="B13" s="34" t="str">
        <f>'EstDetail-1020'!B2</f>
        <v>LVM01</v>
      </c>
      <c r="C13" s="141" t="str">
        <f>'EstDetail-1020'!D2</f>
        <v>Leveler Entry IO</v>
      </c>
      <c r="D13" s="36">
        <v>1</v>
      </c>
      <c r="E13" s="142">
        <f>'EstDetail-1020'!R200 * D13</f>
        <v>71.5</v>
      </c>
      <c r="F13" s="142"/>
      <c r="G13" s="142"/>
      <c r="H13" s="142">
        <f>'EstDetail-1020'!Q200 * D13</f>
        <v>11.2</v>
      </c>
      <c r="I13" s="142"/>
      <c r="J13" s="142">
        <f>'EstDetail-1020'!S200 * D13</f>
        <v>66</v>
      </c>
      <c r="K13" s="143">
        <f>'EstDetail-1020'!P200 * D13</f>
        <v>30962.257479999997</v>
      </c>
      <c r="L13" s="112"/>
      <c r="M13" s="113"/>
      <c r="N13" s="121">
        <f t="shared" ref="N13:N51" si="0">M13+L13+K13</f>
        <v>30962.257479999997</v>
      </c>
      <c r="O13" s="122">
        <f t="shared" ref="O13:O45" si="1">N13+(J13*$J$11)+(I13*$I$11)+(H13*$H$11)+(G13*$G$11)+(F13*$F$11)+(E13*$E$11)</f>
        <v>50979.75748</v>
      </c>
    </row>
    <row r="14" spans="1:15" x14ac:dyDescent="0.25">
      <c r="A14" s="104"/>
      <c r="B14" s="34"/>
      <c r="C14" s="141"/>
      <c r="D14" s="36"/>
      <c r="E14" s="142"/>
      <c r="F14" s="142"/>
      <c r="G14" s="142"/>
      <c r="H14" s="142"/>
      <c r="I14" s="142"/>
      <c r="J14" s="142"/>
      <c r="K14" s="143"/>
      <c r="L14" s="112"/>
      <c r="M14" s="113"/>
      <c r="N14" s="121">
        <f t="shared" si="0"/>
        <v>0</v>
      </c>
      <c r="O14" s="122">
        <f t="shared" si="1"/>
        <v>0</v>
      </c>
    </row>
    <row r="15" spans="1:15" x14ac:dyDescent="0.25">
      <c r="A15" s="104"/>
      <c r="B15" s="34"/>
      <c r="C15" s="141"/>
      <c r="D15" s="36"/>
      <c r="E15" s="142"/>
      <c r="F15" s="142"/>
      <c r="G15" s="142"/>
      <c r="H15" s="142"/>
      <c r="I15" s="142"/>
      <c r="J15" s="142"/>
      <c r="K15" s="143"/>
      <c r="L15" s="112"/>
      <c r="M15" s="113"/>
      <c r="N15" s="121">
        <f t="shared" si="0"/>
        <v>0</v>
      </c>
      <c r="O15" s="122">
        <f t="shared" si="1"/>
        <v>0</v>
      </c>
    </row>
    <row r="16" spans="1:15" x14ac:dyDescent="0.25">
      <c r="A16" s="104"/>
      <c r="B16" s="34"/>
      <c r="C16" s="141"/>
      <c r="D16" s="36"/>
      <c r="E16" s="142"/>
      <c r="F16" s="142"/>
      <c r="G16" s="142"/>
      <c r="H16" s="142"/>
      <c r="I16" s="142"/>
      <c r="J16" s="142"/>
      <c r="K16" s="143"/>
      <c r="L16" s="112"/>
      <c r="M16" s="113"/>
      <c r="N16" s="121">
        <f t="shared" si="0"/>
        <v>0</v>
      </c>
      <c r="O16" s="122">
        <f t="shared" si="1"/>
        <v>0</v>
      </c>
    </row>
    <row r="17" spans="1:15" x14ac:dyDescent="0.25">
      <c r="A17" s="104"/>
      <c r="B17" s="34"/>
      <c r="C17" s="141"/>
      <c r="D17" s="36"/>
      <c r="E17" s="142"/>
      <c r="F17" s="142"/>
      <c r="G17" s="142"/>
      <c r="H17" s="142"/>
      <c r="I17" s="142"/>
      <c r="J17" s="142"/>
      <c r="K17" s="143"/>
      <c r="L17" s="112"/>
      <c r="M17" s="113"/>
      <c r="N17" s="121">
        <f t="shared" si="0"/>
        <v>0</v>
      </c>
      <c r="O17" s="122">
        <f t="shared" si="1"/>
        <v>0</v>
      </c>
    </row>
    <row r="18" spans="1:15" x14ac:dyDescent="0.25">
      <c r="A18" s="104"/>
      <c r="B18" s="34"/>
      <c r="C18" s="141"/>
      <c r="D18" s="36"/>
      <c r="E18" s="142"/>
      <c r="F18" s="142"/>
      <c r="G18" s="142"/>
      <c r="H18" s="142"/>
      <c r="I18" s="142"/>
      <c r="J18" s="142"/>
      <c r="K18" s="143"/>
      <c r="L18" s="112"/>
      <c r="M18" s="113"/>
      <c r="N18" s="121">
        <f t="shared" si="0"/>
        <v>0</v>
      </c>
      <c r="O18" s="122">
        <f t="shared" si="1"/>
        <v>0</v>
      </c>
    </row>
    <row r="19" spans="1:15" x14ac:dyDescent="0.25">
      <c r="A19" s="104"/>
      <c r="B19" s="34"/>
      <c r="C19" s="141"/>
      <c r="D19" s="36"/>
      <c r="E19" s="142"/>
      <c r="F19" s="142"/>
      <c r="G19" s="142"/>
      <c r="H19" s="142"/>
      <c r="I19" s="142"/>
      <c r="J19" s="142"/>
      <c r="K19" s="143"/>
      <c r="L19" s="112"/>
      <c r="M19" s="113"/>
      <c r="N19" s="121">
        <f t="shared" si="0"/>
        <v>0</v>
      </c>
      <c r="O19" s="122">
        <f t="shared" si="1"/>
        <v>0</v>
      </c>
    </row>
    <row r="20" spans="1:15" x14ac:dyDescent="0.25">
      <c r="A20" s="104"/>
      <c r="B20" s="34"/>
      <c r="C20" s="141"/>
      <c r="D20" s="36"/>
      <c r="E20" s="142"/>
      <c r="F20" s="142"/>
      <c r="G20" s="142"/>
      <c r="H20" s="142"/>
      <c r="I20" s="142"/>
      <c r="J20" s="142"/>
      <c r="K20" s="143"/>
      <c r="L20" s="112"/>
      <c r="M20" s="113"/>
      <c r="N20" s="121">
        <f t="shared" si="0"/>
        <v>0</v>
      </c>
      <c r="O20" s="122">
        <f t="shared" si="1"/>
        <v>0</v>
      </c>
    </row>
    <row r="21" spans="1:15" x14ac:dyDescent="0.25">
      <c r="A21" s="104"/>
      <c r="B21" s="34"/>
      <c r="C21" s="141"/>
      <c r="D21" s="36"/>
      <c r="E21" s="142"/>
      <c r="F21" s="142"/>
      <c r="G21" s="142"/>
      <c r="H21" s="142"/>
      <c r="I21" s="142"/>
      <c r="J21" s="142"/>
      <c r="K21" s="143"/>
      <c r="L21" s="112"/>
      <c r="M21" s="113"/>
      <c r="N21" s="121">
        <f t="shared" si="0"/>
        <v>0</v>
      </c>
      <c r="O21" s="122">
        <f t="shared" si="1"/>
        <v>0</v>
      </c>
    </row>
    <row r="22" spans="1:15" x14ac:dyDescent="0.25">
      <c r="A22" s="104"/>
      <c r="B22" s="34"/>
      <c r="C22" s="141"/>
      <c r="D22" s="36"/>
      <c r="E22" s="142"/>
      <c r="F22" s="142"/>
      <c r="G22" s="142"/>
      <c r="H22" s="142"/>
      <c r="I22" s="142"/>
      <c r="J22" s="142"/>
      <c r="K22" s="143"/>
      <c r="L22" s="112"/>
      <c r="M22" s="113"/>
      <c r="N22" s="121">
        <f t="shared" si="0"/>
        <v>0</v>
      </c>
      <c r="O22" s="122">
        <f t="shared" si="1"/>
        <v>0</v>
      </c>
    </row>
    <row r="23" spans="1:15" x14ac:dyDescent="0.25">
      <c r="A23" s="104"/>
      <c r="B23" s="34"/>
      <c r="C23" s="141"/>
      <c r="D23" s="36"/>
      <c r="E23" s="142"/>
      <c r="F23" s="142"/>
      <c r="G23" s="142"/>
      <c r="H23" s="142"/>
      <c r="I23" s="142"/>
      <c r="J23" s="142"/>
      <c r="K23" s="143"/>
      <c r="L23" s="112"/>
      <c r="M23" s="113"/>
      <c r="N23" s="121">
        <f t="shared" si="0"/>
        <v>0</v>
      </c>
      <c r="O23" s="122">
        <f t="shared" si="1"/>
        <v>0</v>
      </c>
    </row>
    <row r="24" spans="1:15" x14ac:dyDescent="0.25">
      <c r="A24" s="102"/>
      <c r="B24" s="34"/>
      <c r="C24" s="141"/>
      <c r="D24" s="36"/>
      <c r="E24" s="142"/>
      <c r="F24" s="142"/>
      <c r="G24" s="142"/>
      <c r="H24" s="142"/>
      <c r="I24" s="142"/>
      <c r="J24" s="142"/>
      <c r="K24" s="143"/>
      <c r="L24" s="112"/>
      <c r="M24" s="113"/>
      <c r="N24" s="121">
        <f t="shared" si="0"/>
        <v>0</v>
      </c>
      <c r="O24" s="122">
        <f t="shared" si="1"/>
        <v>0</v>
      </c>
    </row>
    <row r="25" spans="1:15" x14ac:dyDescent="0.25">
      <c r="A25" s="102"/>
      <c r="B25" s="34"/>
      <c r="C25" s="141"/>
      <c r="D25" s="36"/>
      <c r="E25" s="142"/>
      <c r="F25" s="142"/>
      <c r="G25" s="142"/>
      <c r="H25" s="142"/>
      <c r="I25" s="142"/>
      <c r="J25" s="142"/>
      <c r="K25" s="143"/>
      <c r="L25" s="112"/>
      <c r="M25" s="113"/>
      <c r="N25" s="121">
        <f t="shared" si="0"/>
        <v>0</v>
      </c>
      <c r="O25" s="122">
        <f t="shared" si="1"/>
        <v>0</v>
      </c>
    </row>
    <row r="26" spans="1:15" x14ac:dyDescent="0.25">
      <c r="A26" s="102"/>
      <c r="B26" s="34"/>
      <c r="C26" s="141"/>
      <c r="D26" s="36"/>
      <c r="E26" s="142"/>
      <c r="F26" s="142"/>
      <c r="G26" s="142"/>
      <c r="H26" s="142"/>
      <c r="I26" s="142"/>
      <c r="J26" s="142"/>
      <c r="K26" s="143"/>
      <c r="L26" s="112"/>
      <c r="M26" s="113"/>
      <c r="N26" s="121">
        <f t="shared" si="0"/>
        <v>0</v>
      </c>
      <c r="O26" s="122">
        <f t="shared" si="1"/>
        <v>0</v>
      </c>
    </row>
    <row r="27" spans="1:15" x14ac:dyDescent="0.25">
      <c r="A27" s="102"/>
      <c r="B27" s="34"/>
      <c r="C27" s="141"/>
      <c r="D27" s="36"/>
      <c r="E27" s="142"/>
      <c r="F27" s="142"/>
      <c r="G27" s="142"/>
      <c r="H27" s="142"/>
      <c r="I27" s="142"/>
      <c r="J27" s="142"/>
      <c r="K27" s="143"/>
      <c r="L27" s="112"/>
      <c r="M27" s="113"/>
      <c r="N27" s="121">
        <f t="shared" si="0"/>
        <v>0</v>
      </c>
      <c r="O27" s="122">
        <f t="shared" si="1"/>
        <v>0</v>
      </c>
    </row>
    <row r="28" spans="1:15" x14ac:dyDescent="0.25">
      <c r="A28" s="102"/>
      <c r="B28" s="34"/>
      <c r="C28" s="141"/>
      <c r="D28" s="36"/>
      <c r="E28" s="142"/>
      <c r="F28" s="142"/>
      <c r="G28" s="142"/>
      <c r="H28" s="142"/>
      <c r="I28" s="142"/>
      <c r="J28" s="142"/>
      <c r="K28" s="143"/>
      <c r="L28" s="112"/>
      <c r="M28" s="113"/>
      <c r="N28" s="121">
        <f t="shared" si="0"/>
        <v>0</v>
      </c>
      <c r="O28" s="122">
        <f t="shared" si="1"/>
        <v>0</v>
      </c>
    </row>
    <row r="29" spans="1:15" x14ac:dyDescent="0.25">
      <c r="A29" s="102"/>
      <c r="B29" s="34"/>
      <c r="C29" s="141"/>
      <c r="D29" s="36"/>
      <c r="E29" s="142"/>
      <c r="F29" s="142"/>
      <c r="G29" s="142"/>
      <c r="H29" s="142"/>
      <c r="I29" s="142"/>
      <c r="J29" s="142"/>
      <c r="K29" s="143"/>
      <c r="L29" s="112"/>
      <c r="M29" s="113"/>
      <c r="N29" s="121">
        <f t="shared" si="0"/>
        <v>0</v>
      </c>
      <c r="O29" s="122">
        <f t="shared" si="1"/>
        <v>0</v>
      </c>
    </row>
    <row r="30" spans="1:15" x14ac:dyDescent="0.25">
      <c r="A30" s="102"/>
      <c r="B30" s="34"/>
      <c r="C30" s="141"/>
      <c r="D30" s="36"/>
      <c r="E30" s="142"/>
      <c r="F30" s="142"/>
      <c r="G30" s="142"/>
      <c r="H30" s="142"/>
      <c r="I30" s="142"/>
      <c r="J30" s="142"/>
      <c r="K30" s="143"/>
      <c r="L30" s="112"/>
      <c r="M30" s="113"/>
      <c r="N30" s="121">
        <f t="shared" si="0"/>
        <v>0</v>
      </c>
      <c r="O30" s="122">
        <f t="shared" si="1"/>
        <v>0</v>
      </c>
    </row>
    <row r="31" spans="1:15" x14ac:dyDescent="0.25">
      <c r="A31" s="102"/>
      <c r="B31" s="34"/>
      <c r="C31" s="141"/>
      <c r="D31" s="36"/>
      <c r="E31" s="142"/>
      <c r="F31" s="142"/>
      <c r="G31" s="142"/>
      <c r="H31" s="142"/>
      <c r="I31" s="142"/>
      <c r="J31" s="142"/>
      <c r="K31" s="143"/>
      <c r="L31" s="112"/>
      <c r="M31" s="113"/>
      <c r="N31" s="121">
        <f t="shared" si="0"/>
        <v>0</v>
      </c>
      <c r="O31" s="122">
        <f t="shared" si="1"/>
        <v>0</v>
      </c>
    </row>
    <row r="32" spans="1:15" x14ac:dyDescent="0.25">
      <c r="A32" s="102"/>
      <c r="B32" s="34"/>
      <c r="C32" s="141"/>
      <c r="D32" s="36"/>
      <c r="E32" s="142"/>
      <c r="F32" s="142"/>
      <c r="G32" s="142"/>
      <c r="H32" s="142"/>
      <c r="I32" s="142"/>
      <c r="J32" s="142"/>
      <c r="K32" s="143"/>
      <c r="L32" s="112"/>
      <c r="M32" s="113"/>
      <c r="N32" s="121">
        <f t="shared" si="0"/>
        <v>0</v>
      </c>
      <c r="O32" s="122">
        <f t="shared" si="1"/>
        <v>0</v>
      </c>
    </row>
    <row r="33" spans="1:15" x14ac:dyDescent="0.25">
      <c r="A33" s="102"/>
      <c r="B33" s="34"/>
      <c r="C33" s="141"/>
      <c r="D33" s="36"/>
      <c r="E33" s="142"/>
      <c r="F33" s="142"/>
      <c r="G33" s="142"/>
      <c r="H33" s="142"/>
      <c r="I33" s="142"/>
      <c r="J33" s="142"/>
      <c r="K33" s="143"/>
      <c r="L33" s="112"/>
      <c r="M33" s="113"/>
      <c r="N33" s="121">
        <f t="shared" si="0"/>
        <v>0</v>
      </c>
      <c r="O33" s="122">
        <f t="shared" si="1"/>
        <v>0</v>
      </c>
    </row>
    <row r="34" spans="1:15" x14ac:dyDescent="0.25">
      <c r="A34" s="102"/>
      <c r="B34" s="34"/>
      <c r="C34" s="141"/>
      <c r="D34" s="36"/>
      <c r="E34" s="142"/>
      <c r="F34" s="142"/>
      <c r="G34" s="142"/>
      <c r="H34" s="142"/>
      <c r="I34" s="142"/>
      <c r="J34" s="142"/>
      <c r="K34" s="143"/>
      <c r="L34" s="112"/>
      <c r="M34" s="113"/>
      <c r="N34" s="121">
        <f t="shared" si="0"/>
        <v>0</v>
      </c>
      <c r="O34" s="122">
        <f t="shared" si="1"/>
        <v>0</v>
      </c>
    </row>
    <row r="35" spans="1:15" x14ac:dyDescent="0.25">
      <c r="A35" s="102"/>
      <c r="B35" s="34"/>
      <c r="C35" s="141"/>
      <c r="D35" s="36"/>
      <c r="E35" s="142"/>
      <c r="F35" s="142"/>
      <c r="G35" s="142"/>
      <c r="H35" s="142"/>
      <c r="I35" s="142"/>
      <c r="J35" s="142"/>
      <c r="K35" s="143"/>
      <c r="L35" s="112"/>
      <c r="M35" s="113"/>
      <c r="N35" s="121">
        <f t="shared" si="0"/>
        <v>0</v>
      </c>
      <c r="O35" s="122">
        <f t="shared" si="1"/>
        <v>0</v>
      </c>
    </row>
    <row r="36" spans="1:15" x14ac:dyDescent="0.25">
      <c r="A36" s="102"/>
      <c r="B36" s="34"/>
      <c r="C36" s="141"/>
      <c r="D36" s="36"/>
      <c r="E36" s="142"/>
      <c r="F36" s="142"/>
      <c r="G36" s="142"/>
      <c r="H36" s="142"/>
      <c r="I36" s="142"/>
      <c r="J36" s="142"/>
      <c r="K36" s="143"/>
      <c r="L36" s="112"/>
      <c r="M36" s="113"/>
      <c r="N36" s="121">
        <f t="shared" si="0"/>
        <v>0</v>
      </c>
      <c r="O36" s="122">
        <f t="shared" si="1"/>
        <v>0</v>
      </c>
    </row>
    <row r="37" spans="1:15" x14ac:dyDescent="0.25">
      <c r="A37" s="102"/>
      <c r="B37" s="34"/>
      <c r="C37" s="141"/>
      <c r="D37" s="36"/>
      <c r="E37" s="142"/>
      <c r="F37" s="142"/>
      <c r="G37" s="142"/>
      <c r="H37" s="142"/>
      <c r="I37" s="142"/>
      <c r="J37" s="142"/>
      <c r="K37" s="143"/>
      <c r="L37" s="112"/>
      <c r="M37" s="113"/>
      <c r="N37" s="121">
        <f t="shared" si="0"/>
        <v>0</v>
      </c>
      <c r="O37" s="122">
        <f t="shared" si="1"/>
        <v>0</v>
      </c>
    </row>
    <row r="38" spans="1:15" x14ac:dyDescent="0.25">
      <c r="A38" s="102"/>
      <c r="B38" s="34"/>
      <c r="C38" s="141"/>
      <c r="D38" s="36"/>
      <c r="E38" s="142"/>
      <c r="F38" s="142"/>
      <c r="G38" s="142"/>
      <c r="H38" s="142"/>
      <c r="I38" s="142"/>
      <c r="J38" s="142"/>
      <c r="K38" s="143"/>
      <c r="L38" s="112"/>
      <c r="M38" s="113"/>
      <c r="N38" s="121">
        <f t="shared" si="0"/>
        <v>0</v>
      </c>
      <c r="O38" s="122">
        <f t="shared" si="1"/>
        <v>0</v>
      </c>
    </row>
    <row r="39" spans="1:15" x14ac:dyDescent="0.25">
      <c r="A39" s="102"/>
      <c r="B39" s="34"/>
      <c r="C39" s="141"/>
      <c r="D39" s="36"/>
      <c r="E39" s="142"/>
      <c r="F39" s="142"/>
      <c r="G39" s="142"/>
      <c r="H39" s="142"/>
      <c r="I39" s="142"/>
      <c r="J39" s="142"/>
      <c r="K39" s="143"/>
      <c r="L39" s="112"/>
      <c r="M39" s="113"/>
      <c r="N39" s="121">
        <f t="shared" si="0"/>
        <v>0</v>
      </c>
      <c r="O39" s="122">
        <f t="shared" si="1"/>
        <v>0</v>
      </c>
    </row>
    <row r="40" spans="1:15" x14ac:dyDescent="0.25">
      <c r="A40" s="102"/>
      <c r="B40" s="34"/>
      <c r="C40" s="141"/>
      <c r="D40" s="36"/>
      <c r="E40" s="142"/>
      <c r="F40" s="142"/>
      <c r="G40" s="142"/>
      <c r="H40" s="142"/>
      <c r="I40" s="142"/>
      <c r="J40" s="142"/>
      <c r="K40" s="143"/>
      <c r="L40" s="112"/>
      <c r="M40" s="113"/>
      <c r="N40" s="121">
        <f t="shared" si="0"/>
        <v>0</v>
      </c>
      <c r="O40" s="122">
        <f t="shared" si="1"/>
        <v>0</v>
      </c>
    </row>
    <row r="41" spans="1:15" x14ac:dyDescent="0.25">
      <c r="A41" s="102"/>
      <c r="B41" s="34"/>
      <c r="C41" s="141"/>
      <c r="D41" s="36"/>
      <c r="E41" s="142"/>
      <c r="F41" s="142"/>
      <c r="G41" s="142"/>
      <c r="H41" s="142"/>
      <c r="I41" s="142"/>
      <c r="J41" s="142"/>
      <c r="K41" s="143"/>
      <c r="L41" s="112"/>
      <c r="M41" s="113"/>
      <c r="N41" s="121">
        <f t="shared" si="0"/>
        <v>0</v>
      </c>
      <c r="O41" s="122">
        <f t="shared" si="1"/>
        <v>0</v>
      </c>
    </row>
    <row r="42" spans="1:15" x14ac:dyDescent="0.25">
      <c r="A42" s="102"/>
      <c r="B42" s="34"/>
      <c r="C42" s="141"/>
      <c r="D42" s="36"/>
      <c r="E42" s="142"/>
      <c r="F42" s="142"/>
      <c r="G42" s="142"/>
      <c r="H42" s="142"/>
      <c r="I42" s="142"/>
      <c r="J42" s="142"/>
      <c r="K42" s="143"/>
      <c r="L42" s="112"/>
      <c r="M42" s="113"/>
      <c r="N42" s="121">
        <f t="shared" si="0"/>
        <v>0</v>
      </c>
      <c r="O42" s="122">
        <f t="shared" si="1"/>
        <v>0</v>
      </c>
    </row>
    <row r="43" spans="1:15" x14ac:dyDescent="0.25">
      <c r="A43" s="102"/>
      <c r="B43" s="34"/>
      <c r="C43" s="141"/>
      <c r="D43" s="36"/>
      <c r="E43" s="142"/>
      <c r="F43" s="142"/>
      <c r="G43" s="142"/>
      <c r="H43" s="142"/>
      <c r="I43" s="142"/>
      <c r="J43" s="142"/>
      <c r="K43" s="143"/>
      <c r="L43" s="112"/>
      <c r="M43" s="113"/>
      <c r="N43" s="121">
        <f t="shared" si="0"/>
        <v>0</v>
      </c>
      <c r="O43" s="122">
        <f t="shared" si="1"/>
        <v>0</v>
      </c>
    </row>
    <row r="44" spans="1:15" x14ac:dyDescent="0.25">
      <c r="A44" s="102"/>
      <c r="B44" s="34"/>
      <c r="C44" s="141"/>
      <c r="D44" s="36"/>
      <c r="E44" s="142"/>
      <c r="F44" s="142"/>
      <c r="G44" s="142"/>
      <c r="H44" s="142"/>
      <c r="I44" s="142"/>
      <c r="J44" s="142"/>
      <c r="K44" s="143"/>
      <c r="L44" s="112"/>
      <c r="M44" s="113"/>
      <c r="N44" s="121">
        <f t="shared" si="0"/>
        <v>0</v>
      </c>
      <c r="O44" s="122">
        <f t="shared" si="1"/>
        <v>0</v>
      </c>
    </row>
    <row r="45" spans="1:15" x14ac:dyDescent="0.25">
      <c r="A45" s="102"/>
      <c r="B45" s="34"/>
      <c r="C45" s="141"/>
      <c r="D45" s="36"/>
      <c r="E45" s="142"/>
      <c r="F45" s="142"/>
      <c r="G45" s="142"/>
      <c r="H45" s="142"/>
      <c r="I45" s="142"/>
      <c r="J45" s="142"/>
      <c r="K45" s="143"/>
      <c r="L45" s="112"/>
      <c r="M45" s="113"/>
      <c r="N45" s="121">
        <f t="shared" si="0"/>
        <v>0</v>
      </c>
      <c r="O45" s="122">
        <f t="shared" si="1"/>
        <v>0</v>
      </c>
    </row>
    <row r="46" spans="1:15" x14ac:dyDescent="0.25">
      <c r="A46" s="102"/>
      <c r="B46" s="34"/>
      <c r="C46" s="141"/>
      <c r="D46" s="36"/>
      <c r="E46" s="142"/>
      <c r="F46" s="142"/>
      <c r="G46" s="142"/>
      <c r="H46" s="142"/>
      <c r="I46" s="142"/>
      <c r="J46" s="142"/>
      <c r="K46" s="143"/>
      <c r="L46" s="112"/>
      <c r="M46" s="113"/>
      <c r="N46" s="121">
        <f t="shared" ref="N46:N50" si="2">M46+L46+K46</f>
        <v>0</v>
      </c>
      <c r="O46" s="122">
        <f t="shared" ref="O46:O50" si="3">N46+(J46*$J$11)+(I46*$I$11)+(H46*$H$11)+(G46*$G$11)+(F46*$F$11)+(E46*$E$11)</f>
        <v>0</v>
      </c>
    </row>
    <row r="47" spans="1:15" x14ac:dyDescent="0.25">
      <c r="A47" s="102"/>
      <c r="B47" s="34"/>
      <c r="C47" s="141"/>
      <c r="D47" s="36"/>
      <c r="E47" s="142"/>
      <c r="F47" s="142"/>
      <c r="G47" s="142"/>
      <c r="H47" s="142"/>
      <c r="I47" s="142"/>
      <c r="J47" s="142"/>
      <c r="K47" s="143"/>
      <c r="L47" s="112"/>
      <c r="M47" s="113"/>
      <c r="N47" s="121">
        <f t="shared" si="2"/>
        <v>0</v>
      </c>
      <c r="O47" s="122">
        <f t="shared" si="3"/>
        <v>0</v>
      </c>
    </row>
    <row r="48" spans="1:15" x14ac:dyDescent="0.25">
      <c r="A48" s="102"/>
      <c r="B48" s="34"/>
      <c r="C48" s="141"/>
      <c r="D48" s="36"/>
      <c r="E48" s="142"/>
      <c r="F48" s="142"/>
      <c r="G48" s="142"/>
      <c r="H48" s="142"/>
      <c r="I48" s="142"/>
      <c r="J48" s="142"/>
      <c r="K48" s="143"/>
      <c r="L48" s="112"/>
      <c r="M48" s="113"/>
      <c r="N48" s="121">
        <f t="shared" si="2"/>
        <v>0</v>
      </c>
      <c r="O48" s="122">
        <f t="shared" si="3"/>
        <v>0</v>
      </c>
    </row>
    <row r="49" spans="1:15" x14ac:dyDescent="0.25">
      <c r="A49" s="102"/>
      <c r="B49" s="34"/>
      <c r="C49" s="141"/>
      <c r="D49" s="36"/>
      <c r="E49" s="142"/>
      <c r="F49" s="142"/>
      <c r="G49" s="142"/>
      <c r="H49" s="142"/>
      <c r="I49" s="142"/>
      <c r="J49" s="142"/>
      <c r="K49" s="143"/>
      <c r="L49" s="112"/>
      <c r="M49" s="113"/>
      <c r="N49" s="121">
        <f t="shared" si="2"/>
        <v>0</v>
      </c>
      <c r="O49" s="122">
        <f t="shared" si="3"/>
        <v>0</v>
      </c>
    </row>
    <row r="50" spans="1:15" ht="15.75" thickBot="1" x14ac:dyDescent="0.3">
      <c r="A50" s="114"/>
      <c r="B50" s="34"/>
      <c r="C50" s="141"/>
      <c r="D50" s="36"/>
      <c r="E50" s="142"/>
      <c r="F50" s="142"/>
      <c r="G50" s="142"/>
      <c r="H50" s="142"/>
      <c r="I50" s="142"/>
      <c r="J50" s="142"/>
      <c r="K50" s="143"/>
      <c r="L50" s="112"/>
      <c r="M50" s="113"/>
      <c r="N50" s="121">
        <f t="shared" si="2"/>
        <v>0</v>
      </c>
      <c r="O50" s="122">
        <f t="shared" si="3"/>
        <v>0</v>
      </c>
    </row>
    <row r="51" spans="1:15" ht="16.5" thickTop="1" thickBot="1" x14ac:dyDescent="0.3">
      <c r="A51" s="173"/>
      <c r="B51" s="174"/>
      <c r="C51" s="174"/>
      <c r="D51" s="175"/>
      <c r="E51" s="136">
        <f>SUM(E12:E50)</f>
        <v>335.00000000000006</v>
      </c>
      <c r="F51" s="136">
        <f t="shared" ref="F51:K51" si="4">SUM(F12:F50)</f>
        <v>0</v>
      </c>
      <c r="G51" s="136">
        <f t="shared" si="4"/>
        <v>0</v>
      </c>
      <c r="H51" s="136">
        <f t="shared" si="4"/>
        <v>11.2</v>
      </c>
      <c r="I51" s="136">
        <f t="shared" si="4"/>
        <v>0</v>
      </c>
      <c r="J51" s="136">
        <f>SUM(J12:J50)</f>
        <v>312.45000000000005</v>
      </c>
      <c r="K51" s="140">
        <f t="shared" si="4"/>
        <v>376085.88050999999</v>
      </c>
      <c r="L51" s="129"/>
      <c r="M51" s="130"/>
      <c r="N51" s="128">
        <f t="shared" si="0"/>
        <v>376085.88050999999</v>
      </c>
      <c r="O51" s="131">
        <f>SUM(O12:O50)</f>
        <v>465117.13051000005</v>
      </c>
    </row>
  </sheetData>
  <mergeCells count="7">
    <mergeCell ref="O10:O11"/>
    <mergeCell ref="A51:D51"/>
    <mergeCell ref="N10:N11"/>
    <mergeCell ref="A10:A11"/>
    <mergeCell ref="B10:B11"/>
    <mergeCell ref="C10:C11"/>
    <mergeCell ref="D10:D11"/>
  </mergeCells>
  <conditionalFormatting sqref="N10:O10 E10:M11">
    <cfRule type="expression" dxfId="47" priority="4" stopIfTrue="1">
      <formula>NOT(CELL("protect",E10))</formula>
    </cfRule>
  </conditionalFormatting>
  <conditionalFormatting sqref="A10:D10">
    <cfRule type="expression" dxfId="46" priority="3" stopIfTrue="1">
      <formula>NOT(CELL("protect",A10))</formula>
    </cfRule>
  </conditionalFormatting>
  <hyperlinks>
    <hyperlink ref="A12" location="'EstDetail-1010'!A1" display="1010" xr:uid="{BB31618C-C35B-48D9-BCC7-5512BB59F1C2}"/>
    <hyperlink ref="A13" location="'EstDetail-1020'!A1" display="1020" xr:uid="{1DE9BA70-DACF-4842-99C9-DA09578BB284}"/>
  </hyperlinks>
  <pageMargins left="0.7" right="0.7" top="0.75" bottom="0.75" header="0.3" footer="0.3"/>
  <pageSetup scale="4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AddItemAndLink">
                <anchor moveWithCells="1" sizeWithCells="1">
                  <from>
                    <xdr:col>2</xdr:col>
                    <xdr:colOff>352425</xdr:colOff>
                    <xdr:row>6</xdr:row>
                    <xdr:rowOff>152400</xdr:rowOff>
                  </from>
                  <to>
                    <xdr:col>2</xdr:col>
                    <xdr:colOff>2047875</xdr:colOff>
                    <xdr:row>8</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EC5F0-8332-4118-A246-0B3C706F30CC}">
  <sheetPr codeName="Sheet3"/>
  <dimension ref="A1:V33"/>
  <sheetViews>
    <sheetView tabSelected="1" zoomScale="85" zoomScaleNormal="85" workbookViewId="0">
      <selection activeCell="Q8" sqref="Q8"/>
    </sheetView>
    <sheetView tabSelected="1" workbookViewId="1">
      <selection activeCell="B4" sqref="B4"/>
    </sheetView>
  </sheetViews>
  <sheetFormatPr defaultRowHeight="15" x14ac:dyDescent="0.25"/>
  <cols>
    <col min="1" max="1" width="30.28515625" customWidth="1"/>
    <col min="2" max="3" width="10.42578125" customWidth="1"/>
    <col min="5" max="5" width="10.7109375" customWidth="1"/>
    <col min="6" max="6" width="14.7109375" customWidth="1"/>
    <col min="8" max="8" width="12.42578125" bestFit="1" customWidth="1"/>
    <col min="12" max="12" width="14.28515625" bestFit="1" customWidth="1"/>
    <col min="13" max="13" width="14.85546875" bestFit="1" customWidth="1"/>
    <col min="14" max="14" width="11.28515625" bestFit="1" customWidth="1"/>
    <col min="15" max="15" width="15.7109375" customWidth="1"/>
    <col min="16" max="16" width="22.5703125" bestFit="1" customWidth="1"/>
    <col min="17" max="17" width="16.5703125" customWidth="1"/>
    <col min="18" max="18" width="13" customWidth="1"/>
    <col min="19" max="20" width="9.140625" style="1"/>
    <col min="21" max="21" width="11.42578125" style="1" bestFit="1" customWidth="1"/>
    <col min="22" max="22" width="9.140625" style="1"/>
  </cols>
  <sheetData>
    <row r="1" spans="1:22" s="68" customFormat="1" ht="30.75" thickBot="1" x14ac:dyDescent="0.3">
      <c r="A1" s="70" t="s">
        <v>1347</v>
      </c>
      <c r="B1" s="71" t="s">
        <v>1530</v>
      </c>
      <c r="C1" s="71"/>
      <c r="D1" s="71" t="s">
        <v>1348</v>
      </c>
      <c r="E1" s="71" t="s">
        <v>39</v>
      </c>
      <c r="F1" s="71" t="s">
        <v>1349</v>
      </c>
      <c r="G1" s="72" t="s">
        <v>38</v>
      </c>
      <c r="H1" s="72" t="s">
        <v>1350</v>
      </c>
      <c r="I1" s="72" t="s">
        <v>1361</v>
      </c>
      <c r="J1" s="72" t="s">
        <v>172</v>
      </c>
      <c r="K1" s="73" t="s">
        <v>1351</v>
      </c>
      <c r="L1" s="73" t="s">
        <v>1352</v>
      </c>
      <c r="M1" s="73" t="s">
        <v>1353</v>
      </c>
      <c r="N1" s="74" t="s">
        <v>1354</v>
      </c>
      <c r="O1" s="71" t="s">
        <v>1356</v>
      </c>
      <c r="P1" s="71" t="s">
        <v>1378</v>
      </c>
      <c r="Q1" s="71" t="s">
        <v>1384</v>
      </c>
      <c r="R1" s="75" t="s">
        <v>1385</v>
      </c>
      <c r="S1" s="71" t="s">
        <v>39</v>
      </c>
      <c r="T1" s="75" t="s">
        <v>1382</v>
      </c>
      <c r="U1" s="75" t="s">
        <v>1391</v>
      </c>
      <c r="V1" s="75" t="s">
        <v>1383</v>
      </c>
    </row>
    <row r="2" spans="1:22" x14ac:dyDescent="0.25">
      <c r="A2" s="35" t="s">
        <v>1534</v>
      </c>
      <c r="B2" s="35" t="s">
        <v>1524</v>
      </c>
      <c r="C2" s="35"/>
      <c r="D2" s="35"/>
      <c r="E2" s="35"/>
      <c r="F2" s="35" t="s">
        <v>1537</v>
      </c>
      <c r="G2" s="36">
        <v>25</v>
      </c>
      <c r="H2" s="36">
        <v>1750</v>
      </c>
      <c r="I2" s="36">
        <v>460</v>
      </c>
      <c r="J2" s="36">
        <v>1</v>
      </c>
      <c r="K2" s="34">
        <f>IF(ISNUMBER(G2),INDEX(NECMtrFLC!$B$6:$H$32, MATCH(G2, NECMtrFLC!$A$6:$A$32, 0), MATCH(I2, NECMtrFLC!$B$5:$H$5, 0)),"")</f>
        <v>34</v>
      </c>
      <c r="L2" s="34">
        <f>IF(ISNUMBER(J2),J2*K2,"")</f>
        <v>34</v>
      </c>
      <c r="M2" s="37">
        <v>1.5</v>
      </c>
      <c r="N2" s="34">
        <f>IF(ISNUMBER(K2),K2*M2,"")</f>
        <v>51</v>
      </c>
      <c r="O2" s="34" t="str">
        <f>IF(ISNUMBER(N2),INDEX(PartsDB[Rating],MATCH(_xlfn.MINIFS(PartsDB[OutputCurrent],PartsDB[OutputCurrent],"&gt;="&amp;$N2),PartsDB[OutputCurrent],0)),"")</f>
        <v>40</v>
      </c>
      <c r="P2" s="34" t="str">
        <f>IF(ISNUMBER(N2),INDEX(PartsDB[Catalog],MATCH(_xlfn.MINIFS(PartsDB[OutputCurrent],PartsDB[OutputCurrent],"&gt;="&amp;$N2),PartsDB[OutputCurrent],0)),"")</f>
        <v>20G21ND052JA0NNNNN</v>
      </c>
      <c r="Q2" s="34" cm="1">
        <f t="array" ref="Q2">IF(ISNUMBER(J2),_xlfn._xlws.FILTER(PartsDB[InputCurrent],PartsDB[Catalog]=P2),"")</f>
        <v>47</v>
      </c>
      <c r="R2" s="34">
        <f>IF(ISNUMBER(Q2),Q2*J2,"")</f>
        <v>47</v>
      </c>
      <c r="S2" s="34" cm="1">
        <f t="array" ref="S2">IF(ISNUMBER(J2),_xlfn._xlws.FILTER(PartsDB[Frame],PartsDB[Catalog]=P2),"")</f>
        <v>4</v>
      </c>
      <c r="T2" s="34" cm="1">
        <f t="array" ref="T2">IF(ISNUMBER(J2),_xlfn._xlws.FILTER(PartsDB[DimWidth],PartsDB[Catalog]=P2),"")</f>
        <v>8.6999999999999993</v>
      </c>
      <c r="U2" s="34">
        <f t="shared" ref="U2:U4" si="0">IF(ISNUMBER(T2),IF(S2&gt;=4, (4.5+T2)*J2, IF(S2=3, (4+T2)*J2, IF(S2=2, (3.625+T2)*J2, ""))), "")</f>
        <v>13.2</v>
      </c>
      <c r="V2" s="34" cm="1">
        <f t="array" ref="V2">IF(ISNUMBER(J2),_xlfn._xlws.FILTER(PartsDB[Heat Loss]*J2,PartsDB[Catalog]=P2),"")</f>
        <v>590</v>
      </c>
    </row>
    <row r="3" spans="1:22" x14ac:dyDescent="0.25">
      <c r="A3" s="35" t="s">
        <v>1535</v>
      </c>
      <c r="B3" s="35" t="s">
        <v>1524</v>
      </c>
      <c r="C3" s="35"/>
      <c r="D3" s="35"/>
      <c r="E3" s="35"/>
      <c r="F3" s="35"/>
      <c r="G3" s="36">
        <v>50</v>
      </c>
      <c r="H3" s="36">
        <v>1750</v>
      </c>
      <c r="I3" s="36">
        <v>460</v>
      </c>
      <c r="J3" s="36">
        <v>1</v>
      </c>
      <c r="K3" s="34">
        <f>IF(ISNUMBER(G3),INDEX(NECMtrFLC!$B$6:$H$32, MATCH(G3, NECMtrFLC!$A$6:$A$32, 0), MATCH(I3, NECMtrFLC!$B$5:$H$5, 0)),"")</f>
        <v>65</v>
      </c>
      <c r="L3" s="34">
        <f t="shared" ref="L3:L17" si="1">IF(ISNUMBER(J3),J3*K3,"")</f>
        <v>65</v>
      </c>
      <c r="M3" s="37">
        <v>1</v>
      </c>
      <c r="N3" s="34">
        <f t="shared" ref="N3:N17" si="2">IF(ISNUMBER(K3),K3*M3,"")</f>
        <v>65</v>
      </c>
      <c r="O3" s="34" t="str">
        <f>IF(ISNUMBER(N3),INDEX(PartsDB[Rating],MATCH(_xlfn.MINIFS(PartsDB[OutputCurrent],PartsDB[OutputCurrent],"&gt;="&amp;$N3),PartsDB[OutputCurrent],0)),"")</f>
        <v>50</v>
      </c>
      <c r="P3" s="34" t="str">
        <f>IF(ISNUMBER(N3),INDEX(PartsDB[Catalog],MATCH(_xlfn.MINIFS(PartsDB[OutputCurrent],PartsDB[OutputCurrent],"&gt;="&amp;$N3),PartsDB[OutputCurrent],0)),"")</f>
        <v>20G21ND065JA0NNNNN</v>
      </c>
      <c r="Q3" s="34" cm="1">
        <f t="array" ref="Q3">IF(ISNUMBER(J3),_xlfn._xlws.FILTER(PartsDB[InputCurrent],PartsDB[Catalog]=P3),"")</f>
        <v>58.7</v>
      </c>
      <c r="R3" s="34">
        <f t="shared" ref="R3:R4" si="3">IF(ISNUMBER(Q3),Q3*J3,"")</f>
        <v>58.7</v>
      </c>
      <c r="S3" s="34" cm="1">
        <f t="array" ref="S3">IF(ISNUMBER(J3),_xlfn._xlws.FILTER(PartsDB[Frame],PartsDB[Catalog]=P3),"")</f>
        <v>4</v>
      </c>
      <c r="T3" s="34" cm="1">
        <f t="array" ref="T3">IF(ISNUMBER(J3),_xlfn._xlws.FILTER(PartsDB[DimWidth],PartsDB[Catalog]=P3),"")</f>
        <v>8.6999999999999993</v>
      </c>
      <c r="U3" s="34">
        <f t="shared" si="0"/>
        <v>13.2</v>
      </c>
      <c r="V3" s="34" cm="1">
        <f t="array" ref="V3">IF(ISNUMBER(J3),_xlfn._xlws.FILTER(PartsDB[Heat Loss]*J3,PartsDB[Catalog]=P3),"")</f>
        <v>707</v>
      </c>
    </row>
    <row r="4" spans="1:22" x14ac:dyDescent="0.25">
      <c r="A4" s="35" t="s">
        <v>1536</v>
      </c>
      <c r="B4" s="35" t="s">
        <v>1524</v>
      </c>
      <c r="C4" s="35"/>
      <c r="D4" s="35"/>
      <c r="E4" s="35"/>
      <c r="F4" s="35"/>
      <c r="G4" s="36">
        <v>10</v>
      </c>
      <c r="H4" s="36">
        <v>850</v>
      </c>
      <c r="I4" s="36">
        <v>460</v>
      </c>
      <c r="J4" s="36">
        <v>1</v>
      </c>
      <c r="K4" s="34">
        <f>IF(ISNUMBER(G4),INDEX(NECMtrFLC!$B$6:$H$32, MATCH(G4, NECMtrFLC!$A$6:$A$32, 0), MATCH(I4, NECMtrFLC!$B$5:$H$5, 0)),"")</f>
        <v>14</v>
      </c>
      <c r="L4" s="34">
        <f t="shared" si="1"/>
        <v>14</v>
      </c>
      <c r="M4" s="37">
        <v>1</v>
      </c>
      <c r="N4" s="34">
        <f t="shared" si="2"/>
        <v>14</v>
      </c>
      <c r="O4" s="34" t="str">
        <f>IF(ISNUMBER(N4),INDEX(PartsDB[Rating],MATCH(_xlfn.MINIFS(PartsDB[OutputCurrent],PartsDB[OutputCurrent],"&gt;="&amp;$N4),PartsDB[OutputCurrent],0)),"")</f>
        <v>10</v>
      </c>
      <c r="P4" s="34" t="str">
        <f>IF(ISNUMBER(N4),INDEX(PartsDB[Catalog],MATCH(_xlfn.MINIFS(PartsDB[OutputCurrent],PartsDB[OutputCurrent],"&gt;="&amp;$N4),PartsDB[OutputCurrent],0)),"")</f>
        <v>20G21ND014JA0NNNNN</v>
      </c>
      <c r="Q4" s="34" cm="1">
        <f t="array" ref="Q4">IF(ISNUMBER(J4),_xlfn._xlws.FILTER(PartsDB[InputCurrent],PartsDB[Catalog]=P4),"")</f>
        <v>12.6</v>
      </c>
      <c r="R4" s="34">
        <f t="shared" si="3"/>
        <v>12.6</v>
      </c>
      <c r="S4" s="34" cm="1">
        <f t="array" ref="S4">IF(ISNUMBER(J4),_xlfn._xlws.FILTER(PartsDB[Frame],PartsDB[Catalog]=P4),"")</f>
        <v>2</v>
      </c>
      <c r="T4" s="34" cm="1">
        <f t="array" ref="T4">IF(ISNUMBER(J4),_xlfn._xlws.FILTER(PartsDB[DimWidth],PartsDB[Catalog]=P4),"")</f>
        <v>5.3</v>
      </c>
      <c r="U4" s="34">
        <f t="shared" si="0"/>
        <v>8.9250000000000007</v>
      </c>
      <c r="V4" s="34" cm="1">
        <f t="array" ref="V4">IF(ISNUMBER(J4),_xlfn._xlws.FILTER(PartsDB[Heat Loss]*J4,PartsDB[Catalog]=P4),"")</f>
        <v>230</v>
      </c>
    </row>
    <row r="5" spans="1:22" x14ac:dyDescent="0.25">
      <c r="A5" s="35"/>
      <c r="B5" s="35"/>
      <c r="C5" s="35"/>
      <c r="D5" s="35"/>
      <c r="E5" s="35"/>
      <c r="F5" s="35"/>
      <c r="G5" s="36"/>
      <c r="H5" s="36"/>
      <c r="I5" s="36">
        <v>460</v>
      </c>
      <c r="J5" s="36"/>
      <c r="K5" s="34" t="str">
        <f>IF(ISNUMBER(G5),INDEX(NECMtrFLC!$B$6:$H$32, MATCH(G5, NECMtrFLC!$A$6:$A$32, 0), MATCH(I5, NECMtrFLC!$B$5:$H$5, 0)),"")</f>
        <v/>
      </c>
      <c r="L5" s="34" t="str">
        <f t="shared" ref="L5:L8" si="4">IF(ISNUMBER(J5),J5*K5,"")</f>
        <v/>
      </c>
      <c r="M5" s="37">
        <v>1</v>
      </c>
      <c r="N5" s="34" t="str">
        <f t="shared" ref="N5:N8" si="5">IF(ISNUMBER(K5),K5*M5,"")</f>
        <v/>
      </c>
      <c r="O5" s="34" t="str">
        <f>IF(ISNUMBER(N5),INDEX(PartsDB[Rating],MATCH(_xlfn.MINIFS(PartsDB[OutputCurrent],PartsDB[OutputCurrent],"&gt;="&amp;$N5),PartsDB[OutputCurrent],0)),"")</f>
        <v/>
      </c>
      <c r="P5" s="34" t="str">
        <f>IF(ISNUMBER(N5),INDEX(PartsDB[Catalog],MATCH(_xlfn.MINIFS(PartsDB[OutputCurrent],PartsDB[OutputCurrent],"&gt;="&amp;$N5),PartsDB[OutputCurrent],0)),"")</f>
        <v/>
      </c>
      <c r="Q5" s="34" t="str" cm="1">
        <f t="array" ref="Q5">IF(ISNUMBER(J5),_xlfn._xlws.FILTER(PartsDB[InputCurrent],PartsDB[Catalog]=P5),"")</f>
        <v/>
      </c>
      <c r="R5" s="34" t="str">
        <f t="shared" ref="R5:R8" si="6">IF(ISNUMBER(Q5),Q5*J5,"")</f>
        <v/>
      </c>
      <c r="S5" s="34" t="str" cm="1">
        <f t="array" ref="S5">IF(ISNUMBER(J5),_xlfn._xlws.FILTER(PartsDB[Frame],PartsDB[Catalog]=P5),"")</f>
        <v/>
      </c>
      <c r="T5" s="34" t="str" cm="1">
        <f t="array" ref="T5">IF(ISNUMBER(J5),_xlfn._xlws.FILTER(PartsDB[DimWidth],PartsDB[Catalog]=P5),"")</f>
        <v/>
      </c>
      <c r="U5" s="34" t="str">
        <f t="shared" ref="U5:U8" si="7">IF(ISNUMBER(T5),IF(S5&gt;=4, (4.5+T5)*J5, IF(S5=3, (4+T5)*J5, IF(S5=2, (3.625+T5)*J5, ""))), "")</f>
        <v/>
      </c>
      <c r="V5" s="34" t="str" cm="1">
        <f t="array" ref="V5">IF(ISNUMBER(J5),_xlfn._xlws.FILTER(PartsDB[Heat Loss]*J5,PartsDB[Catalog]=P5),"")</f>
        <v/>
      </c>
    </row>
    <row r="6" spans="1:22" x14ac:dyDescent="0.25">
      <c r="A6" s="35"/>
      <c r="B6" s="35"/>
      <c r="C6" s="35"/>
      <c r="D6" s="35"/>
      <c r="E6" s="35"/>
      <c r="F6" s="35"/>
      <c r="G6" s="36"/>
      <c r="H6" s="36"/>
      <c r="I6" s="36">
        <v>460</v>
      </c>
      <c r="J6" s="36"/>
      <c r="K6" s="34" t="str">
        <f>IF(ISNUMBER(G6),INDEX(NECMtrFLC!$B$6:$H$32, MATCH(G6, NECMtrFLC!$A$6:$A$32, 0), MATCH(I6, NECMtrFLC!$B$5:$H$5, 0)),"")</f>
        <v/>
      </c>
      <c r="L6" s="34" t="str">
        <f t="shared" si="4"/>
        <v/>
      </c>
      <c r="M6" s="37">
        <v>1</v>
      </c>
      <c r="N6" s="34" t="str">
        <f t="shared" si="5"/>
        <v/>
      </c>
      <c r="O6" s="34" t="str">
        <f>IF(ISNUMBER(N6),INDEX(PartsDB[Rating],MATCH(_xlfn.MINIFS(PartsDB[OutputCurrent],PartsDB[OutputCurrent],"&gt;="&amp;$N6),PartsDB[OutputCurrent],0)),"")</f>
        <v/>
      </c>
      <c r="P6" s="34" t="str">
        <f>IF(ISNUMBER(N6),INDEX(PartsDB[Catalog],MATCH(_xlfn.MINIFS(PartsDB[OutputCurrent],PartsDB[OutputCurrent],"&gt;="&amp;$N6),PartsDB[OutputCurrent],0)),"")</f>
        <v/>
      </c>
      <c r="Q6" s="34" t="str" cm="1">
        <f t="array" ref="Q6">IF(ISNUMBER(J6),_xlfn._xlws.FILTER(PartsDB[InputCurrent],PartsDB[Catalog]=P6),"")</f>
        <v/>
      </c>
      <c r="R6" s="34" t="str">
        <f t="shared" si="6"/>
        <v/>
      </c>
      <c r="S6" s="34" t="str" cm="1">
        <f t="array" ref="S6">IF(ISNUMBER(J6),_xlfn._xlws.FILTER(PartsDB[Frame],PartsDB[Catalog]=P6),"")</f>
        <v/>
      </c>
      <c r="T6" s="34" t="str" cm="1">
        <f t="array" ref="T6">IF(ISNUMBER(J6),_xlfn._xlws.FILTER(PartsDB[DimWidth],PartsDB[Catalog]=P6),"")</f>
        <v/>
      </c>
      <c r="U6" s="34" t="str">
        <f t="shared" si="7"/>
        <v/>
      </c>
      <c r="V6" s="34" t="str" cm="1">
        <f t="array" ref="V6">IF(ISNUMBER(J6),_xlfn._xlws.FILTER(PartsDB[Heat Loss]*J6,PartsDB[Catalog]=P6),"")</f>
        <v/>
      </c>
    </row>
    <row r="7" spans="1:22" x14ac:dyDescent="0.25">
      <c r="A7" s="35"/>
      <c r="B7" s="35"/>
      <c r="C7" s="35"/>
      <c r="D7" s="35"/>
      <c r="E7" s="35"/>
      <c r="F7" s="35"/>
      <c r="G7" s="36"/>
      <c r="H7" s="36"/>
      <c r="I7" s="36">
        <v>460</v>
      </c>
      <c r="J7" s="36"/>
      <c r="K7" s="34" t="str">
        <f>IF(ISNUMBER(G7),INDEX(NECMtrFLC!$B$6:$H$32, MATCH(G7, NECMtrFLC!$A$6:$A$32, 0), MATCH(I7, NECMtrFLC!$B$5:$H$5, 0)),"")</f>
        <v/>
      </c>
      <c r="L7" s="34" t="str">
        <f t="shared" si="4"/>
        <v/>
      </c>
      <c r="M7" s="37">
        <v>1.05</v>
      </c>
      <c r="N7" s="34" t="str">
        <f t="shared" si="5"/>
        <v/>
      </c>
      <c r="O7" s="34" t="str">
        <f>IF(ISNUMBER(N7),INDEX(PartsDB[Rating],MATCH(_xlfn.MINIFS(PartsDB[OutputCurrent],PartsDB[OutputCurrent],"&gt;="&amp;$N7),PartsDB[OutputCurrent],0)),"")</f>
        <v/>
      </c>
      <c r="P7" s="34" t="str">
        <f>IF(ISNUMBER(N7),INDEX(PartsDB[Catalog],MATCH(_xlfn.MINIFS(PartsDB[OutputCurrent],PartsDB[OutputCurrent],"&gt;="&amp;$N7),PartsDB[OutputCurrent],0)),"")</f>
        <v/>
      </c>
      <c r="Q7" s="34" t="str" cm="1">
        <f t="array" ref="Q7">IF(ISNUMBER(J7),_xlfn._xlws.FILTER(PartsDB[InputCurrent],PartsDB[Catalog]=P7),"")</f>
        <v/>
      </c>
      <c r="R7" s="34" t="str">
        <f t="shared" si="6"/>
        <v/>
      </c>
      <c r="S7" s="34" t="str" cm="1">
        <f t="array" ref="S7">IF(ISNUMBER(J7),_xlfn._xlws.FILTER(PartsDB[Frame],PartsDB[Catalog]=P7),"")</f>
        <v/>
      </c>
      <c r="T7" s="34" t="str" cm="1">
        <f t="array" ref="T7">IF(ISNUMBER(J7),_xlfn._xlws.FILTER(PartsDB[DimWidth],PartsDB[Catalog]=P7),"")</f>
        <v/>
      </c>
      <c r="U7" s="34" t="str">
        <f t="shared" si="7"/>
        <v/>
      </c>
      <c r="V7" s="34" t="str" cm="1">
        <f t="array" ref="V7">IF(ISNUMBER(J7),_xlfn._xlws.FILTER(PartsDB[Heat Loss]*J7,PartsDB[Catalog]=P7),"")</f>
        <v/>
      </c>
    </row>
    <row r="8" spans="1:22" ht="15.75" thickBot="1" x14ac:dyDescent="0.3">
      <c r="A8" s="35"/>
      <c r="B8" s="35"/>
      <c r="C8" s="35"/>
      <c r="D8" s="35"/>
      <c r="E8" s="35"/>
      <c r="F8" s="35"/>
      <c r="G8" s="36"/>
      <c r="H8" s="36"/>
      <c r="I8" s="36">
        <v>460</v>
      </c>
      <c r="J8" s="36"/>
      <c r="K8" s="34" t="str">
        <f>IF(ISNUMBER(G8),INDEX(NECMtrFLC!$B$6:$H$32, MATCH(G8, NECMtrFLC!$A$6:$A$32, 0), MATCH(I8, NECMtrFLC!$B$5:$H$5, 0)),"")</f>
        <v/>
      </c>
      <c r="L8" s="34" t="str">
        <f t="shared" si="4"/>
        <v/>
      </c>
      <c r="M8" s="37">
        <v>1.5</v>
      </c>
      <c r="N8" s="34" t="str">
        <f t="shared" si="5"/>
        <v/>
      </c>
      <c r="O8" s="34" t="str">
        <f>IF(ISNUMBER(N8),INDEX(PartsDB[Rating],MATCH(_xlfn.MINIFS(PartsDB[OutputCurrent],PartsDB[OutputCurrent],"&gt;="&amp;$N8),PartsDB[OutputCurrent],0)),"")</f>
        <v/>
      </c>
      <c r="P8" s="34"/>
      <c r="Q8" s="34" t="str" cm="1">
        <f t="array" ref="Q8">IF(ISNUMBER(J8),_xlfn._xlws.FILTER(PartsDB[InputCurrent],PartsDB[Catalog]=P8),"")</f>
        <v/>
      </c>
      <c r="R8" s="34" t="str">
        <f t="shared" si="6"/>
        <v/>
      </c>
      <c r="S8" s="34" t="str" cm="1">
        <f t="array" ref="S8">IF(ISNUMBER(J8),_xlfn._xlws.FILTER(PartsDB[Frame],PartsDB[Catalog]=P8),"")</f>
        <v/>
      </c>
      <c r="T8" s="34" t="str" cm="1">
        <f t="array" ref="T8">IF(ISNUMBER(J8),_xlfn._xlws.FILTER(PartsDB[DimWidth],PartsDB[Catalog]=P8),"")</f>
        <v/>
      </c>
      <c r="U8" s="34" t="str">
        <f t="shared" si="7"/>
        <v/>
      </c>
      <c r="V8" s="34"/>
    </row>
    <row r="9" spans="1:22" ht="15.75" thickBot="1" x14ac:dyDescent="0.3">
      <c r="A9" s="23"/>
      <c r="B9" s="24"/>
      <c r="C9" s="24"/>
      <c r="D9" s="24"/>
      <c r="E9" s="24"/>
      <c r="F9" s="24"/>
      <c r="G9" s="25"/>
      <c r="H9" s="26" t="s">
        <v>1355</v>
      </c>
      <c r="I9" s="26"/>
      <c r="J9" s="26">
        <f>SUM(J2:J8)</f>
        <v>3</v>
      </c>
      <c r="K9" s="27"/>
      <c r="L9" s="28">
        <f>SUM(L2:L8)</f>
        <v>113</v>
      </c>
      <c r="M9" s="27"/>
      <c r="N9" s="27"/>
      <c r="O9" s="27"/>
      <c r="P9" s="27"/>
      <c r="Q9" s="27"/>
      <c r="R9" s="27">
        <f>SUM(R2:R8)</f>
        <v>118.3</v>
      </c>
      <c r="S9" s="27"/>
      <c r="T9" s="27"/>
      <c r="U9" s="27">
        <f>SUM(U2:U8)</f>
        <v>35.325000000000003</v>
      </c>
      <c r="V9" s="27">
        <f>SUM(V2:V8)</f>
        <v>1527</v>
      </c>
    </row>
    <row r="10" spans="1:22" x14ac:dyDescent="0.25">
      <c r="A10" s="35"/>
      <c r="B10" s="35"/>
      <c r="C10" s="35"/>
      <c r="D10" s="35"/>
      <c r="E10" s="35"/>
      <c r="F10" s="35"/>
      <c r="G10" s="36"/>
      <c r="H10" s="36"/>
      <c r="I10" s="36"/>
      <c r="J10" s="36"/>
      <c r="K10" s="34" t="str">
        <f>IF(ISNUMBER(G10),INDEX(NECMtrFLC!$B$6:$H$32, MATCH(G10, NECMtrFLC!$A$6:$A$32, 0), MATCH(I10, NECMtrFLC!$B$5:$H$5, 0)),"")</f>
        <v/>
      </c>
      <c r="L10" s="34" t="str">
        <f t="shared" si="1"/>
        <v/>
      </c>
      <c r="M10" s="37">
        <v>1</v>
      </c>
      <c r="N10" s="34"/>
      <c r="O10" s="34"/>
      <c r="P10" s="34"/>
      <c r="Q10" s="34"/>
      <c r="R10" s="34"/>
      <c r="S10" s="34"/>
      <c r="T10" s="34"/>
      <c r="U10" s="34"/>
      <c r="V10" s="34"/>
    </row>
    <row r="11" spans="1:22" x14ac:dyDescent="0.25">
      <c r="A11" s="35"/>
      <c r="B11" s="35"/>
      <c r="C11" s="35"/>
      <c r="D11" s="35"/>
      <c r="E11" s="35"/>
      <c r="F11" s="35"/>
      <c r="G11" s="36"/>
      <c r="H11" s="36"/>
      <c r="I11" s="36"/>
      <c r="J11" s="36"/>
      <c r="K11" s="34" t="str">
        <f>IF(ISNUMBER(G11),INDEX(NECMtrFLC!$B$6:$H$32, MATCH(G11, NECMtrFLC!$A$6:$A$32, 0), MATCH(I11, NECMtrFLC!$B$5:$H$5, 0)),"")</f>
        <v/>
      </c>
      <c r="L11" s="34" t="str">
        <f t="shared" si="1"/>
        <v/>
      </c>
      <c r="M11" s="37">
        <v>1</v>
      </c>
      <c r="N11" s="34"/>
      <c r="O11" s="34"/>
      <c r="P11" s="34"/>
      <c r="Q11" s="34"/>
      <c r="R11" s="34"/>
      <c r="S11" s="34"/>
      <c r="T11" s="34"/>
      <c r="U11" s="34"/>
      <c r="V11" s="34"/>
    </row>
    <row r="12" spans="1:22" x14ac:dyDescent="0.25">
      <c r="A12" s="35"/>
      <c r="B12" s="35"/>
      <c r="C12" s="35"/>
      <c r="D12" s="35"/>
      <c r="E12" s="35"/>
      <c r="F12" s="35"/>
      <c r="G12" s="36"/>
      <c r="H12" s="36"/>
      <c r="I12" s="36"/>
      <c r="J12" s="36"/>
      <c r="K12" s="34" t="str">
        <f>IF(ISNUMBER(G12),INDEX(NECMtrFLC!$B$6:$H$32, MATCH(G12, NECMtrFLC!$A$6:$A$32, 0), MATCH(I12, NECMtrFLC!$B$5:$H$5, 0)),"")</f>
        <v/>
      </c>
      <c r="L12" s="34" t="str">
        <f t="shared" si="1"/>
        <v/>
      </c>
      <c r="M12" s="37">
        <v>1</v>
      </c>
      <c r="N12" s="34"/>
      <c r="O12" s="34"/>
      <c r="P12" s="34"/>
      <c r="Q12" s="34"/>
      <c r="R12" s="34"/>
      <c r="S12" s="34"/>
      <c r="T12" s="34"/>
      <c r="U12" s="34"/>
      <c r="V12" s="34"/>
    </row>
    <row r="13" spans="1:22" x14ac:dyDescent="0.25">
      <c r="A13" s="35"/>
      <c r="B13" s="35"/>
      <c r="C13" s="35"/>
      <c r="D13" s="35"/>
      <c r="E13" s="35"/>
      <c r="F13" s="35"/>
      <c r="G13" s="36"/>
      <c r="H13" s="36"/>
      <c r="I13" s="36"/>
      <c r="J13" s="36"/>
      <c r="K13" s="34" t="str">
        <f>IF(ISNUMBER(G13),INDEX(NECMtrFLC!$B$6:$H$32, MATCH(G13, NECMtrFLC!$A$6:$A$32, 0), MATCH(I13, NECMtrFLC!$B$5:$H$5, 0)),"")</f>
        <v/>
      </c>
      <c r="L13" s="34" t="str">
        <f t="shared" si="1"/>
        <v/>
      </c>
      <c r="M13" s="37">
        <v>1</v>
      </c>
      <c r="N13" s="34"/>
      <c r="O13" s="34"/>
      <c r="P13" s="34"/>
      <c r="Q13" s="34"/>
      <c r="R13" s="34"/>
      <c r="S13" s="34"/>
      <c r="T13" s="34"/>
      <c r="U13" s="34"/>
      <c r="V13" s="34"/>
    </row>
    <row r="14" spans="1:22" x14ac:dyDescent="0.25">
      <c r="A14" s="35"/>
      <c r="B14" s="35"/>
      <c r="C14" s="35"/>
      <c r="D14" s="35"/>
      <c r="E14" s="35"/>
      <c r="F14" s="35"/>
      <c r="G14" s="36"/>
      <c r="H14" s="36"/>
      <c r="I14" s="36"/>
      <c r="J14" s="36"/>
      <c r="K14" s="34" t="str">
        <f>IF(ISNUMBER(G14),INDEX(NECMtrFLC!$B$6:$H$32, MATCH(G14, NECMtrFLC!$A$6:$A$32, 0), MATCH(I14, NECMtrFLC!$B$5:$H$5, 0)),"")</f>
        <v/>
      </c>
      <c r="L14" s="34" t="str">
        <f t="shared" si="1"/>
        <v/>
      </c>
      <c r="M14" s="37">
        <v>1</v>
      </c>
      <c r="N14" s="34"/>
      <c r="O14" s="34"/>
      <c r="P14" s="34"/>
      <c r="Q14" s="34"/>
      <c r="R14" s="34"/>
      <c r="S14" s="34"/>
      <c r="T14" s="34"/>
      <c r="U14" s="34"/>
      <c r="V14" s="34"/>
    </row>
    <row r="15" spans="1:22" x14ac:dyDescent="0.25">
      <c r="A15" s="35"/>
      <c r="B15" s="35"/>
      <c r="C15" s="35"/>
      <c r="D15" s="35"/>
      <c r="E15" s="35"/>
      <c r="F15" s="35"/>
      <c r="G15" s="36"/>
      <c r="H15" s="36"/>
      <c r="I15" s="36"/>
      <c r="J15" s="36"/>
      <c r="K15" s="34" t="str">
        <f>IF(ISNUMBER(G15),INDEX(NECMtrFLC!$B$6:$H$32, MATCH(G15, NECMtrFLC!$A$6:$A$32, 0), MATCH(I15, NECMtrFLC!$B$5:$H$5, 0)),"")</f>
        <v/>
      </c>
      <c r="L15" s="34" t="str">
        <f t="shared" si="1"/>
        <v/>
      </c>
      <c r="M15" s="37">
        <v>1</v>
      </c>
      <c r="N15" s="34"/>
      <c r="O15" s="34"/>
      <c r="P15" s="34"/>
      <c r="Q15" s="34"/>
      <c r="R15" s="34"/>
      <c r="S15" s="34"/>
      <c r="T15" s="34"/>
      <c r="U15" s="34"/>
      <c r="V15" s="34"/>
    </row>
    <row r="16" spans="1:22" x14ac:dyDescent="0.25">
      <c r="A16" s="35"/>
      <c r="B16" s="35"/>
      <c r="C16" s="35"/>
      <c r="D16" s="35"/>
      <c r="E16" s="35"/>
      <c r="F16" s="35"/>
      <c r="G16" s="84"/>
      <c r="H16" s="36"/>
      <c r="I16" s="36"/>
      <c r="J16" s="36"/>
      <c r="K16" s="34" t="str">
        <f>IF(ISNUMBER(G16),INDEX(NECMtrFLC!$B$6:$H$32, MATCH(G16, NECMtrFLC!$A$6:$A$32, 0), MATCH(I16, NECMtrFLC!$B$5:$H$5, 0)),"")</f>
        <v/>
      </c>
      <c r="L16" s="34" t="str">
        <f t="shared" si="1"/>
        <v/>
      </c>
      <c r="M16" s="37">
        <v>1</v>
      </c>
      <c r="N16" s="34"/>
      <c r="O16" s="34"/>
      <c r="P16" s="34"/>
      <c r="Q16" s="34"/>
      <c r="R16" s="34"/>
      <c r="S16" s="34"/>
      <c r="T16" s="34"/>
      <c r="U16" s="34"/>
      <c r="V16" s="34"/>
    </row>
    <row r="17" spans="1:22" ht="15.75" thickBot="1" x14ac:dyDescent="0.3">
      <c r="A17" s="35"/>
      <c r="B17" s="35"/>
      <c r="C17" s="35"/>
      <c r="D17" s="35"/>
      <c r="E17" s="35"/>
      <c r="F17" s="35"/>
      <c r="G17" s="36"/>
      <c r="H17" s="36"/>
      <c r="I17" s="36"/>
      <c r="J17" s="36"/>
      <c r="K17" s="34" t="str">
        <f>IF(ISNUMBER(G17),INDEX(NECMtrFLC!$B$6:$H$32, MATCH(G17, NECMtrFLC!$A$6:$A$32, 0), MATCH(I17, NECMtrFLC!$B$5:$H$5, 0)),"")</f>
        <v/>
      </c>
      <c r="L17" s="34" t="str">
        <f t="shared" si="1"/>
        <v/>
      </c>
      <c r="M17" s="37">
        <v>1</v>
      </c>
      <c r="N17" s="34" t="str">
        <f t="shared" si="2"/>
        <v/>
      </c>
      <c r="O17" s="34" t="str">
        <f>IF(ISNUMBER(N17),INDEX(PartsDB[Rating],MATCH(_xlfn.MINIFS(PartsDB[OutputCurrent],PartsDB[OutputCurrent],"&gt;="&amp;$N17),PartsDB[OutputCurrent],0)),"")</f>
        <v/>
      </c>
      <c r="P17" s="34" t="str">
        <f>IF(ISNUMBER(N17),INDEX(PartsDB[Catalog],MATCH(_xlfn.MINIFS(PartsDB[OutputCurrent],PartsDB[OutputCurrent],"&gt;="&amp;$N17),PartsDB[OutputCurrent],0)),"")</f>
        <v/>
      </c>
      <c r="Q17" s="34" t="str" cm="1">
        <f t="array" ref="Q17">IF(ISNUMBER(J17),_xlfn._xlws.FILTER(PartsDB[InputCurrent],PartsDB[Catalog]=P17),"")</f>
        <v/>
      </c>
      <c r="R17" s="34"/>
      <c r="S17" s="34" t="str" cm="1">
        <f t="array" ref="S17">IF(ISNUMBER(J17),_xlfn._xlws.FILTER(PartsDB[Frame],PartsDB[Catalog]=P17),"")</f>
        <v/>
      </c>
      <c r="T17" s="34" t="str" cm="1">
        <f t="array" ref="T17">IF(ISNUMBER(J17),_xlfn._xlws.FILTER(PartsDB[DimWidth],PartsDB[Catalog]=P17),"")</f>
        <v/>
      </c>
      <c r="U17" s="34" t="str">
        <f>IF(ISNUMBER(T17),IF(S17&gt;=4, (4.5+T17)*J17, IF(S17=3, (4+T17)*J17, IF(S17=2, (3.625+T17)*J17, ""))), "")</f>
        <v/>
      </c>
      <c r="V17" s="34" t="str" cm="1">
        <f t="array" ref="V17">IF(ISNUMBER(J17),_xlfn._xlws.FILTER(PartsDB[Heat Loss],PartsDB[Catalog]=P17),"")</f>
        <v/>
      </c>
    </row>
    <row r="18" spans="1:22" ht="15.75" thickBot="1" x14ac:dyDescent="0.3">
      <c r="A18" s="23"/>
      <c r="B18" s="24"/>
      <c r="C18" s="24"/>
      <c r="D18" s="24"/>
      <c r="E18" s="24"/>
      <c r="F18" s="24"/>
      <c r="G18" s="25"/>
      <c r="H18" s="26" t="s">
        <v>1355</v>
      </c>
      <c r="I18" s="26"/>
      <c r="J18" s="26">
        <f>SUM(J10:J17)</f>
        <v>0</v>
      </c>
      <c r="K18" s="27"/>
      <c r="L18" s="28">
        <f>SUM(L10:L17)</f>
        <v>0</v>
      </c>
      <c r="M18" s="27"/>
      <c r="N18" s="27"/>
      <c r="O18" s="27"/>
      <c r="P18" s="27"/>
      <c r="Q18" s="27"/>
      <c r="R18" s="27"/>
      <c r="S18" s="27"/>
      <c r="T18" s="27"/>
      <c r="U18" s="27">
        <f>SUM(U10:U17)</f>
        <v>0</v>
      </c>
      <c r="V18" s="27">
        <f>SUM(V10:V17)</f>
        <v>0</v>
      </c>
    </row>
    <row r="19" spans="1:22" x14ac:dyDescent="0.25">
      <c r="T19" s="66" t="s">
        <v>1380</v>
      </c>
      <c r="U19" s="1">
        <v>33</v>
      </c>
    </row>
    <row r="20" spans="1:22" x14ac:dyDescent="0.25">
      <c r="T20" s="66" t="s">
        <v>1381</v>
      </c>
      <c r="U20" s="1">
        <v>33</v>
      </c>
    </row>
    <row r="21" spans="1:22" x14ac:dyDescent="0.25">
      <c r="T21" s="80" t="s">
        <v>1399</v>
      </c>
      <c r="U21" s="1">
        <v>33</v>
      </c>
    </row>
    <row r="22" spans="1:22" x14ac:dyDescent="0.25">
      <c r="T22" s="66"/>
    </row>
    <row r="24" spans="1:22" x14ac:dyDescent="0.25">
      <c r="C24" s="85"/>
      <c r="D24" s="85"/>
      <c r="E24" s="85"/>
      <c r="F24" s="85"/>
      <c r="G24" s="85"/>
    </row>
    <row r="25" spans="1:22" x14ac:dyDescent="0.25">
      <c r="C25" s="85" t="s">
        <v>1524</v>
      </c>
      <c r="D25" s="85"/>
      <c r="E25" s="85" t="s">
        <v>1527</v>
      </c>
      <c r="G25" s="85" t="s">
        <v>1529</v>
      </c>
      <c r="S25" s="148" t="s">
        <v>1524</v>
      </c>
      <c r="T25" s="82" t="s">
        <v>1400</v>
      </c>
      <c r="U25" s="1">
        <f>SUM(U2:U4)+U21+U20+U19</f>
        <v>134.32499999999999</v>
      </c>
    </row>
    <row r="26" spans="1:22" x14ac:dyDescent="0.25">
      <c r="A26" s="81" t="s">
        <v>1392</v>
      </c>
      <c r="B26" s="81"/>
      <c r="C26">
        <f>U25</f>
        <v>134.32499999999999</v>
      </c>
      <c r="E26">
        <f>U27</f>
        <v>0</v>
      </c>
      <c r="G26">
        <f>U29</f>
        <v>0</v>
      </c>
    </row>
    <row r="27" spans="1:22" x14ac:dyDescent="0.25">
      <c r="A27" s="81" t="s">
        <v>1393</v>
      </c>
      <c r="B27" s="81"/>
      <c r="C27">
        <v>33</v>
      </c>
      <c r="E27">
        <v>33</v>
      </c>
      <c r="G27">
        <v>33</v>
      </c>
      <c r="S27" s="148" t="s">
        <v>1527</v>
      </c>
      <c r="T27" s="82" t="s">
        <v>1400</v>
      </c>
    </row>
    <row r="28" spans="1:22" x14ac:dyDescent="0.25">
      <c r="A28" s="81" t="s">
        <v>1394</v>
      </c>
      <c r="B28" s="81"/>
      <c r="C28">
        <v>72</v>
      </c>
      <c r="E28">
        <v>72</v>
      </c>
      <c r="G28">
        <v>72</v>
      </c>
    </row>
    <row r="29" spans="1:22" x14ac:dyDescent="0.25">
      <c r="A29" s="81" t="s">
        <v>1395</v>
      </c>
      <c r="B29" s="81"/>
      <c r="C29" s="141">
        <f>INT(C26/C28)</f>
        <v>1</v>
      </c>
      <c r="E29">
        <f>INT(E26/E28)</f>
        <v>0</v>
      </c>
      <c r="G29">
        <f>INT(G26/G28)</f>
        <v>0</v>
      </c>
      <c r="S29" s="148" t="s">
        <v>1529</v>
      </c>
      <c r="T29" s="82" t="s">
        <v>1400</v>
      </c>
    </row>
    <row r="30" spans="1:22" x14ac:dyDescent="0.25">
      <c r="A30" s="81" t="s">
        <v>1396</v>
      </c>
      <c r="B30" s="81"/>
      <c r="C30">
        <f>C26-C29*C28</f>
        <v>62.324999999999989</v>
      </c>
      <c r="E30">
        <f>E26-E29*E28</f>
        <v>0</v>
      </c>
      <c r="G30">
        <f>G26-G29*G28</f>
        <v>0</v>
      </c>
    </row>
    <row r="31" spans="1:22" x14ac:dyDescent="0.25">
      <c r="A31" s="81" t="s">
        <v>1397</v>
      </c>
      <c r="B31" s="81"/>
      <c r="C31" s="141">
        <f>IF(C30&gt;0, ROUNDUP(C30/C27,0),0)</f>
        <v>2</v>
      </c>
      <c r="E31">
        <f>IF(E30&gt;0, ROUNDUP(E30/E27,0),0)</f>
        <v>0</v>
      </c>
      <c r="G31">
        <f>IF(G30&gt;0, ROUNDUP(G30/G27,0),0)</f>
        <v>0</v>
      </c>
    </row>
    <row r="32" spans="1:22" x14ac:dyDescent="0.25">
      <c r="A32" s="81" t="s">
        <v>1398</v>
      </c>
      <c r="B32" s="81"/>
      <c r="C32">
        <f>C28*C29+C27*C31</f>
        <v>138</v>
      </c>
      <c r="E32">
        <f>E28*E29+E27*E31</f>
        <v>0</v>
      </c>
      <c r="G32">
        <f>G28*G29+G27*G31</f>
        <v>0</v>
      </c>
    </row>
    <row r="33" spans="16:16" x14ac:dyDescent="0.25">
      <c r="P33" s="79"/>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ADF02-73F8-4C6D-A1BC-474D0EED1AD3}">
  <sheetPr codeName="Sheet16"/>
  <dimension ref="A1:U201"/>
  <sheetViews>
    <sheetView workbookViewId="0">
      <pane ySplit="3" topLeftCell="A4" activePane="bottomLeft" state="frozen"/>
      <selection pane="bottomLeft" activeCell="H7" sqref="H7"/>
    </sheetView>
    <sheetView workbookViewId="1"/>
  </sheetViews>
  <sheetFormatPr defaultRowHeight="15" outlineLevelCol="1" x14ac:dyDescent="0.25"/>
  <cols>
    <col min="1" max="1" width="5.5703125" style="96" customWidth="1"/>
    <col min="2" max="2" width="9.140625" style="1"/>
    <col min="3" max="3" width="4.7109375" bestFit="1" customWidth="1"/>
    <col min="4" max="4" width="16" customWidth="1"/>
    <col min="5" max="5" width="13.42578125" customWidth="1"/>
    <col min="6" max="6" width="44" customWidth="1"/>
    <col min="7" max="7" width="6.7109375" style="1" customWidth="1"/>
    <col min="8" max="8" width="69.7109375" style="126" customWidth="1"/>
    <col min="9" max="9" width="33.42578125" customWidth="1"/>
    <col min="10" max="10" width="6.140625" customWidth="1"/>
    <col min="11" max="11" width="17.140625" style="3" customWidth="1"/>
    <col min="12" max="12" width="11.140625" customWidth="1"/>
    <col min="13" max="13" width="6" hidden="1" customWidth="1" outlineLevel="1"/>
    <col min="14" max="14" width="7.140625" hidden="1" customWidth="1" outlineLevel="1"/>
    <col min="15" max="15" width="9.140625" collapsed="1"/>
    <col min="16" max="16" width="17.28515625" customWidth="1"/>
    <col min="17" max="18" width="9.140625" style="92"/>
    <col min="19" max="19" width="12.140625" style="92" customWidth="1"/>
    <col min="20" max="20" width="73.42578125" customWidth="1"/>
  </cols>
  <sheetData>
    <row r="1" spans="1:21" x14ac:dyDescent="0.25">
      <c r="A1" s="96" t="s">
        <v>1452</v>
      </c>
      <c r="B1" s="96" t="s">
        <v>1440</v>
      </c>
      <c r="D1" s="85" t="s">
        <v>1441</v>
      </c>
      <c r="H1" s="139" t="s">
        <v>1487</v>
      </c>
    </row>
    <row r="2" spans="1:21" s="68" customFormat="1" ht="22.5" customHeight="1" x14ac:dyDescent="0.25">
      <c r="A2" s="101"/>
      <c r="B2" s="101"/>
      <c r="D2" s="100"/>
      <c r="H2" s="126"/>
      <c r="K2" s="20"/>
      <c r="Q2" s="19"/>
      <c r="R2" s="19"/>
      <c r="S2" s="19"/>
    </row>
    <row r="3" spans="1:21" ht="63" x14ac:dyDescent="0.25">
      <c r="A3" s="18" t="s">
        <v>1435</v>
      </c>
      <c r="B3" s="89" t="s">
        <v>1453</v>
      </c>
      <c r="C3" s="18" t="s">
        <v>1436</v>
      </c>
      <c r="D3" s="18" t="s">
        <v>1437</v>
      </c>
      <c r="E3" s="18" t="s">
        <v>264</v>
      </c>
      <c r="F3" s="18" t="s">
        <v>1312</v>
      </c>
      <c r="G3" s="18" t="s">
        <v>172</v>
      </c>
      <c r="H3" s="120" t="s">
        <v>1438</v>
      </c>
      <c r="I3" s="18" t="s">
        <v>171</v>
      </c>
      <c r="J3" s="18" t="s">
        <v>172</v>
      </c>
      <c r="K3" s="17" t="s">
        <v>754</v>
      </c>
      <c r="L3" s="16" t="s">
        <v>16</v>
      </c>
      <c r="M3" s="107" t="s">
        <v>1458</v>
      </c>
      <c r="N3" s="107" t="s">
        <v>1459</v>
      </c>
      <c r="O3" s="98" t="s">
        <v>1439</v>
      </c>
      <c r="P3" s="21" t="s">
        <v>80</v>
      </c>
      <c r="Q3" s="89" t="s">
        <v>1461</v>
      </c>
      <c r="R3" s="18" t="s">
        <v>1313</v>
      </c>
      <c r="S3" s="89" t="s">
        <v>1460</v>
      </c>
      <c r="T3" s="89" t="s">
        <v>1523</v>
      </c>
      <c r="U3" s="89" t="s">
        <v>1367</v>
      </c>
    </row>
    <row r="4" spans="1:21" ht="15.75" thickBot="1" x14ac:dyDescent="0.3">
      <c r="A4" s="96" t="str">
        <f>IF(B4="","",1)</f>
        <v/>
      </c>
      <c r="B4" s="99" t="str">
        <f>IF(OR(ISBLANK($B$2),ISBLANK(D4)),"",$B$2)</f>
        <v/>
      </c>
      <c r="C4" s="35"/>
      <c r="D4" s="35"/>
      <c r="E4" s="35"/>
      <c r="F4" s="35"/>
      <c r="G4" s="36"/>
      <c r="O4" s="19" t="str">
        <f>IF(ISNUMBER(J4),J4,"")</f>
        <v/>
      </c>
      <c r="P4" s="3" t="str">
        <f>IF(ISNUMBER(O4),O4*K4,"")</f>
        <v/>
      </c>
      <c r="Q4" s="93" t="str" cm="1">
        <f t="array" ref="Q4">IF(ISNUMBER(O4),_xlfn._xlws.FILTER(PartsDB[Hrs_ShopAssy]*N4*O4,PartsDB[Catalog]=I4),"")</f>
        <v/>
      </c>
      <c r="R4" s="92" t="str" cm="1">
        <f t="array" ref="R4">IF(ISNUMBER(O4),_xlfn._xlws.FILTER(PartsDB[Hrs_Eng]*O4,PartsDB[Catalog]=I4),"")</f>
        <v/>
      </c>
      <c r="S4" s="92" t="str" cm="1">
        <f t="array" ref="S4">IF(ISNUMBER(O4),_xlfn._xlws.FILTER(PartsDB[Hrs_PanelAssy]*M4*O4,PartsDB[Catalog]=I4),"")</f>
        <v/>
      </c>
    </row>
    <row r="5" spans="1:21" ht="16.5" thickTop="1" thickBot="1" x14ac:dyDescent="0.3">
      <c r="A5" s="96" t="str">
        <f>IF(B5="","",MAX(A$4:A4)+1)</f>
        <v/>
      </c>
      <c r="B5" s="99" t="str">
        <f t="shared" ref="B5:B68" si="0">IF(OR(ISBLANK($B$2),ISBLANK(D5)),"",$B$2)</f>
        <v/>
      </c>
      <c r="C5" s="35"/>
      <c r="D5" s="35"/>
      <c r="E5" s="35"/>
      <c r="F5" s="35"/>
      <c r="G5" s="36"/>
      <c r="O5" s="19" t="str">
        <f t="shared" ref="O5:O68" si="1">IF(ISNUMBER(J5),J5,"")</f>
        <v/>
      </c>
      <c r="P5" s="3" t="str">
        <f t="shared" ref="P5:P68" si="2">IF(ISNUMBER(O5),O5*K5,"")</f>
        <v/>
      </c>
      <c r="Q5" s="93" t="str" cm="1">
        <f t="array" ref="Q5">IF(ISNUMBER(O5),_xlfn._xlws.FILTER(PartsDB[Hrs_ShopAssy]*N5*O5,PartsDB[Catalog]=I5),"")</f>
        <v/>
      </c>
      <c r="R5" s="92" t="str" cm="1">
        <f t="array" ref="R5">IF(ISNUMBER(O5),_xlfn._xlws.FILTER(PartsDB[Hrs_Eng]*O5,PartsDB[Catalog]=I5),"")</f>
        <v/>
      </c>
      <c r="S5" s="92" t="str" cm="1">
        <f t="array" ref="S5">IF(ISNUMBER(O5),_xlfn._xlws.FILTER(PartsDB[Hrs_PanelAssy]*M5*O5,PartsDB[Catalog]=I5),"")</f>
        <v/>
      </c>
    </row>
    <row r="6" spans="1:21" ht="16.5" thickTop="1" thickBot="1" x14ac:dyDescent="0.3">
      <c r="A6" s="96" t="str">
        <f>IF(B6="","",MAX(A$4:A5)+1)</f>
        <v/>
      </c>
      <c r="B6" s="99" t="str">
        <f t="shared" si="0"/>
        <v/>
      </c>
      <c r="C6" s="35"/>
      <c r="D6" s="35"/>
      <c r="E6" s="35"/>
      <c r="F6" s="35"/>
      <c r="G6" s="36"/>
      <c r="O6" s="19" t="str">
        <f t="shared" si="1"/>
        <v/>
      </c>
      <c r="P6" s="3" t="str">
        <f t="shared" si="2"/>
        <v/>
      </c>
      <c r="Q6" s="93" t="str" cm="1">
        <f t="array" ref="Q6">IF(ISNUMBER(O6),_xlfn._xlws.FILTER(PartsDB[Hrs_ShopAssy]*N6*O6,PartsDB[Catalog]=I6),"")</f>
        <v/>
      </c>
      <c r="R6" s="92" t="str" cm="1">
        <f t="array" ref="R6">IF(ISNUMBER(O6),_xlfn._xlws.FILTER(PartsDB[Hrs_Eng]*O6,PartsDB[Catalog]=I6),"")</f>
        <v/>
      </c>
      <c r="S6" s="92" t="str" cm="1">
        <f t="array" ref="S6">IF(ISNUMBER(O6),_xlfn._xlws.FILTER(PartsDB[Hrs_PanelAssy]*M6*O6,PartsDB[Catalog]=I6),"")</f>
        <v/>
      </c>
    </row>
    <row r="7" spans="1:21" ht="16.5" thickTop="1" thickBot="1" x14ac:dyDescent="0.3">
      <c r="A7" s="96" t="str">
        <f>IF(B7="","",MAX(A$4:A6)+1)</f>
        <v/>
      </c>
      <c r="B7" s="99" t="str">
        <f t="shared" si="0"/>
        <v/>
      </c>
      <c r="C7" s="35"/>
      <c r="D7" s="35"/>
      <c r="E7" s="35"/>
      <c r="F7" s="35"/>
      <c r="G7" s="36"/>
      <c r="O7" s="19" t="str">
        <f t="shared" si="1"/>
        <v/>
      </c>
      <c r="P7" s="3" t="str">
        <f t="shared" si="2"/>
        <v/>
      </c>
      <c r="Q7" s="93" t="str" cm="1">
        <f t="array" ref="Q7">IF(ISNUMBER(O7),_xlfn._xlws.FILTER(PartsDB[Hrs_ShopAssy]*N7*O7,PartsDB[Catalog]=I7),"")</f>
        <v/>
      </c>
      <c r="R7" s="92" t="str" cm="1">
        <f t="array" ref="R7">IF(ISNUMBER(O7),_xlfn._xlws.FILTER(PartsDB[Hrs_Eng]*O7,PartsDB[Catalog]=I7),"")</f>
        <v/>
      </c>
      <c r="S7" s="92" t="str" cm="1">
        <f t="array" ref="S7">IF(ISNUMBER(O7),_xlfn._xlws.FILTER(PartsDB[Hrs_PanelAssy]*M7*O7,PartsDB[Catalog]=I7),"")</f>
        <v/>
      </c>
    </row>
    <row r="8" spans="1:21" ht="16.5" thickTop="1" thickBot="1" x14ac:dyDescent="0.3">
      <c r="A8" s="96" t="str">
        <f>IF(B8="","",MAX(A$4:A7)+1)</f>
        <v/>
      </c>
      <c r="B8" s="99" t="str">
        <f t="shared" si="0"/>
        <v/>
      </c>
      <c r="C8" s="35"/>
      <c r="D8" s="35"/>
      <c r="E8" s="35"/>
      <c r="F8" s="35"/>
      <c r="G8" s="36"/>
      <c r="O8" s="19" t="str">
        <f t="shared" si="1"/>
        <v/>
      </c>
      <c r="P8" s="3" t="str">
        <f t="shared" si="2"/>
        <v/>
      </c>
      <c r="Q8" s="93" t="str" cm="1">
        <f t="array" ref="Q8">IF(ISNUMBER(O8),_xlfn._xlws.FILTER(PartsDB[Hrs_ShopAssy]*N8*O8,PartsDB[Catalog]=I8),"")</f>
        <v/>
      </c>
      <c r="R8" s="92" t="str" cm="1">
        <f t="array" ref="R8">IF(ISNUMBER(O8),_xlfn._xlws.FILTER(PartsDB[Hrs_Eng]*O8,PartsDB[Catalog]=I8),"")</f>
        <v/>
      </c>
      <c r="S8" s="92" t="str" cm="1">
        <f t="array" ref="S8">IF(ISNUMBER(O8),_xlfn._xlws.FILTER(PartsDB[Hrs_PanelAssy]*M8*O8,PartsDB[Catalog]=I8),"")</f>
        <v/>
      </c>
    </row>
    <row r="9" spans="1:21" ht="16.5" thickTop="1" thickBot="1" x14ac:dyDescent="0.3">
      <c r="A9" s="96" t="str">
        <f>IF(B9="","",MAX(A$4:A8)+1)</f>
        <v/>
      </c>
      <c r="B9" s="99" t="str">
        <f t="shared" si="0"/>
        <v/>
      </c>
      <c r="C9" s="35"/>
      <c r="D9" s="35"/>
      <c r="E9" s="35"/>
      <c r="F9" s="35"/>
      <c r="G9" s="36"/>
      <c r="O9" s="19" t="str">
        <f t="shared" si="1"/>
        <v/>
      </c>
      <c r="P9" s="3" t="str">
        <f t="shared" si="2"/>
        <v/>
      </c>
      <c r="Q9" s="93" t="str" cm="1">
        <f t="array" ref="Q9">IF(ISNUMBER(O9),_xlfn._xlws.FILTER(PartsDB[Hrs_ShopAssy]*N9*O9,PartsDB[Catalog]=I9),"")</f>
        <v/>
      </c>
      <c r="R9" s="92" t="str" cm="1">
        <f t="array" ref="R9">IF(ISNUMBER(O9),_xlfn._xlws.FILTER(PartsDB[Hrs_Eng]*O9,PartsDB[Catalog]=I9),"")</f>
        <v/>
      </c>
      <c r="S9" s="92" t="str" cm="1">
        <f t="array" ref="S9">IF(ISNUMBER(O9),_xlfn._xlws.FILTER(PartsDB[Hrs_PanelAssy]*M9*O9,PartsDB[Catalog]=I9),"")</f>
        <v/>
      </c>
    </row>
    <row r="10" spans="1:21" ht="16.5" thickTop="1" thickBot="1" x14ac:dyDescent="0.3">
      <c r="A10" s="96" t="str">
        <f>IF(B10="","",MAX(A$4:A9)+1)</f>
        <v/>
      </c>
      <c r="B10" s="99" t="str">
        <f t="shared" si="0"/>
        <v/>
      </c>
      <c r="C10" s="35"/>
      <c r="D10" s="35"/>
      <c r="E10" s="35"/>
      <c r="F10" s="35"/>
      <c r="G10" s="36"/>
      <c r="O10" s="19" t="str">
        <f t="shared" si="1"/>
        <v/>
      </c>
      <c r="P10" s="3" t="str">
        <f t="shared" si="2"/>
        <v/>
      </c>
      <c r="Q10" s="93" t="str" cm="1">
        <f t="array" ref="Q10">IF(ISNUMBER(O10),_xlfn._xlws.FILTER(PartsDB[Hrs_ShopAssy]*N10*O10,PartsDB[Catalog]=I10),"")</f>
        <v/>
      </c>
      <c r="R10" s="92" t="str" cm="1">
        <f t="array" ref="R10">IF(ISNUMBER(O10),_xlfn._xlws.FILTER(PartsDB[Hrs_Eng]*O10,PartsDB[Catalog]=I10),"")</f>
        <v/>
      </c>
      <c r="S10" s="92" t="str" cm="1">
        <f t="array" ref="S10">IF(ISNUMBER(O10),_xlfn._xlws.FILTER(PartsDB[Hrs_PanelAssy]*M10*O10,PartsDB[Catalog]=I10),"")</f>
        <v/>
      </c>
    </row>
    <row r="11" spans="1:21" ht="16.5" thickTop="1" thickBot="1" x14ac:dyDescent="0.3">
      <c r="A11" s="96" t="str">
        <f>IF(B11="","",MAX(A$4:A10)+1)</f>
        <v/>
      </c>
      <c r="B11" s="99" t="str">
        <f t="shared" si="0"/>
        <v/>
      </c>
      <c r="C11" s="35"/>
      <c r="D11" s="35"/>
      <c r="E11" s="35"/>
      <c r="F11" s="35"/>
      <c r="G11" s="36"/>
      <c r="O11" s="19" t="str">
        <f t="shared" si="1"/>
        <v/>
      </c>
      <c r="P11" s="3" t="str">
        <f t="shared" si="2"/>
        <v/>
      </c>
      <c r="Q11" s="93" t="str" cm="1">
        <f t="array" ref="Q11">IF(ISNUMBER(O11),_xlfn._xlws.FILTER(PartsDB[Hrs_ShopAssy]*N11*O11,PartsDB[Catalog]=I11),"")</f>
        <v/>
      </c>
      <c r="R11" s="92" t="str" cm="1">
        <f t="array" ref="R11">IF(ISNUMBER(O11),_xlfn._xlws.FILTER(PartsDB[Hrs_Eng]*O11,PartsDB[Catalog]=I11),"")</f>
        <v/>
      </c>
      <c r="S11" s="92" t="str" cm="1">
        <f t="array" ref="S11">IF(ISNUMBER(O11),_xlfn._xlws.FILTER(PartsDB[Hrs_PanelAssy]*M11*O11,PartsDB[Catalog]=I11),"")</f>
        <v/>
      </c>
    </row>
    <row r="12" spans="1:21" ht="16.5" thickTop="1" thickBot="1" x14ac:dyDescent="0.3">
      <c r="A12" s="96" t="str">
        <f>IF(B12="","",MAX(A$4:A11)+1)</f>
        <v/>
      </c>
      <c r="B12" s="99" t="str">
        <f t="shared" si="0"/>
        <v/>
      </c>
      <c r="C12" s="35"/>
      <c r="D12" s="35"/>
      <c r="E12" s="35"/>
      <c r="F12" s="35"/>
      <c r="G12" s="36"/>
      <c r="O12" s="19" t="str">
        <f t="shared" si="1"/>
        <v/>
      </c>
      <c r="P12" s="3" t="str">
        <f t="shared" si="2"/>
        <v/>
      </c>
      <c r="Q12" s="93" t="str" cm="1">
        <f t="array" ref="Q12">IF(ISNUMBER(O12),_xlfn._xlws.FILTER(PartsDB[Hrs_ShopAssy]*N12*O12,PartsDB[Catalog]=I12),"")</f>
        <v/>
      </c>
      <c r="R12" s="92" t="str" cm="1">
        <f t="array" ref="R12">IF(ISNUMBER(O12),_xlfn._xlws.FILTER(PartsDB[Hrs_Eng]*O12,PartsDB[Catalog]=I12),"")</f>
        <v/>
      </c>
      <c r="S12" s="92" t="str" cm="1">
        <f t="array" ref="S12">IF(ISNUMBER(O12),_xlfn._xlws.FILTER(PartsDB[Hrs_PanelAssy]*M12*O12,PartsDB[Catalog]=I12),"")</f>
        <v/>
      </c>
    </row>
    <row r="13" spans="1:21" ht="16.5" thickTop="1" thickBot="1" x14ac:dyDescent="0.3">
      <c r="A13" s="96" t="str">
        <f>IF(B13="","",MAX(A$4:A12)+1)</f>
        <v/>
      </c>
      <c r="B13" s="99" t="str">
        <f t="shared" si="0"/>
        <v/>
      </c>
      <c r="C13" s="35"/>
      <c r="D13" s="35"/>
      <c r="E13" s="35"/>
      <c r="F13" s="35"/>
      <c r="G13" s="36"/>
      <c r="O13" s="19" t="str">
        <f t="shared" si="1"/>
        <v/>
      </c>
      <c r="P13" s="3" t="str">
        <f t="shared" si="2"/>
        <v/>
      </c>
      <c r="Q13" s="93" t="str" cm="1">
        <f t="array" ref="Q13">IF(ISNUMBER(O13),_xlfn._xlws.FILTER(PartsDB[Hrs_ShopAssy]*N13*O13,PartsDB[Catalog]=I13),"")</f>
        <v/>
      </c>
      <c r="R13" s="92" t="str" cm="1">
        <f t="array" ref="R13">IF(ISNUMBER(O13),_xlfn._xlws.FILTER(PartsDB[Hrs_Eng]*O13,PartsDB[Catalog]=I13),"")</f>
        <v/>
      </c>
      <c r="S13" s="92" t="str" cm="1">
        <f t="array" ref="S13">IF(ISNUMBER(O13),_xlfn._xlws.FILTER(PartsDB[Hrs_PanelAssy]*M13*O13,PartsDB[Catalog]=I13),"")</f>
        <v/>
      </c>
    </row>
    <row r="14" spans="1:21" ht="16.5" thickTop="1" thickBot="1" x14ac:dyDescent="0.3">
      <c r="A14" s="96" t="str">
        <f>IF(B14="","",MAX(A$4:A13)+1)</f>
        <v/>
      </c>
      <c r="B14" s="99" t="str">
        <f t="shared" si="0"/>
        <v/>
      </c>
      <c r="C14" s="35"/>
      <c r="D14" s="35"/>
      <c r="E14" s="35"/>
      <c r="F14" s="35"/>
      <c r="G14" s="36"/>
      <c r="O14" s="19" t="str">
        <f t="shared" si="1"/>
        <v/>
      </c>
      <c r="P14" s="3" t="str">
        <f t="shared" si="2"/>
        <v/>
      </c>
      <c r="Q14" s="93" t="str" cm="1">
        <f t="array" ref="Q14">IF(ISNUMBER(O14),_xlfn._xlws.FILTER(PartsDB[Hrs_ShopAssy]*N14*O14,PartsDB[Catalog]=I14),"")</f>
        <v/>
      </c>
      <c r="R14" s="92" t="str" cm="1">
        <f t="array" ref="R14">IF(ISNUMBER(O14),_xlfn._xlws.FILTER(PartsDB[Hrs_Eng]*O14,PartsDB[Catalog]=I14),"")</f>
        <v/>
      </c>
      <c r="S14" s="92" t="str" cm="1">
        <f t="array" ref="S14">IF(ISNUMBER(O14),_xlfn._xlws.FILTER(PartsDB[Hrs_PanelAssy]*M14*O14,PartsDB[Catalog]=I14),"")</f>
        <v/>
      </c>
    </row>
    <row r="15" spans="1:21" ht="16.5" thickTop="1" thickBot="1" x14ac:dyDescent="0.3">
      <c r="A15" s="96" t="str">
        <f>IF(B15="","",MAX(A$4:A14)+1)</f>
        <v/>
      </c>
      <c r="B15" s="99" t="str">
        <f t="shared" si="0"/>
        <v/>
      </c>
      <c r="C15" s="35"/>
      <c r="D15" s="108"/>
      <c r="E15" s="35"/>
      <c r="F15" s="35"/>
      <c r="G15" s="36"/>
      <c r="O15" s="19" t="str">
        <f t="shared" si="1"/>
        <v/>
      </c>
      <c r="P15" s="3" t="str">
        <f t="shared" si="2"/>
        <v/>
      </c>
      <c r="Q15" s="93" t="str" cm="1">
        <f t="array" ref="Q15">IF(ISNUMBER(O15),_xlfn._xlws.FILTER(PartsDB[Hrs_ShopAssy]*N15*O15,PartsDB[Catalog]=I15),"")</f>
        <v/>
      </c>
      <c r="R15" s="92" t="str" cm="1">
        <f t="array" ref="R15">IF(ISNUMBER(O15),_xlfn._xlws.FILTER(PartsDB[Hrs_Eng]*O15,PartsDB[Catalog]=I15),"")</f>
        <v/>
      </c>
      <c r="S15" s="92" t="str" cm="1">
        <f t="array" ref="S15">IF(ISNUMBER(O15),_xlfn._xlws.FILTER(PartsDB[Hrs_PanelAssy]*M15*O15,PartsDB[Catalog]=I15),"")</f>
        <v/>
      </c>
    </row>
    <row r="16" spans="1:21" ht="16.5" thickTop="1" thickBot="1" x14ac:dyDescent="0.3">
      <c r="A16" s="96" t="str">
        <f>IF(B16="","",MAX(A$4:A15)+1)</f>
        <v/>
      </c>
      <c r="B16" s="99" t="str">
        <f t="shared" si="0"/>
        <v/>
      </c>
      <c r="C16" s="35"/>
      <c r="D16" s="35"/>
      <c r="E16" s="35"/>
      <c r="F16" s="35"/>
      <c r="G16" s="36"/>
      <c r="O16" s="19" t="str">
        <f t="shared" si="1"/>
        <v/>
      </c>
      <c r="P16" s="3" t="str">
        <f t="shared" si="2"/>
        <v/>
      </c>
      <c r="Q16" s="93" t="str" cm="1">
        <f t="array" ref="Q16">IF(ISNUMBER(O16),_xlfn._xlws.FILTER(PartsDB[Hrs_ShopAssy]*N16*O16,PartsDB[Catalog]=I16),"")</f>
        <v/>
      </c>
      <c r="R16" s="92" t="str" cm="1">
        <f t="array" ref="R16">IF(ISNUMBER(O16),_xlfn._xlws.FILTER(PartsDB[Hrs_Eng]*O16,PartsDB[Catalog]=I16),"")</f>
        <v/>
      </c>
      <c r="S16" s="92" t="str" cm="1">
        <f t="array" ref="S16">IF(ISNUMBER(O16),_xlfn._xlws.FILTER(PartsDB[Hrs_PanelAssy]*M16*O16,PartsDB[Catalog]=I16),"")</f>
        <v/>
      </c>
    </row>
    <row r="17" spans="1:19" ht="16.5" thickTop="1" thickBot="1" x14ac:dyDescent="0.3">
      <c r="A17" s="96" t="str">
        <f>IF(B17="","",MAX(A$4:A16)+1)</f>
        <v/>
      </c>
      <c r="B17" s="99" t="str">
        <f t="shared" si="0"/>
        <v/>
      </c>
      <c r="C17" s="35"/>
      <c r="D17" s="35"/>
      <c r="E17" s="35"/>
      <c r="F17" s="35"/>
      <c r="G17" s="36"/>
      <c r="O17" s="19" t="str">
        <f t="shared" si="1"/>
        <v/>
      </c>
      <c r="P17" s="3" t="str">
        <f t="shared" si="2"/>
        <v/>
      </c>
      <c r="Q17" s="93" t="str" cm="1">
        <f t="array" ref="Q17">IF(ISNUMBER(O17),_xlfn._xlws.FILTER(PartsDB[Hrs_ShopAssy]*N17*O17,PartsDB[Catalog]=I17),"")</f>
        <v/>
      </c>
      <c r="R17" s="92" t="str" cm="1">
        <f t="array" ref="R17">IF(ISNUMBER(O17),_xlfn._xlws.FILTER(PartsDB[Hrs_Eng]*O17,PartsDB[Catalog]=I17),"")</f>
        <v/>
      </c>
      <c r="S17" s="92" t="str" cm="1">
        <f t="array" ref="S17">IF(ISNUMBER(O17),_xlfn._xlws.FILTER(PartsDB[Hrs_PanelAssy]*M17*O17,PartsDB[Catalog]=I17),"")</f>
        <v/>
      </c>
    </row>
    <row r="18" spans="1:19" ht="16.5" thickTop="1" thickBot="1" x14ac:dyDescent="0.3">
      <c r="A18" s="96" t="str">
        <f>IF(B18="","",MAX(A$4:A17)+1)</f>
        <v/>
      </c>
      <c r="B18" s="99" t="str">
        <f t="shared" si="0"/>
        <v/>
      </c>
      <c r="C18" s="35"/>
      <c r="D18" s="35"/>
      <c r="E18" s="35"/>
      <c r="F18" s="35"/>
      <c r="G18" s="36"/>
      <c r="O18" s="19" t="str">
        <f t="shared" si="1"/>
        <v/>
      </c>
      <c r="P18" s="3" t="str">
        <f t="shared" si="2"/>
        <v/>
      </c>
      <c r="Q18" s="93" t="str" cm="1">
        <f t="array" ref="Q18">IF(ISNUMBER(O18),_xlfn._xlws.FILTER(PartsDB[Hrs_ShopAssy]*N18*O18,PartsDB[Catalog]=I18),"")</f>
        <v/>
      </c>
      <c r="R18" s="92" t="str" cm="1">
        <f t="array" ref="R18">IF(ISNUMBER(O18),_xlfn._xlws.FILTER(PartsDB[Hrs_Eng]*O18,PartsDB[Catalog]=I18),"")</f>
        <v/>
      </c>
      <c r="S18" s="92" t="str" cm="1">
        <f t="array" ref="S18">IF(ISNUMBER(O18),_xlfn._xlws.FILTER(PartsDB[Hrs_PanelAssy]*M18*O18,PartsDB[Catalog]=I18),"")</f>
        <v/>
      </c>
    </row>
    <row r="19" spans="1:19" ht="16.5" thickTop="1" thickBot="1" x14ac:dyDescent="0.3">
      <c r="A19" s="96" t="str">
        <f>IF(B19="","",MAX(A$4:A18)+1)</f>
        <v/>
      </c>
      <c r="B19" s="99" t="str">
        <f t="shared" si="0"/>
        <v/>
      </c>
      <c r="C19" s="35"/>
      <c r="D19" s="35"/>
      <c r="E19" s="35"/>
      <c r="F19" s="35"/>
      <c r="G19" s="36"/>
      <c r="O19" s="19" t="str">
        <f t="shared" si="1"/>
        <v/>
      </c>
      <c r="P19" s="3" t="str">
        <f t="shared" si="2"/>
        <v/>
      </c>
      <c r="Q19" s="93" t="str" cm="1">
        <f t="array" ref="Q19">IF(ISNUMBER(O19),_xlfn._xlws.FILTER(PartsDB[Hrs_ShopAssy]*N19*O19,PartsDB[Catalog]=I19),"")</f>
        <v/>
      </c>
      <c r="R19" s="92" t="str" cm="1">
        <f t="array" ref="R19">IF(ISNUMBER(O19),_xlfn._xlws.FILTER(PartsDB[Hrs_Eng]*O19,PartsDB[Catalog]=I19),"")</f>
        <v/>
      </c>
      <c r="S19" s="92" t="str" cm="1">
        <f t="array" ref="S19">IF(ISNUMBER(O19),_xlfn._xlws.FILTER(PartsDB[Hrs_PanelAssy]*M19*O19,PartsDB[Catalog]=I19),"")</f>
        <v/>
      </c>
    </row>
    <row r="20" spans="1:19" ht="16.5" thickTop="1" thickBot="1" x14ac:dyDescent="0.3">
      <c r="A20" s="96" t="str">
        <f>IF(B20="","",MAX(A$4:A19)+1)</f>
        <v/>
      </c>
      <c r="B20" s="99" t="str">
        <f t="shared" si="0"/>
        <v/>
      </c>
      <c r="C20" s="35"/>
      <c r="D20" s="35"/>
      <c r="E20" s="35"/>
      <c r="F20" s="35"/>
      <c r="G20" s="36"/>
      <c r="O20" s="19" t="str">
        <f t="shared" si="1"/>
        <v/>
      </c>
      <c r="P20" s="3" t="str">
        <f t="shared" si="2"/>
        <v/>
      </c>
      <c r="Q20" s="93" t="str" cm="1">
        <f t="array" ref="Q20">IF(ISNUMBER(O20),_xlfn._xlws.FILTER(PartsDB[Hrs_ShopAssy]*N20*O20,PartsDB[Catalog]=I20),"")</f>
        <v/>
      </c>
      <c r="R20" s="92" t="str" cm="1">
        <f t="array" ref="R20">IF(ISNUMBER(O20),_xlfn._xlws.FILTER(PartsDB[Hrs_Eng]*O20,PartsDB[Catalog]=I20),"")</f>
        <v/>
      </c>
      <c r="S20" s="92" t="str" cm="1">
        <f t="array" ref="S20">IF(ISNUMBER(O20),_xlfn._xlws.FILTER(PartsDB[Hrs_PanelAssy]*M20*O20,PartsDB[Catalog]=I20),"")</f>
        <v/>
      </c>
    </row>
    <row r="21" spans="1:19" ht="16.5" thickTop="1" thickBot="1" x14ac:dyDescent="0.3">
      <c r="A21" s="96" t="str">
        <f>IF(B21="","",MAX(A$4:A20)+1)</f>
        <v/>
      </c>
      <c r="B21" s="99" t="str">
        <f t="shared" si="0"/>
        <v/>
      </c>
      <c r="C21" s="35"/>
      <c r="D21" s="35"/>
      <c r="E21" s="35"/>
      <c r="F21" s="35"/>
      <c r="G21" s="36"/>
      <c r="O21" s="19" t="str">
        <f t="shared" si="1"/>
        <v/>
      </c>
      <c r="P21" s="3" t="str">
        <f t="shared" si="2"/>
        <v/>
      </c>
      <c r="Q21" s="93" t="str" cm="1">
        <f t="array" ref="Q21">IF(ISNUMBER(O21),_xlfn._xlws.FILTER(PartsDB[Hrs_ShopAssy]*N21*O21,PartsDB[Catalog]=I21),"")</f>
        <v/>
      </c>
      <c r="R21" s="92" t="str" cm="1">
        <f t="array" ref="R21">IF(ISNUMBER(O21),_xlfn._xlws.FILTER(PartsDB[Hrs_Eng]*O21,PartsDB[Catalog]=I21),"")</f>
        <v/>
      </c>
      <c r="S21" s="92" t="str" cm="1">
        <f t="array" ref="S21">IF(ISNUMBER(O21),_xlfn._xlws.FILTER(PartsDB[Hrs_PanelAssy]*M21*O21,PartsDB[Catalog]=I21),"")</f>
        <v/>
      </c>
    </row>
    <row r="22" spans="1:19" ht="16.5" thickTop="1" thickBot="1" x14ac:dyDescent="0.3">
      <c r="A22" s="96" t="str">
        <f>IF(B22="","",MAX(A$4:A21)+1)</f>
        <v/>
      </c>
      <c r="B22" s="99" t="str">
        <f t="shared" si="0"/>
        <v/>
      </c>
      <c r="C22" s="35"/>
      <c r="D22" s="35"/>
      <c r="E22" s="35"/>
      <c r="F22" s="35"/>
      <c r="G22" s="36"/>
      <c r="O22" s="19" t="str">
        <f t="shared" si="1"/>
        <v/>
      </c>
      <c r="P22" s="3" t="str">
        <f t="shared" si="2"/>
        <v/>
      </c>
      <c r="Q22" s="93" t="str" cm="1">
        <f t="array" ref="Q22">IF(ISNUMBER(O22),_xlfn._xlws.FILTER(PartsDB[Hrs_ShopAssy]*N22*O22,PartsDB[Catalog]=I22),"")</f>
        <v/>
      </c>
      <c r="R22" s="92" t="str" cm="1">
        <f t="array" ref="R22">IF(ISNUMBER(O22),_xlfn._xlws.FILTER(PartsDB[Hrs_Eng]*O22,PartsDB[Catalog]=I22),"")</f>
        <v/>
      </c>
      <c r="S22" s="92" t="str" cm="1">
        <f t="array" ref="S22">IF(ISNUMBER(O22),_xlfn._xlws.FILTER(PartsDB[Hrs_PanelAssy]*M22*O22,PartsDB[Catalog]=I22),"")</f>
        <v/>
      </c>
    </row>
    <row r="23" spans="1:19" ht="16.5" thickTop="1" thickBot="1" x14ac:dyDescent="0.3">
      <c r="A23" s="96" t="str">
        <f>IF(B23="","",MAX(A$4:A22)+1)</f>
        <v/>
      </c>
      <c r="B23" s="99" t="str">
        <f t="shared" si="0"/>
        <v/>
      </c>
      <c r="C23" s="35"/>
      <c r="D23" s="35"/>
      <c r="E23" s="35"/>
      <c r="F23" s="35"/>
      <c r="G23" s="36"/>
      <c r="O23" s="19" t="str">
        <f t="shared" si="1"/>
        <v/>
      </c>
      <c r="P23" s="3" t="str">
        <f t="shared" si="2"/>
        <v/>
      </c>
      <c r="Q23" s="93" t="str" cm="1">
        <f t="array" ref="Q23">IF(ISNUMBER(O23),_xlfn._xlws.FILTER(PartsDB[Hrs_ShopAssy]*N23*O23,PartsDB[Catalog]=I23),"")</f>
        <v/>
      </c>
      <c r="R23" s="92" t="str" cm="1">
        <f t="array" ref="R23">IF(ISNUMBER(O23),_xlfn._xlws.FILTER(PartsDB[Hrs_Eng]*O23,PartsDB[Catalog]=I23),"")</f>
        <v/>
      </c>
      <c r="S23" s="92" t="str" cm="1">
        <f t="array" ref="S23">IF(ISNUMBER(O23),_xlfn._xlws.FILTER(PartsDB[Hrs_PanelAssy]*M23*O23,PartsDB[Catalog]=I23),"")</f>
        <v/>
      </c>
    </row>
    <row r="24" spans="1:19" ht="16.5" thickTop="1" thickBot="1" x14ac:dyDescent="0.3">
      <c r="A24" s="96" t="str">
        <f>IF(B24="","",MAX(A$4:A23)+1)</f>
        <v/>
      </c>
      <c r="B24" s="99" t="str">
        <f t="shared" si="0"/>
        <v/>
      </c>
      <c r="C24" s="35"/>
      <c r="D24" s="35"/>
      <c r="E24" s="35"/>
      <c r="F24" s="35"/>
      <c r="G24" s="36"/>
      <c r="O24" s="19" t="str">
        <f t="shared" si="1"/>
        <v/>
      </c>
      <c r="P24" s="3" t="str">
        <f t="shared" si="2"/>
        <v/>
      </c>
      <c r="Q24" s="93" t="str" cm="1">
        <f t="array" ref="Q24">IF(ISNUMBER(O24),_xlfn._xlws.FILTER(PartsDB[Hrs_ShopAssy]*N24*O24,PartsDB[Catalog]=I24),"")</f>
        <v/>
      </c>
      <c r="R24" s="92" t="str" cm="1">
        <f t="array" ref="R24">IF(ISNUMBER(O24),_xlfn._xlws.FILTER(PartsDB[Hrs_Eng]*O24,PartsDB[Catalog]=I24),"")</f>
        <v/>
      </c>
      <c r="S24" s="92" t="str" cm="1">
        <f t="array" ref="S24">IF(ISNUMBER(O24),_xlfn._xlws.FILTER(PartsDB[Hrs_PanelAssy]*M24*O24,PartsDB[Catalog]=I24),"")</f>
        <v/>
      </c>
    </row>
    <row r="25" spans="1:19" ht="16.5" thickTop="1" thickBot="1" x14ac:dyDescent="0.3">
      <c r="A25" s="96" t="str">
        <f>IF(B25="","",MAX(A$4:A24)+1)</f>
        <v/>
      </c>
      <c r="B25" s="99" t="str">
        <f t="shared" si="0"/>
        <v/>
      </c>
      <c r="C25" s="35"/>
      <c r="D25" s="35"/>
      <c r="E25" s="35"/>
      <c r="F25" s="35"/>
      <c r="G25" s="36"/>
      <c r="O25" s="19" t="str">
        <f t="shared" si="1"/>
        <v/>
      </c>
      <c r="P25" s="3" t="str">
        <f t="shared" si="2"/>
        <v/>
      </c>
      <c r="Q25" s="93" t="str" cm="1">
        <f t="array" ref="Q25">IF(ISNUMBER(O25),_xlfn._xlws.FILTER(PartsDB[Hrs_ShopAssy]*N25*O25,PartsDB[Catalog]=I25),"")</f>
        <v/>
      </c>
      <c r="R25" s="92" t="str" cm="1">
        <f t="array" ref="R25">IF(ISNUMBER(O25),_xlfn._xlws.FILTER(PartsDB[Hrs_Eng]*O25,PartsDB[Catalog]=I25),"")</f>
        <v/>
      </c>
      <c r="S25" s="92" t="str" cm="1">
        <f t="array" ref="S25">IF(ISNUMBER(O25),_xlfn._xlws.FILTER(PartsDB[Hrs_PanelAssy]*M25*O25,PartsDB[Catalog]=I25),"")</f>
        <v/>
      </c>
    </row>
    <row r="26" spans="1:19" ht="16.5" thickTop="1" thickBot="1" x14ac:dyDescent="0.3">
      <c r="A26" s="96" t="str">
        <f>IF(B26="","",MAX(A$4:A25)+1)</f>
        <v/>
      </c>
      <c r="B26" s="99" t="str">
        <f t="shared" si="0"/>
        <v/>
      </c>
      <c r="C26" s="35"/>
      <c r="D26" s="35"/>
      <c r="E26" s="35"/>
      <c r="F26" s="35"/>
      <c r="G26" s="36"/>
      <c r="O26" s="19" t="str">
        <f t="shared" si="1"/>
        <v/>
      </c>
      <c r="P26" s="3" t="str">
        <f t="shared" si="2"/>
        <v/>
      </c>
      <c r="Q26" s="93" t="str" cm="1">
        <f t="array" ref="Q26">IF(ISNUMBER(O26),_xlfn._xlws.FILTER(PartsDB[Hrs_ShopAssy]*N26*O26,PartsDB[Catalog]=I26),"")</f>
        <v/>
      </c>
      <c r="R26" s="92" t="str" cm="1">
        <f t="array" ref="R26">IF(ISNUMBER(O26),_xlfn._xlws.FILTER(PartsDB[Hrs_Eng]*O26,PartsDB[Catalog]=I26),"")</f>
        <v/>
      </c>
      <c r="S26" s="92" t="str" cm="1">
        <f t="array" ref="S26">IF(ISNUMBER(O26),_xlfn._xlws.FILTER(PartsDB[Hrs_PanelAssy]*M26*O26,PartsDB[Catalog]=I26),"")</f>
        <v/>
      </c>
    </row>
    <row r="27" spans="1:19" ht="16.5" thickTop="1" thickBot="1" x14ac:dyDescent="0.3">
      <c r="A27" s="96" t="str">
        <f>IF(B27="","",MAX(A$4:A26)+1)</f>
        <v/>
      </c>
      <c r="B27" s="99" t="str">
        <f t="shared" si="0"/>
        <v/>
      </c>
      <c r="C27" s="35"/>
      <c r="D27" s="35"/>
      <c r="E27" s="35"/>
      <c r="F27" s="35"/>
      <c r="G27" s="36"/>
      <c r="O27" s="19" t="str">
        <f t="shared" si="1"/>
        <v/>
      </c>
      <c r="P27" s="3" t="str">
        <f t="shared" si="2"/>
        <v/>
      </c>
      <c r="Q27" s="93" t="str" cm="1">
        <f t="array" ref="Q27">IF(ISNUMBER(O27),_xlfn._xlws.FILTER(PartsDB[Hrs_ShopAssy]*N27*O27,PartsDB[Catalog]=I27),"")</f>
        <v/>
      </c>
      <c r="R27" s="92" t="str" cm="1">
        <f t="array" ref="R27">IF(ISNUMBER(O27),_xlfn._xlws.FILTER(PartsDB[Hrs_Eng]*O27,PartsDB[Catalog]=I27),"")</f>
        <v/>
      </c>
      <c r="S27" s="92" t="str" cm="1">
        <f t="array" ref="S27">IF(ISNUMBER(O27),_xlfn._xlws.FILTER(PartsDB[Hrs_PanelAssy]*M27*O27,PartsDB[Catalog]=I27),"")</f>
        <v/>
      </c>
    </row>
    <row r="28" spans="1:19" ht="16.5" thickTop="1" thickBot="1" x14ac:dyDescent="0.3">
      <c r="A28" s="96" t="str">
        <f>IF(B28="","",MAX(A$4:A27)+1)</f>
        <v/>
      </c>
      <c r="B28" s="99" t="str">
        <f t="shared" si="0"/>
        <v/>
      </c>
      <c r="C28" s="35"/>
      <c r="D28" s="35"/>
      <c r="E28" s="35"/>
      <c r="F28" s="35"/>
      <c r="G28" s="36"/>
      <c r="O28" s="19" t="str">
        <f t="shared" si="1"/>
        <v/>
      </c>
      <c r="P28" s="3" t="str">
        <f t="shared" si="2"/>
        <v/>
      </c>
      <c r="Q28" s="93" t="str" cm="1">
        <f t="array" ref="Q28">IF(ISNUMBER(O28),_xlfn._xlws.FILTER(PartsDB[Hrs_ShopAssy]*N28*O28,PartsDB[Catalog]=I28),"")</f>
        <v/>
      </c>
      <c r="R28" s="92" t="str" cm="1">
        <f t="array" ref="R28">IF(ISNUMBER(O28),_xlfn._xlws.FILTER(PartsDB[Hrs_Eng]*O28,PartsDB[Catalog]=I28),"")</f>
        <v/>
      </c>
      <c r="S28" s="92" t="str" cm="1">
        <f t="array" ref="S28">IF(ISNUMBER(O28),_xlfn._xlws.FILTER(PartsDB[Hrs_PanelAssy]*M28*O28,PartsDB[Catalog]=I28),"")</f>
        <v/>
      </c>
    </row>
    <row r="29" spans="1:19" ht="16.5" thickTop="1" thickBot="1" x14ac:dyDescent="0.3">
      <c r="A29" s="96" t="str">
        <f>IF(B29="","",MAX(A$4:A28)+1)</f>
        <v/>
      </c>
      <c r="B29" s="99" t="str">
        <f t="shared" si="0"/>
        <v/>
      </c>
      <c r="C29" s="35"/>
      <c r="D29" s="35"/>
      <c r="E29" s="35"/>
      <c r="F29" s="35"/>
      <c r="G29" s="36"/>
      <c r="O29" s="19" t="str">
        <f t="shared" si="1"/>
        <v/>
      </c>
      <c r="P29" s="3" t="str">
        <f t="shared" si="2"/>
        <v/>
      </c>
      <c r="Q29" s="93" t="str" cm="1">
        <f t="array" ref="Q29">IF(ISNUMBER(O29),_xlfn._xlws.FILTER(PartsDB[Hrs_ShopAssy]*N29*O29,PartsDB[Catalog]=I29),"")</f>
        <v/>
      </c>
      <c r="R29" s="92" t="str" cm="1">
        <f t="array" ref="R29">IF(ISNUMBER(O29),_xlfn._xlws.FILTER(PartsDB[Hrs_Eng]*O29,PartsDB[Catalog]=I29),"")</f>
        <v/>
      </c>
      <c r="S29" s="92" t="str" cm="1">
        <f t="array" ref="S29">IF(ISNUMBER(O29),_xlfn._xlws.FILTER(PartsDB[Hrs_PanelAssy]*M29*O29,PartsDB[Catalog]=I29),"")</f>
        <v/>
      </c>
    </row>
    <row r="30" spans="1:19" ht="16.5" thickTop="1" thickBot="1" x14ac:dyDescent="0.3">
      <c r="A30" s="96" t="str">
        <f>IF(B30="","",MAX(A$4:A29)+1)</f>
        <v/>
      </c>
      <c r="B30" s="99" t="str">
        <f t="shared" si="0"/>
        <v/>
      </c>
      <c r="C30" s="35"/>
      <c r="D30" s="35"/>
      <c r="E30" s="35"/>
      <c r="F30" s="35"/>
      <c r="G30" s="36"/>
      <c r="O30" s="19" t="str">
        <f t="shared" si="1"/>
        <v/>
      </c>
      <c r="P30" s="3" t="str">
        <f t="shared" si="2"/>
        <v/>
      </c>
      <c r="Q30" s="93" t="str" cm="1">
        <f t="array" ref="Q30">IF(ISNUMBER(O30),_xlfn._xlws.FILTER(PartsDB[Hrs_ShopAssy]*N30*O30,PartsDB[Catalog]=I30),"")</f>
        <v/>
      </c>
      <c r="R30" s="92" t="str" cm="1">
        <f t="array" ref="R30">IF(ISNUMBER(O30),_xlfn._xlws.FILTER(PartsDB[Hrs_Eng]*O30,PartsDB[Catalog]=I30),"")</f>
        <v/>
      </c>
      <c r="S30" s="92" t="str" cm="1">
        <f t="array" ref="S30">IF(ISNUMBER(O30),_xlfn._xlws.FILTER(PartsDB[Hrs_PanelAssy]*M30*O30,PartsDB[Catalog]=I30),"")</f>
        <v/>
      </c>
    </row>
    <row r="31" spans="1:19" ht="16.5" thickTop="1" thickBot="1" x14ac:dyDescent="0.3">
      <c r="A31" s="96" t="str">
        <f>IF(B31="","",MAX(A$4:A30)+1)</f>
        <v/>
      </c>
      <c r="B31" s="99" t="str">
        <f t="shared" si="0"/>
        <v/>
      </c>
      <c r="C31" s="35"/>
      <c r="D31" s="35"/>
      <c r="E31" s="35"/>
      <c r="F31" s="35"/>
      <c r="G31" s="36"/>
      <c r="O31" s="19" t="str">
        <f t="shared" si="1"/>
        <v/>
      </c>
      <c r="P31" s="3" t="str">
        <f t="shared" si="2"/>
        <v/>
      </c>
      <c r="Q31" s="93" t="str" cm="1">
        <f t="array" ref="Q31">IF(ISNUMBER(O31),_xlfn._xlws.FILTER(PartsDB[Hrs_ShopAssy]*N31*O31,PartsDB[Catalog]=I31),"")</f>
        <v/>
      </c>
      <c r="R31" s="92" t="str" cm="1">
        <f t="array" ref="R31">IF(ISNUMBER(O31),_xlfn._xlws.FILTER(PartsDB[Hrs_Eng]*O31,PartsDB[Catalog]=I31),"")</f>
        <v/>
      </c>
      <c r="S31" s="92" t="str" cm="1">
        <f t="array" ref="S31">IF(ISNUMBER(O31),_xlfn._xlws.FILTER(PartsDB[Hrs_PanelAssy]*M31*O31,PartsDB[Catalog]=I31),"")</f>
        <v/>
      </c>
    </row>
    <row r="32" spans="1:19" ht="16.5" thickTop="1" thickBot="1" x14ac:dyDescent="0.3">
      <c r="A32" s="96" t="str">
        <f>IF(B32="","",MAX(A$4:A31)+1)</f>
        <v/>
      </c>
      <c r="B32" s="99" t="str">
        <f t="shared" si="0"/>
        <v/>
      </c>
      <c r="C32" s="35"/>
      <c r="D32" s="35"/>
      <c r="E32" s="35"/>
      <c r="F32" s="35"/>
      <c r="G32" s="36"/>
      <c r="O32" s="19" t="str">
        <f t="shared" si="1"/>
        <v/>
      </c>
      <c r="P32" s="3" t="str">
        <f t="shared" si="2"/>
        <v/>
      </c>
      <c r="Q32" s="93" t="str" cm="1">
        <f t="array" ref="Q32">IF(ISNUMBER(O32),_xlfn._xlws.FILTER(PartsDB[Hrs_ShopAssy]*N32*O32,PartsDB[Catalog]=I32),"")</f>
        <v/>
      </c>
      <c r="R32" s="92" t="str" cm="1">
        <f t="array" ref="R32">IF(ISNUMBER(O32),_xlfn._xlws.FILTER(PartsDB[Hrs_Eng]*O32,PartsDB[Catalog]=I32),"")</f>
        <v/>
      </c>
      <c r="S32" s="92" t="str" cm="1">
        <f t="array" ref="S32">IF(ISNUMBER(O32),_xlfn._xlws.FILTER(PartsDB[Hrs_PanelAssy]*M32*O32,PartsDB[Catalog]=I32),"")</f>
        <v/>
      </c>
    </row>
    <row r="33" spans="1:19" ht="16.5" thickTop="1" thickBot="1" x14ac:dyDescent="0.3">
      <c r="A33" s="96" t="str">
        <f>IF(B33="","",MAX(A$4:A32)+1)</f>
        <v/>
      </c>
      <c r="B33" s="99" t="str">
        <f t="shared" si="0"/>
        <v/>
      </c>
      <c r="C33" s="35"/>
      <c r="D33" s="35"/>
      <c r="E33" s="35"/>
      <c r="F33" s="35"/>
      <c r="G33" s="36"/>
      <c r="O33" s="19" t="str">
        <f t="shared" si="1"/>
        <v/>
      </c>
      <c r="P33" s="3" t="str">
        <f t="shared" si="2"/>
        <v/>
      </c>
      <c r="Q33" s="93" t="str" cm="1">
        <f t="array" ref="Q33">IF(ISNUMBER(O33),_xlfn._xlws.FILTER(PartsDB[Hrs_ShopAssy]*N33*O33,PartsDB[Catalog]=I33),"")</f>
        <v/>
      </c>
      <c r="R33" s="92" t="str" cm="1">
        <f t="array" ref="R33">IF(ISNUMBER(O33),_xlfn._xlws.FILTER(PartsDB[Hrs_Eng]*O33,PartsDB[Catalog]=I33),"")</f>
        <v/>
      </c>
      <c r="S33" s="92" t="str" cm="1">
        <f t="array" ref="S33">IF(ISNUMBER(O33),_xlfn._xlws.FILTER(PartsDB[Hrs_PanelAssy]*M33*O33,PartsDB[Catalog]=I33),"")</f>
        <v/>
      </c>
    </row>
    <row r="34" spans="1:19" ht="16.5" thickTop="1" thickBot="1" x14ac:dyDescent="0.3">
      <c r="A34" s="96" t="str">
        <f>IF(B34="","",MAX(A$4:A33)+1)</f>
        <v/>
      </c>
      <c r="B34" s="99" t="str">
        <f t="shared" si="0"/>
        <v/>
      </c>
      <c r="C34" s="35"/>
      <c r="D34" s="35"/>
      <c r="E34" s="35"/>
      <c r="F34" s="35"/>
      <c r="G34" s="36"/>
      <c r="O34" s="19" t="str">
        <f t="shared" si="1"/>
        <v/>
      </c>
      <c r="P34" s="3" t="str">
        <f t="shared" si="2"/>
        <v/>
      </c>
      <c r="Q34" s="93" t="str" cm="1">
        <f t="array" ref="Q34">IF(ISNUMBER(O34),_xlfn._xlws.FILTER(PartsDB[Hrs_ShopAssy]*N34*O34,PartsDB[Catalog]=I34),"")</f>
        <v/>
      </c>
      <c r="R34" s="92" t="str" cm="1">
        <f t="array" ref="R34">IF(ISNUMBER(O34),_xlfn._xlws.FILTER(PartsDB[Hrs_Eng]*O34,PartsDB[Catalog]=I34),"")</f>
        <v/>
      </c>
      <c r="S34" s="92" t="str" cm="1">
        <f t="array" ref="S34">IF(ISNUMBER(O34),_xlfn._xlws.FILTER(PartsDB[Hrs_PanelAssy]*M34*O34,PartsDB[Catalog]=I34),"")</f>
        <v/>
      </c>
    </row>
    <row r="35" spans="1:19" ht="16.5" thickTop="1" thickBot="1" x14ac:dyDescent="0.3">
      <c r="A35" s="96" t="str">
        <f>IF(B35="","",MAX(A$4:A34)+1)</f>
        <v/>
      </c>
      <c r="B35" s="99" t="str">
        <f t="shared" si="0"/>
        <v/>
      </c>
      <c r="C35" s="35"/>
      <c r="D35" s="35"/>
      <c r="E35" s="35"/>
      <c r="F35" s="35"/>
      <c r="G35" s="36"/>
      <c r="O35" s="19" t="str">
        <f t="shared" si="1"/>
        <v/>
      </c>
      <c r="P35" s="3" t="str">
        <f t="shared" si="2"/>
        <v/>
      </c>
      <c r="Q35" s="93" t="str" cm="1">
        <f t="array" ref="Q35">IF(ISNUMBER(O35),_xlfn._xlws.FILTER(PartsDB[Hrs_ShopAssy]*N35*O35,PartsDB[Catalog]=I35),"")</f>
        <v/>
      </c>
      <c r="R35" s="92" t="str" cm="1">
        <f t="array" ref="R35">IF(ISNUMBER(O35),_xlfn._xlws.FILTER(PartsDB[Hrs_Eng]*O35,PartsDB[Catalog]=I35),"")</f>
        <v/>
      </c>
      <c r="S35" s="92" t="str" cm="1">
        <f t="array" ref="S35">IF(ISNUMBER(O35),_xlfn._xlws.FILTER(PartsDB[Hrs_PanelAssy]*M35*O35,PartsDB[Catalog]=I35),"")</f>
        <v/>
      </c>
    </row>
    <row r="36" spans="1:19" ht="16.5" thickTop="1" thickBot="1" x14ac:dyDescent="0.3">
      <c r="A36" s="96" t="str">
        <f>IF(B36="","",MAX(A$4:A35)+1)</f>
        <v/>
      </c>
      <c r="B36" s="99" t="str">
        <f t="shared" si="0"/>
        <v/>
      </c>
      <c r="C36" s="35"/>
      <c r="D36" s="35"/>
      <c r="E36" s="35"/>
      <c r="F36" s="35"/>
      <c r="G36" s="36"/>
      <c r="O36" s="19" t="str">
        <f t="shared" si="1"/>
        <v/>
      </c>
      <c r="P36" s="3" t="str">
        <f t="shared" si="2"/>
        <v/>
      </c>
      <c r="Q36" s="93" t="str" cm="1">
        <f t="array" ref="Q36">IF(ISNUMBER(O36),_xlfn._xlws.FILTER(PartsDB[Hrs_ShopAssy]*N36*O36,PartsDB[Catalog]=I36),"")</f>
        <v/>
      </c>
      <c r="R36" s="92" t="str" cm="1">
        <f t="array" ref="R36">IF(ISNUMBER(O36),_xlfn._xlws.FILTER(PartsDB[Hrs_Eng]*O36,PartsDB[Catalog]=I36),"")</f>
        <v/>
      </c>
      <c r="S36" s="92" t="str" cm="1">
        <f t="array" ref="S36">IF(ISNUMBER(O36),_xlfn._xlws.FILTER(PartsDB[Hrs_PanelAssy]*M36*O36,PartsDB[Catalog]=I36),"")</f>
        <v/>
      </c>
    </row>
    <row r="37" spans="1:19" ht="16.5" thickTop="1" thickBot="1" x14ac:dyDescent="0.3">
      <c r="A37" s="96" t="str">
        <f>IF(B37="","",MAX(A$4:A36)+1)</f>
        <v/>
      </c>
      <c r="B37" s="99" t="str">
        <f t="shared" si="0"/>
        <v/>
      </c>
      <c r="C37" s="35"/>
      <c r="D37" s="35"/>
      <c r="E37" s="35"/>
      <c r="F37" s="35"/>
      <c r="G37" s="36"/>
      <c r="O37" s="19" t="str">
        <f t="shared" si="1"/>
        <v/>
      </c>
      <c r="P37" s="3" t="str">
        <f t="shared" si="2"/>
        <v/>
      </c>
      <c r="Q37" s="93" t="str" cm="1">
        <f t="array" ref="Q37">IF(ISNUMBER(O37),_xlfn._xlws.FILTER(PartsDB[Hrs_ShopAssy]*N37*O37,PartsDB[Catalog]=I37),"")</f>
        <v/>
      </c>
      <c r="R37" s="92" t="str" cm="1">
        <f t="array" ref="R37">IF(ISNUMBER(O37),_xlfn._xlws.FILTER(PartsDB[Hrs_Eng]*O37,PartsDB[Catalog]=I37),"")</f>
        <v/>
      </c>
      <c r="S37" s="92" t="str" cm="1">
        <f t="array" ref="S37">IF(ISNUMBER(O37),_xlfn._xlws.FILTER(PartsDB[Hrs_PanelAssy]*M37*O37,PartsDB[Catalog]=I37),"")</f>
        <v/>
      </c>
    </row>
    <row r="38" spans="1:19" ht="16.5" thickTop="1" thickBot="1" x14ac:dyDescent="0.3">
      <c r="A38" s="96" t="str">
        <f>IF(B38="","",MAX(A$4:A37)+1)</f>
        <v/>
      </c>
      <c r="B38" s="99" t="str">
        <f t="shared" si="0"/>
        <v/>
      </c>
      <c r="C38" s="35"/>
      <c r="D38" s="35"/>
      <c r="E38" s="35"/>
      <c r="F38" s="35"/>
      <c r="G38" s="36"/>
      <c r="O38" s="19" t="str">
        <f t="shared" si="1"/>
        <v/>
      </c>
      <c r="P38" s="3" t="str">
        <f t="shared" si="2"/>
        <v/>
      </c>
      <c r="Q38" s="93" t="str" cm="1">
        <f t="array" ref="Q38">IF(ISNUMBER(O38),_xlfn._xlws.FILTER(PartsDB[Hrs_ShopAssy]*N38*O38,PartsDB[Catalog]=I38),"")</f>
        <v/>
      </c>
      <c r="R38" s="92" t="str" cm="1">
        <f t="array" ref="R38">IF(ISNUMBER(O38),_xlfn._xlws.FILTER(PartsDB[Hrs_Eng]*O38,PartsDB[Catalog]=I38),"")</f>
        <v/>
      </c>
      <c r="S38" s="92" t="str" cm="1">
        <f t="array" ref="S38">IF(ISNUMBER(O38),_xlfn._xlws.FILTER(PartsDB[Hrs_PanelAssy]*M38*O38,PartsDB[Catalog]=I38),"")</f>
        <v/>
      </c>
    </row>
    <row r="39" spans="1:19" ht="16.5" thickTop="1" thickBot="1" x14ac:dyDescent="0.3">
      <c r="A39" s="96" t="str">
        <f>IF(B39="","",MAX(A$4:A38)+1)</f>
        <v/>
      </c>
      <c r="B39" s="99" t="str">
        <f t="shared" si="0"/>
        <v/>
      </c>
      <c r="C39" s="35"/>
      <c r="D39" s="35"/>
      <c r="E39" s="35"/>
      <c r="F39" s="35"/>
      <c r="G39" s="36"/>
      <c r="O39" s="19" t="str">
        <f t="shared" si="1"/>
        <v/>
      </c>
      <c r="P39" s="3" t="str">
        <f t="shared" si="2"/>
        <v/>
      </c>
      <c r="Q39" s="93" t="str" cm="1">
        <f t="array" ref="Q39">IF(ISNUMBER(O39),_xlfn._xlws.FILTER(PartsDB[Hrs_ShopAssy]*N39*O39,PartsDB[Catalog]=I39),"")</f>
        <v/>
      </c>
      <c r="R39" s="92" t="str" cm="1">
        <f t="array" ref="R39">IF(ISNUMBER(O39),_xlfn._xlws.FILTER(PartsDB[Hrs_Eng]*O39,PartsDB[Catalog]=I39),"")</f>
        <v/>
      </c>
      <c r="S39" s="92" t="str" cm="1">
        <f t="array" ref="S39">IF(ISNUMBER(O39),_xlfn._xlws.FILTER(PartsDB[Hrs_PanelAssy]*M39*O39,PartsDB[Catalog]=I39),"")</f>
        <v/>
      </c>
    </row>
    <row r="40" spans="1:19" ht="16.5" thickTop="1" thickBot="1" x14ac:dyDescent="0.3">
      <c r="A40" s="96" t="str">
        <f>IF(B40="","",MAX(A$4:A39)+1)</f>
        <v/>
      </c>
      <c r="B40" s="99" t="str">
        <f t="shared" si="0"/>
        <v/>
      </c>
      <c r="C40" s="35"/>
      <c r="D40" s="35"/>
      <c r="E40" s="35"/>
      <c r="F40" s="35"/>
      <c r="G40" s="36"/>
      <c r="O40" s="19" t="str">
        <f t="shared" si="1"/>
        <v/>
      </c>
      <c r="P40" s="3" t="str">
        <f t="shared" si="2"/>
        <v/>
      </c>
      <c r="Q40" s="93" t="str" cm="1">
        <f t="array" ref="Q40">IF(ISNUMBER(O40),_xlfn._xlws.FILTER(PartsDB[Hrs_ShopAssy]*N40*O40,PartsDB[Catalog]=I40),"")</f>
        <v/>
      </c>
      <c r="R40" s="92" t="str" cm="1">
        <f t="array" ref="R40">IF(ISNUMBER(O40),_xlfn._xlws.FILTER(PartsDB[Hrs_Eng]*O40,PartsDB[Catalog]=I40),"")</f>
        <v/>
      </c>
      <c r="S40" s="92" t="str" cm="1">
        <f t="array" ref="S40">IF(ISNUMBER(O40),_xlfn._xlws.FILTER(PartsDB[Hrs_PanelAssy]*M40*O40,PartsDB[Catalog]=I40),"")</f>
        <v/>
      </c>
    </row>
    <row r="41" spans="1:19" ht="16.5" thickTop="1" thickBot="1" x14ac:dyDescent="0.3">
      <c r="A41" s="96" t="str">
        <f>IF(B41="","",MAX(A$4:A40)+1)</f>
        <v/>
      </c>
      <c r="B41" s="99" t="str">
        <f t="shared" si="0"/>
        <v/>
      </c>
      <c r="C41" s="35"/>
      <c r="D41" s="35"/>
      <c r="E41" s="35"/>
      <c r="F41" s="35"/>
      <c r="G41" s="36"/>
      <c r="O41" s="19" t="str">
        <f t="shared" si="1"/>
        <v/>
      </c>
      <c r="P41" s="3" t="str">
        <f t="shared" si="2"/>
        <v/>
      </c>
      <c r="Q41" s="93" t="str" cm="1">
        <f t="array" ref="Q41">IF(ISNUMBER(O41),_xlfn._xlws.FILTER(PartsDB[Hrs_ShopAssy]*N41*O41,PartsDB[Catalog]=I41),"")</f>
        <v/>
      </c>
      <c r="R41" s="92" t="str" cm="1">
        <f t="array" ref="R41">IF(ISNUMBER(O41),_xlfn._xlws.FILTER(PartsDB[Hrs_Eng]*O41,PartsDB[Catalog]=I41),"")</f>
        <v/>
      </c>
      <c r="S41" s="92" t="str" cm="1">
        <f t="array" ref="S41">IF(ISNUMBER(O41),_xlfn._xlws.FILTER(PartsDB[Hrs_PanelAssy]*M41*O41,PartsDB[Catalog]=I41),"")</f>
        <v/>
      </c>
    </row>
    <row r="42" spans="1:19" ht="16.5" thickTop="1" thickBot="1" x14ac:dyDescent="0.3">
      <c r="A42" s="96" t="str">
        <f>IF(B42="","",MAX(A$4:A41)+1)</f>
        <v/>
      </c>
      <c r="B42" s="99" t="str">
        <f t="shared" si="0"/>
        <v/>
      </c>
      <c r="C42" s="35"/>
      <c r="D42" s="35"/>
      <c r="E42" s="35"/>
      <c r="F42" s="35"/>
      <c r="G42" s="36"/>
      <c r="O42" s="19" t="str">
        <f t="shared" si="1"/>
        <v/>
      </c>
      <c r="P42" s="3" t="str">
        <f t="shared" si="2"/>
        <v/>
      </c>
      <c r="Q42" s="93" t="str" cm="1">
        <f t="array" ref="Q42">IF(ISNUMBER(O42),_xlfn._xlws.FILTER(PartsDB[Hrs_ShopAssy]*N42*O42,PartsDB[Catalog]=I42),"")</f>
        <v/>
      </c>
      <c r="R42" s="92" t="str" cm="1">
        <f t="array" ref="R42">IF(ISNUMBER(O42),_xlfn._xlws.FILTER(PartsDB[Hrs_Eng]*O42,PartsDB[Catalog]=I42),"")</f>
        <v/>
      </c>
      <c r="S42" s="92" t="str" cm="1">
        <f t="array" ref="S42">IF(ISNUMBER(O42),_xlfn._xlws.FILTER(PartsDB[Hrs_PanelAssy]*M42*O42,PartsDB[Catalog]=I42),"")</f>
        <v/>
      </c>
    </row>
    <row r="43" spans="1:19" ht="16.5" thickTop="1" thickBot="1" x14ac:dyDescent="0.3">
      <c r="A43" s="96" t="str">
        <f>IF(B43="","",MAX(A$4:A42)+1)</f>
        <v/>
      </c>
      <c r="B43" s="99" t="str">
        <f t="shared" si="0"/>
        <v/>
      </c>
      <c r="C43" s="35"/>
      <c r="D43" s="35"/>
      <c r="E43" s="35"/>
      <c r="F43" s="35"/>
      <c r="G43" s="36"/>
      <c r="O43" s="19" t="str">
        <f t="shared" si="1"/>
        <v/>
      </c>
      <c r="P43" s="3" t="str">
        <f t="shared" si="2"/>
        <v/>
      </c>
      <c r="Q43" s="93" t="str" cm="1">
        <f t="array" ref="Q43">IF(ISNUMBER(O43),_xlfn._xlws.FILTER(PartsDB[Hrs_ShopAssy]*N43*O43,PartsDB[Catalog]=I43),"")</f>
        <v/>
      </c>
      <c r="R43" s="92" t="str" cm="1">
        <f t="array" ref="R43">IF(ISNUMBER(O43),_xlfn._xlws.FILTER(PartsDB[Hrs_Eng]*O43,PartsDB[Catalog]=I43),"")</f>
        <v/>
      </c>
      <c r="S43" s="92" t="str" cm="1">
        <f t="array" ref="S43">IF(ISNUMBER(O43),_xlfn._xlws.FILTER(PartsDB[Hrs_PanelAssy]*M43*O43,PartsDB[Catalog]=I43),"")</f>
        <v/>
      </c>
    </row>
    <row r="44" spans="1:19" ht="16.5" thickTop="1" thickBot="1" x14ac:dyDescent="0.3">
      <c r="A44" s="96" t="str">
        <f>IF(B44="","",MAX(A$4:A43)+1)</f>
        <v/>
      </c>
      <c r="B44" s="99" t="str">
        <f t="shared" si="0"/>
        <v/>
      </c>
      <c r="C44" s="35"/>
      <c r="D44" s="35"/>
      <c r="E44" s="35"/>
      <c r="F44" s="35"/>
      <c r="G44" s="36"/>
      <c r="O44" s="19" t="str">
        <f t="shared" si="1"/>
        <v/>
      </c>
      <c r="P44" s="3" t="str">
        <f t="shared" si="2"/>
        <v/>
      </c>
      <c r="Q44" s="93" t="str" cm="1">
        <f t="array" ref="Q44">IF(ISNUMBER(O44),_xlfn._xlws.FILTER(PartsDB[Hrs_ShopAssy]*N44*O44,PartsDB[Catalog]=I44),"")</f>
        <v/>
      </c>
      <c r="R44" s="92" t="str" cm="1">
        <f t="array" ref="R44">IF(ISNUMBER(O44),_xlfn._xlws.FILTER(PartsDB[Hrs_Eng]*O44,PartsDB[Catalog]=I44),"")</f>
        <v/>
      </c>
      <c r="S44" s="92" t="str" cm="1">
        <f t="array" ref="S44">IF(ISNUMBER(O44),_xlfn._xlws.FILTER(PartsDB[Hrs_PanelAssy]*M44*O44,PartsDB[Catalog]=I44),"")</f>
        <v/>
      </c>
    </row>
    <row r="45" spans="1:19" ht="16.5" thickTop="1" thickBot="1" x14ac:dyDescent="0.3">
      <c r="A45" s="96" t="str">
        <f>IF(B45="","",MAX(A$4:A44)+1)</f>
        <v/>
      </c>
      <c r="B45" s="99" t="str">
        <f t="shared" si="0"/>
        <v/>
      </c>
      <c r="C45" s="35"/>
      <c r="D45" s="35"/>
      <c r="E45" s="35"/>
      <c r="F45" s="35"/>
      <c r="G45" s="36"/>
      <c r="O45" s="19" t="str">
        <f t="shared" si="1"/>
        <v/>
      </c>
      <c r="P45" s="3" t="str">
        <f t="shared" si="2"/>
        <v/>
      </c>
      <c r="Q45" s="93" t="str" cm="1">
        <f t="array" ref="Q45">IF(ISNUMBER(O45),_xlfn._xlws.FILTER(PartsDB[Hrs_ShopAssy]*N45*O45,PartsDB[Catalog]=I45),"")</f>
        <v/>
      </c>
      <c r="R45" s="92" t="str" cm="1">
        <f t="array" ref="R45">IF(ISNUMBER(O45),_xlfn._xlws.FILTER(PartsDB[Hrs_Eng]*O45,PartsDB[Catalog]=I45),"")</f>
        <v/>
      </c>
      <c r="S45" s="92" t="str" cm="1">
        <f t="array" ref="S45">IF(ISNUMBER(O45),_xlfn._xlws.FILTER(PartsDB[Hrs_PanelAssy]*M45*O45,PartsDB[Catalog]=I45),"")</f>
        <v/>
      </c>
    </row>
    <row r="46" spans="1:19" ht="16.5" thickTop="1" thickBot="1" x14ac:dyDescent="0.3">
      <c r="A46" s="96" t="str">
        <f>IF(B46="","",MAX(A$4:A45)+1)</f>
        <v/>
      </c>
      <c r="B46" s="99" t="str">
        <f t="shared" si="0"/>
        <v/>
      </c>
      <c r="C46" s="35"/>
      <c r="D46" s="35"/>
      <c r="E46" s="35"/>
      <c r="F46" s="35"/>
      <c r="G46" s="36"/>
      <c r="O46" s="19" t="str">
        <f t="shared" si="1"/>
        <v/>
      </c>
      <c r="P46" s="3" t="str">
        <f t="shared" si="2"/>
        <v/>
      </c>
      <c r="Q46" s="93" t="str" cm="1">
        <f t="array" ref="Q46">IF(ISNUMBER(O46),_xlfn._xlws.FILTER(PartsDB[Hrs_ShopAssy]*N46*O46,PartsDB[Catalog]=I46),"")</f>
        <v/>
      </c>
      <c r="R46" s="92" t="str" cm="1">
        <f t="array" ref="R46">IF(ISNUMBER(O46),_xlfn._xlws.FILTER(PartsDB[Hrs_Eng]*O46,PartsDB[Catalog]=I46),"")</f>
        <v/>
      </c>
      <c r="S46" s="92" t="str" cm="1">
        <f t="array" ref="S46">IF(ISNUMBER(O46),_xlfn._xlws.FILTER(PartsDB[Hrs_PanelAssy]*M46*O46,PartsDB[Catalog]=I46),"")</f>
        <v/>
      </c>
    </row>
    <row r="47" spans="1:19" ht="16.5" thickTop="1" thickBot="1" x14ac:dyDescent="0.3">
      <c r="A47" s="96" t="str">
        <f>IF(B47="","",MAX(A$4:A46)+1)</f>
        <v/>
      </c>
      <c r="B47" s="99" t="str">
        <f t="shared" si="0"/>
        <v/>
      </c>
      <c r="C47" s="35"/>
      <c r="D47" s="35"/>
      <c r="E47" s="35"/>
      <c r="F47" s="35"/>
      <c r="G47" s="36"/>
      <c r="O47" s="19" t="str">
        <f t="shared" si="1"/>
        <v/>
      </c>
      <c r="P47" s="3" t="str">
        <f t="shared" si="2"/>
        <v/>
      </c>
      <c r="Q47" s="93" t="str" cm="1">
        <f t="array" ref="Q47">IF(ISNUMBER(O47),_xlfn._xlws.FILTER(PartsDB[Hrs_ShopAssy]*N47*O47,PartsDB[Catalog]=I47),"")</f>
        <v/>
      </c>
      <c r="R47" s="92" t="str" cm="1">
        <f t="array" ref="R47">IF(ISNUMBER(O47),_xlfn._xlws.FILTER(PartsDB[Hrs_Eng]*O47,PartsDB[Catalog]=I47),"")</f>
        <v/>
      </c>
      <c r="S47" s="92" t="str" cm="1">
        <f t="array" ref="S47">IF(ISNUMBER(O47),_xlfn._xlws.FILTER(PartsDB[Hrs_PanelAssy]*M47*O47,PartsDB[Catalog]=I47),"")</f>
        <v/>
      </c>
    </row>
    <row r="48" spans="1:19" ht="16.5" thickTop="1" thickBot="1" x14ac:dyDescent="0.3">
      <c r="A48" s="96" t="str">
        <f>IF(B48="","",MAX(A$4:A47)+1)</f>
        <v/>
      </c>
      <c r="B48" s="99" t="str">
        <f t="shared" si="0"/>
        <v/>
      </c>
      <c r="C48" s="35"/>
      <c r="D48" s="35"/>
      <c r="E48" s="35"/>
      <c r="F48" s="35"/>
      <c r="G48" s="36"/>
      <c r="O48" s="19" t="str">
        <f t="shared" si="1"/>
        <v/>
      </c>
      <c r="P48" s="3" t="str">
        <f t="shared" si="2"/>
        <v/>
      </c>
      <c r="Q48" s="93" t="str" cm="1">
        <f t="array" ref="Q48">IF(ISNUMBER(O48),_xlfn._xlws.FILTER(PartsDB[Hrs_ShopAssy]*N48*O48,PartsDB[Catalog]=I48),"")</f>
        <v/>
      </c>
      <c r="R48" s="92" t="str" cm="1">
        <f t="array" ref="R48">IF(ISNUMBER(O48),_xlfn._xlws.FILTER(PartsDB[Hrs_Eng]*O48,PartsDB[Catalog]=I48),"")</f>
        <v/>
      </c>
      <c r="S48" s="92" t="str" cm="1">
        <f t="array" ref="S48">IF(ISNUMBER(O48),_xlfn._xlws.FILTER(PartsDB[Hrs_PanelAssy]*M48*O48,PartsDB[Catalog]=I48),"")</f>
        <v/>
      </c>
    </row>
    <row r="49" spans="1:19" ht="16.5" thickTop="1" thickBot="1" x14ac:dyDescent="0.3">
      <c r="A49" s="96" t="str">
        <f>IF(B49="","",MAX(A$4:A48)+1)</f>
        <v/>
      </c>
      <c r="B49" s="99" t="str">
        <f t="shared" si="0"/>
        <v/>
      </c>
      <c r="C49" s="35"/>
      <c r="D49" s="35"/>
      <c r="E49" s="35"/>
      <c r="F49" s="35"/>
      <c r="G49" s="36"/>
      <c r="O49" s="19" t="str">
        <f t="shared" si="1"/>
        <v/>
      </c>
      <c r="P49" s="3" t="str">
        <f t="shared" si="2"/>
        <v/>
      </c>
      <c r="Q49" s="93" t="str" cm="1">
        <f t="array" ref="Q49">IF(ISNUMBER(O49),_xlfn._xlws.FILTER(PartsDB[Hrs_ShopAssy]*N49*O49,PartsDB[Catalog]=I49),"")</f>
        <v/>
      </c>
      <c r="R49" s="92" t="str" cm="1">
        <f t="array" ref="R49">IF(ISNUMBER(O49),_xlfn._xlws.FILTER(PartsDB[Hrs_Eng]*O49,PartsDB[Catalog]=I49),"")</f>
        <v/>
      </c>
      <c r="S49" s="92" t="str" cm="1">
        <f t="array" ref="S49">IF(ISNUMBER(O49),_xlfn._xlws.FILTER(PartsDB[Hrs_PanelAssy]*M49*O49,PartsDB[Catalog]=I49),"")</f>
        <v/>
      </c>
    </row>
    <row r="50" spans="1:19" ht="16.5" thickTop="1" thickBot="1" x14ac:dyDescent="0.3">
      <c r="A50" s="96" t="str">
        <f>IF(B50="","",MAX(A$4:A49)+1)</f>
        <v/>
      </c>
      <c r="B50" s="99" t="str">
        <f t="shared" si="0"/>
        <v/>
      </c>
      <c r="C50" s="35"/>
      <c r="D50" s="35"/>
      <c r="E50" s="35"/>
      <c r="F50" s="35"/>
      <c r="G50" s="36"/>
      <c r="O50" s="19" t="str">
        <f t="shared" si="1"/>
        <v/>
      </c>
      <c r="P50" s="3" t="str">
        <f t="shared" si="2"/>
        <v/>
      </c>
      <c r="Q50" s="93" t="str" cm="1">
        <f t="array" ref="Q50">IF(ISNUMBER(O50),_xlfn._xlws.FILTER(PartsDB[Hrs_ShopAssy]*N50*O50,PartsDB[Catalog]=I50),"")</f>
        <v/>
      </c>
      <c r="R50" s="92" t="str" cm="1">
        <f t="array" ref="R50">IF(ISNUMBER(O50),_xlfn._xlws.FILTER(PartsDB[Hrs_Eng]*O50,PartsDB[Catalog]=I50),"")</f>
        <v/>
      </c>
      <c r="S50" s="92" t="str" cm="1">
        <f t="array" ref="S50">IF(ISNUMBER(O50),_xlfn._xlws.FILTER(PartsDB[Hrs_PanelAssy]*M50*O50,PartsDB[Catalog]=I50),"")</f>
        <v/>
      </c>
    </row>
    <row r="51" spans="1:19" ht="16.5" thickTop="1" thickBot="1" x14ac:dyDescent="0.3">
      <c r="A51" s="96" t="str">
        <f>IF(B51="","",MAX(A$4:A50)+1)</f>
        <v/>
      </c>
      <c r="B51" s="99" t="str">
        <f t="shared" si="0"/>
        <v/>
      </c>
      <c r="C51" s="35"/>
      <c r="D51" s="35"/>
      <c r="E51" s="35"/>
      <c r="F51" s="35"/>
      <c r="G51" s="36"/>
      <c r="O51" s="19" t="str">
        <f t="shared" si="1"/>
        <v/>
      </c>
      <c r="P51" s="3" t="str">
        <f t="shared" si="2"/>
        <v/>
      </c>
      <c r="Q51" s="93" t="str" cm="1">
        <f t="array" ref="Q51">IF(ISNUMBER(O51),_xlfn._xlws.FILTER(PartsDB[Hrs_ShopAssy]*N51*O51,PartsDB[Catalog]=I51),"")</f>
        <v/>
      </c>
      <c r="R51" s="92" t="str" cm="1">
        <f t="array" ref="R51">IF(ISNUMBER(O51),_xlfn._xlws.FILTER(PartsDB[Hrs_Eng]*O51,PartsDB[Catalog]=I51),"")</f>
        <v/>
      </c>
      <c r="S51" s="92" t="str" cm="1">
        <f t="array" ref="S51">IF(ISNUMBER(O51),_xlfn._xlws.FILTER(PartsDB[Hrs_PanelAssy]*M51*O51,PartsDB[Catalog]=I51),"")</f>
        <v/>
      </c>
    </row>
    <row r="52" spans="1:19" ht="16.5" thickTop="1" thickBot="1" x14ac:dyDescent="0.3">
      <c r="A52" s="96" t="str">
        <f>IF(B52="","",MAX(A$4:A51)+1)</f>
        <v/>
      </c>
      <c r="B52" s="99" t="str">
        <f t="shared" si="0"/>
        <v/>
      </c>
      <c r="C52" s="35"/>
      <c r="D52" s="35"/>
      <c r="E52" s="35"/>
      <c r="F52" s="35"/>
      <c r="G52" s="36"/>
      <c r="O52" s="19" t="str">
        <f t="shared" si="1"/>
        <v/>
      </c>
      <c r="P52" s="3" t="str">
        <f t="shared" si="2"/>
        <v/>
      </c>
      <c r="Q52" s="93" t="str" cm="1">
        <f t="array" ref="Q52">IF(ISNUMBER(O52),_xlfn._xlws.FILTER(PartsDB[Hrs_ShopAssy]*N52*O52,PartsDB[Catalog]=I52),"")</f>
        <v/>
      </c>
      <c r="R52" s="92" t="str" cm="1">
        <f t="array" ref="R52">IF(ISNUMBER(O52),_xlfn._xlws.FILTER(PartsDB[Hrs_Eng]*O52,PartsDB[Catalog]=I52),"")</f>
        <v/>
      </c>
      <c r="S52" s="92" t="str" cm="1">
        <f t="array" ref="S52">IF(ISNUMBER(O52),_xlfn._xlws.FILTER(PartsDB[Hrs_PanelAssy]*M52*O52,PartsDB[Catalog]=I52),"")</f>
        <v/>
      </c>
    </row>
    <row r="53" spans="1:19" ht="16.5" thickTop="1" thickBot="1" x14ac:dyDescent="0.3">
      <c r="A53" s="96" t="str">
        <f>IF(B53="","",MAX(A$4:A52)+1)</f>
        <v/>
      </c>
      <c r="B53" s="99" t="str">
        <f t="shared" si="0"/>
        <v/>
      </c>
      <c r="C53" s="35"/>
      <c r="D53" s="35"/>
      <c r="E53" s="35"/>
      <c r="F53" s="35"/>
      <c r="G53" s="36"/>
      <c r="O53" s="19" t="str">
        <f t="shared" si="1"/>
        <v/>
      </c>
      <c r="P53" s="3" t="str">
        <f t="shared" si="2"/>
        <v/>
      </c>
      <c r="Q53" s="93" t="str" cm="1">
        <f t="array" ref="Q53">IF(ISNUMBER(O53),_xlfn._xlws.FILTER(PartsDB[Hrs_ShopAssy]*N53*O53,PartsDB[Catalog]=I53),"")</f>
        <v/>
      </c>
      <c r="R53" s="92" t="str" cm="1">
        <f t="array" ref="R53">IF(ISNUMBER(O53),_xlfn._xlws.FILTER(PartsDB[Hrs_Eng]*O53,PartsDB[Catalog]=I53),"")</f>
        <v/>
      </c>
      <c r="S53" s="92" t="str" cm="1">
        <f t="array" ref="S53">IF(ISNUMBER(O53),_xlfn._xlws.FILTER(PartsDB[Hrs_PanelAssy]*M53*O53,PartsDB[Catalog]=I53),"")</f>
        <v/>
      </c>
    </row>
    <row r="54" spans="1:19" ht="16.5" thickTop="1" thickBot="1" x14ac:dyDescent="0.3">
      <c r="A54" s="96" t="str">
        <f>IF(B54="","",MAX(A$4:A53)+1)</f>
        <v/>
      </c>
      <c r="B54" s="99" t="str">
        <f t="shared" si="0"/>
        <v/>
      </c>
      <c r="C54" s="35"/>
      <c r="D54" s="35"/>
      <c r="E54" s="35"/>
      <c r="F54" s="35"/>
      <c r="G54" s="36"/>
      <c r="O54" s="19" t="str">
        <f t="shared" si="1"/>
        <v/>
      </c>
      <c r="P54" s="3" t="str">
        <f t="shared" si="2"/>
        <v/>
      </c>
      <c r="Q54" s="93" t="str" cm="1">
        <f t="array" ref="Q54">IF(ISNUMBER(O54),_xlfn._xlws.FILTER(PartsDB[Hrs_ShopAssy]*N54*O54,PartsDB[Catalog]=I54),"")</f>
        <v/>
      </c>
      <c r="R54" s="92" t="str" cm="1">
        <f t="array" ref="R54">IF(ISNUMBER(O54),_xlfn._xlws.FILTER(PartsDB[Hrs_Eng]*O54,PartsDB[Catalog]=I54),"")</f>
        <v/>
      </c>
      <c r="S54" s="92" t="str" cm="1">
        <f t="array" ref="S54">IF(ISNUMBER(O54),_xlfn._xlws.FILTER(PartsDB[Hrs_PanelAssy]*M54*O54,PartsDB[Catalog]=I54),"")</f>
        <v/>
      </c>
    </row>
    <row r="55" spans="1:19" ht="16.5" thickTop="1" thickBot="1" x14ac:dyDescent="0.3">
      <c r="A55" s="96" t="str">
        <f>IF(B55="","",MAX(A$4:A54)+1)</f>
        <v/>
      </c>
      <c r="B55" s="99" t="str">
        <f t="shared" si="0"/>
        <v/>
      </c>
      <c r="C55" s="35"/>
      <c r="D55" s="35"/>
      <c r="E55" s="35"/>
      <c r="F55" s="35"/>
      <c r="G55" s="36"/>
      <c r="O55" s="19" t="str">
        <f t="shared" si="1"/>
        <v/>
      </c>
      <c r="P55" s="3" t="str">
        <f t="shared" si="2"/>
        <v/>
      </c>
      <c r="Q55" s="93" t="str" cm="1">
        <f t="array" ref="Q55">IF(ISNUMBER(O55),_xlfn._xlws.FILTER(PartsDB[Hrs_ShopAssy]*N55*O55,PartsDB[Catalog]=I55),"")</f>
        <v/>
      </c>
      <c r="R55" s="92" t="str" cm="1">
        <f t="array" ref="R55">IF(ISNUMBER(O55),_xlfn._xlws.FILTER(PartsDB[Hrs_Eng]*O55,PartsDB[Catalog]=I55),"")</f>
        <v/>
      </c>
      <c r="S55" s="92" t="str" cm="1">
        <f t="array" ref="S55">IF(ISNUMBER(O55),_xlfn._xlws.FILTER(PartsDB[Hrs_PanelAssy]*M55*O55,PartsDB[Catalog]=I55),"")</f>
        <v/>
      </c>
    </row>
    <row r="56" spans="1:19" ht="16.5" thickTop="1" thickBot="1" x14ac:dyDescent="0.3">
      <c r="A56" s="96" t="str">
        <f>IF(B56="","",MAX(A$4:A55)+1)</f>
        <v/>
      </c>
      <c r="B56" s="99" t="str">
        <f t="shared" si="0"/>
        <v/>
      </c>
      <c r="C56" s="35"/>
      <c r="D56" s="35"/>
      <c r="E56" s="35"/>
      <c r="F56" s="35"/>
      <c r="G56" s="36"/>
      <c r="O56" s="19" t="str">
        <f t="shared" si="1"/>
        <v/>
      </c>
      <c r="P56" s="3" t="str">
        <f t="shared" si="2"/>
        <v/>
      </c>
      <c r="Q56" s="93" t="str" cm="1">
        <f t="array" ref="Q56">IF(ISNUMBER(O56),_xlfn._xlws.FILTER(PartsDB[Hrs_ShopAssy]*N56*O56,PartsDB[Catalog]=I56),"")</f>
        <v/>
      </c>
      <c r="R56" s="92" t="str" cm="1">
        <f t="array" ref="R56">IF(ISNUMBER(O56),_xlfn._xlws.FILTER(PartsDB[Hrs_Eng]*O56,PartsDB[Catalog]=I56),"")</f>
        <v/>
      </c>
      <c r="S56" s="92" t="str" cm="1">
        <f t="array" ref="S56">IF(ISNUMBER(O56),_xlfn._xlws.FILTER(PartsDB[Hrs_PanelAssy]*M56*O56,PartsDB[Catalog]=I56),"")</f>
        <v/>
      </c>
    </row>
    <row r="57" spans="1:19" ht="16.5" thickTop="1" thickBot="1" x14ac:dyDescent="0.3">
      <c r="A57" s="96" t="str">
        <f>IF(B57="","",MAX(A$4:A56)+1)</f>
        <v/>
      </c>
      <c r="B57" s="99" t="str">
        <f t="shared" si="0"/>
        <v/>
      </c>
      <c r="C57" s="35"/>
      <c r="D57" s="35"/>
      <c r="E57" s="35"/>
      <c r="F57" s="35"/>
      <c r="G57" s="36"/>
      <c r="O57" s="19" t="str">
        <f t="shared" si="1"/>
        <v/>
      </c>
      <c r="P57" s="3" t="str">
        <f t="shared" si="2"/>
        <v/>
      </c>
      <c r="Q57" s="93" t="str" cm="1">
        <f t="array" ref="Q57">IF(ISNUMBER(O57),_xlfn._xlws.FILTER(PartsDB[Hrs_ShopAssy]*N57*O57,PartsDB[Catalog]=I57),"")</f>
        <v/>
      </c>
      <c r="R57" s="92" t="str" cm="1">
        <f t="array" ref="R57">IF(ISNUMBER(O57),_xlfn._xlws.FILTER(PartsDB[Hrs_Eng]*O57,PartsDB[Catalog]=I57),"")</f>
        <v/>
      </c>
      <c r="S57" s="92" t="str" cm="1">
        <f t="array" ref="S57">IF(ISNUMBER(O57),_xlfn._xlws.FILTER(PartsDB[Hrs_PanelAssy]*M57*O57,PartsDB[Catalog]=I57),"")</f>
        <v/>
      </c>
    </row>
    <row r="58" spans="1:19" ht="16.5" thickTop="1" thickBot="1" x14ac:dyDescent="0.3">
      <c r="A58" s="96" t="str">
        <f>IF(B58="","",MAX(A$4:A57)+1)</f>
        <v/>
      </c>
      <c r="B58" s="99" t="str">
        <f t="shared" si="0"/>
        <v/>
      </c>
      <c r="C58" s="35"/>
      <c r="D58" s="35"/>
      <c r="E58" s="35"/>
      <c r="F58" s="35"/>
      <c r="G58" s="36"/>
      <c r="O58" s="19" t="str">
        <f t="shared" si="1"/>
        <v/>
      </c>
      <c r="P58" s="3" t="str">
        <f t="shared" si="2"/>
        <v/>
      </c>
      <c r="Q58" s="93" t="str" cm="1">
        <f t="array" ref="Q58">IF(ISNUMBER(O58),_xlfn._xlws.FILTER(PartsDB[Hrs_ShopAssy]*N58*O58,PartsDB[Catalog]=I58),"")</f>
        <v/>
      </c>
      <c r="R58" s="92" t="str" cm="1">
        <f t="array" ref="R58">IF(ISNUMBER(O58),_xlfn._xlws.FILTER(PartsDB[Hrs_Eng]*O58,PartsDB[Catalog]=I58),"")</f>
        <v/>
      </c>
      <c r="S58" s="92" t="str" cm="1">
        <f t="array" ref="S58">IF(ISNUMBER(O58),_xlfn._xlws.FILTER(PartsDB[Hrs_PanelAssy]*M58*O58,PartsDB[Catalog]=I58),"")</f>
        <v/>
      </c>
    </row>
    <row r="59" spans="1:19" ht="16.5" thickTop="1" thickBot="1" x14ac:dyDescent="0.3">
      <c r="A59" s="96" t="str">
        <f>IF(B59="","",MAX(A$4:A58)+1)</f>
        <v/>
      </c>
      <c r="B59" s="99" t="str">
        <f t="shared" si="0"/>
        <v/>
      </c>
      <c r="C59" s="35"/>
      <c r="D59" s="35"/>
      <c r="E59" s="35"/>
      <c r="F59" s="35"/>
      <c r="G59" s="36"/>
      <c r="O59" s="19" t="str">
        <f t="shared" si="1"/>
        <v/>
      </c>
      <c r="P59" s="3" t="str">
        <f t="shared" si="2"/>
        <v/>
      </c>
      <c r="Q59" s="93" t="str" cm="1">
        <f t="array" ref="Q59">IF(ISNUMBER(O59),_xlfn._xlws.FILTER(PartsDB[Hrs_ShopAssy]*N59*O59,PartsDB[Catalog]=I59),"")</f>
        <v/>
      </c>
      <c r="R59" s="92" t="str" cm="1">
        <f t="array" ref="R59">IF(ISNUMBER(O59),_xlfn._xlws.FILTER(PartsDB[Hrs_Eng]*O59,PartsDB[Catalog]=I59),"")</f>
        <v/>
      </c>
      <c r="S59" s="92" t="str" cm="1">
        <f t="array" ref="S59">IF(ISNUMBER(O59),_xlfn._xlws.FILTER(PartsDB[Hrs_PanelAssy]*M59*O59,PartsDB[Catalog]=I59),"")</f>
        <v/>
      </c>
    </row>
    <row r="60" spans="1:19" ht="16.5" thickTop="1" thickBot="1" x14ac:dyDescent="0.3">
      <c r="A60" s="96" t="str">
        <f>IF(B60="","",MAX(A$4:A59)+1)</f>
        <v/>
      </c>
      <c r="B60" s="99" t="str">
        <f t="shared" si="0"/>
        <v/>
      </c>
      <c r="C60" s="35"/>
      <c r="D60" s="35"/>
      <c r="E60" s="35"/>
      <c r="F60" s="35"/>
      <c r="G60" s="36"/>
      <c r="O60" s="19" t="str">
        <f t="shared" si="1"/>
        <v/>
      </c>
      <c r="P60" s="3" t="str">
        <f t="shared" si="2"/>
        <v/>
      </c>
      <c r="Q60" s="93" t="str" cm="1">
        <f t="array" ref="Q60">IF(ISNUMBER(O60),_xlfn._xlws.FILTER(PartsDB[Hrs_ShopAssy]*N60*O60,PartsDB[Catalog]=I60),"")</f>
        <v/>
      </c>
      <c r="R60" s="92" t="str" cm="1">
        <f t="array" ref="R60">IF(ISNUMBER(O60),_xlfn._xlws.FILTER(PartsDB[Hrs_Eng]*O60,PartsDB[Catalog]=I60),"")</f>
        <v/>
      </c>
      <c r="S60" s="92" t="str" cm="1">
        <f t="array" ref="S60">IF(ISNUMBER(O60),_xlfn._xlws.FILTER(PartsDB[Hrs_PanelAssy]*M60*O60,PartsDB[Catalog]=I60),"")</f>
        <v/>
      </c>
    </row>
    <row r="61" spans="1:19" ht="16.5" thickTop="1" thickBot="1" x14ac:dyDescent="0.3">
      <c r="A61" s="96" t="str">
        <f>IF(B61="","",MAX(A$4:A60)+1)</f>
        <v/>
      </c>
      <c r="B61" s="99" t="str">
        <f t="shared" si="0"/>
        <v/>
      </c>
      <c r="C61" s="35"/>
      <c r="D61" s="35"/>
      <c r="E61" s="35"/>
      <c r="F61" s="35"/>
      <c r="G61" s="36"/>
      <c r="O61" s="19" t="str">
        <f t="shared" si="1"/>
        <v/>
      </c>
      <c r="P61" s="3" t="str">
        <f t="shared" si="2"/>
        <v/>
      </c>
      <c r="Q61" s="93" t="str" cm="1">
        <f t="array" ref="Q61">IF(ISNUMBER(O61),_xlfn._xlws.FILTER(PartsDB[Hrs_ShopAssy]*N61*O61,PartsDB[Catalog]=I61),"")</f>
        <v/>
      </c>
      <c r="R61" s="92" t="str" cm="1">
        <f t="array" ref="R61">IF(ISNUMBER(O61),_xlfn._xlws.FILTER(PartsDB[Hrs_Eng]*O61,PartsDB[Catalog]=I61),"")</f>
        <v/>
      </c>
      <c r="S61" s="92" t="str" cm="1">
        <f t="array" ref="S61">IF(ISNUMBER(O61),_xlfn._xlws.FILTER(PartsDB[Hrs_PanelAssy]*M61*O61,PartsDB[Catalog]=I61),"")</f>
        <v/>
      </c>
    </row>
    <row r="62" spans="1:19" ht="16.5" thickTop="1" thickBot="1" x14ac:dyDescent="0.3">
      <c r="A62" s="96" t="str">
        <f>IF(B62="","",MAX(A$4:A61)+1)</f>
        <v/>
      </c>
      <c r="B62" s="99" t="str">
        <f t="shared" si="0"/>
        <v/>
      </c>
      <c r="C62" s="35"/>
      <c r="D62" s="35"/>
      <c r="E62" s="35"/>
      <c r="F62" s="35"/>
      <c r="G62" s="36"/>
      <c r="O62" s="19" t="str">
        <f t="shared" si="1"/>
        <v/>
      </c>
      <c r="P62" s="3" t="str">
        <f t="shared" si="2"/>
        <v/>
      </c>
      <c r="Q62" s="93" t="str" cm="1">
        <f t="array" ref="Q62">IF(ISNUMBER(O62),_xlfn._xlws.FILTER(PartsDB[Hrs_ShopAssy]*N62*O62,PartsDB[Catalog]=I62),"")</f>
        <v/>
      </c>
      <c r="R62" s="92" t="str" cm="1">
        <f t="array" ref="R62">IF(ISNUMBER(O62),_xlfn._xlws.FILTER(PartsDB[Hrs_Eng]*O62,PartsDB[Catalog]=I62),"")</f>
        <v/>
      </c>
      <c r="S62" s="92" t="str" cm="1">
        <f t="array" ref="S62">IF(ISNUMBER(O62),_xlfn._xlws.FILTER(PartsDB[Hrs_PanelAssy]*M62*O62,PartsDB[Catalog]=I62),"")</f>
        <v/>
      </c>
    </row>
    <row r="63" spans="1:19" ht="16.5" thickTop="1" thickBot="1" x14ac:dyDescent="0.3">
      <c r="A63" s="96" t="str">
        <f>IF(B63="","",MAX(A$4:A62)+1)</f>
        <v/>
      </c>
      <c r="B63" s="99" t="str">
        <f t="shared" si="0"/>
        <v/>
      </c>
      <c r="C63" s="35"/>
      <c r="D63" s="35"/>
      <c r="E63" s="35"/>
      <c r="F63" s="35"/>
      <c r="G63" s="36"/>
      <c r="O63" s="19" t="str">
        <f t="shared" si="1"/>
        <v/>
      </c>
      <c r="P63" s="3" t="str">
        <f t="shared" si="2"/>
        <v/>
      </c>
      <c r="Q63" s="93" t="str" cm="1">
        <f t="array" ref="Q63">IF(ISNUMBER(O63),_xlfn._xlws.FILTER(PartsDB[Hrs_ShopAssy]*N63*O63,PartsDB[Catalog]=I63),"")</f>
        <v/>
      </c>
      <c r="R63" s="92" t="str" cm="1">
        <f t="array" ref="R63">IF(ISNUMBER(O63),_xlfn._xlws.FILTER(PartsDB[Hrs_Eng]*O63,PartsDB[Catalog]=I63),"")</f>
        <v/>
      </c>
      <c r="S63" s="92" t="str" cm="1">
        <f t="array" ref="S63">IF(ISNUMBER(O63),_xlfn._xlws.FILTER(PartsDB[Hrs_PanelAssy]*M63*O63,PartsDB[Catalog]=I63),"")</f>
        <v/>
      </c>
    </row>
    <row r="64" spans="1:19" ht="16.5" thickTop="1" thickBot="1" x14ac:dyDescent="0.3">
      <c r="A64" s="96" t="str">
        <f>IF(B64="","",MAX(A$4:A63)+1)</f>
        <v/>
      </c>
      <c r="B64" s="99" t="str">
        <f t="shared" si="0"/>
        <v/>
      </c>
      <c r="C64" s="35"/>
      <c r="D64" s="35"/>
      <c r="E64" s="35"/>
      <c r="F64" s="35"/>
      <c r="G64" s="36"/>
      <c r="O64" s="19" t="str">
        <f t="shared" si="1"/>
        <v/>
      </c>
      <c r="P64" s="3" t="str">
        <f t="shared" si="2"/>
        <v/>
      </c>
      <c r="Q64" s="93" t="str" cm="1">
        <f t="array" ref="Q64">IF(ISNUMBER(O64),_xlfn._xlws.FILTER(PartsDB[Hrs_ShopAssy]*N64*O64,PartsDB[Catalog]=I64),"")</f>
        <v/>
      </c>
      <c r="R64" s="92" t="str" cm="1">
        <f t="array" ref="R64">IF(ISNUMBER(O64),_xlfn._xlws.FILTER(PartsDB[Hrs_Eng]*O64,PartsDB[Catalog]=I64),"")</f>
        <v/>
      </c>
      <c r="S64" s="92" t="str" cm="1">
        <f t="array" ref="S64">IF(ISNUMBER(O64),_xlfn._xlws.FILTER(PartsDB[Hrs_PanelAssy]*M64*O64,PartsDB[Catalog]=I64),"")</f>
        <v/>
      </c>
    </row>
    <row r="65" spans="1:19" ht="16.5" thickTop="1" thickBot="1" x14ac:dyDescent="0.3">
      <c r="A65" s="96" t="str">
        <f>IF(B65="","",MAX(A$4:A64)+1)</f>
        <v/>
      </c>
      <c r="B65" s="99" t="str">
        <f t="shared" si="0"/>
        <v/>
      </c>
      <c r="C65" s="35"/>
      <c r="D65" s="35"/>
      <c r="E65" s="35"/>
      <c r="F65" s="35"/>
      <c r="G65" s="36"/>
      <c r="O65" s="19" t="str">
        <f t="shared" si="1"/>
        <v/>
      </c>
      <c r="P65" s="3" t="str">
        <f t="shared" si="2"/>
        <v/>
      </c>
      <c r="Q65" s="93" t="str" cm="1">
        <f t="array" ref="Q65">IF(ISNUMBER(O65),_xlfn._xlws.FILTER(PartsDB[Hrs_ShopAssy]*N65*O65,PartsDB[Catalog]=I65),"")</f>
        <v/>
      </c>
      <c r="R65" s="92" t="str" cm="1">
        <f t="array" ref="R65">IF(ISNUMBER(O65),_xlfn._xlws.FILTER(PartsDB[Hrs_Eng]*O65,PartsDB[Catalog]=I65),"")</f>
        <v/>
      </c>
      <c r="S65" s="92" t="str" cm="1">
        <f t="array" ref="S65">IF(ISNUMBER(O65),_xlfn._xlws.FILTER(PartsDB[Hrs_PanelAssy]*M65*O65,PartsDB[Catalog]=I65),"")</f>
        <v/>
      </c>
    </row>
    <row r="66" spans="1:19" ht="16.5" thickTop="1" thickBot="1" x14ac:dyDescent="0.3">
      <c r="A66" s="96" t="str">
        <f>IF(B66="","",MAX(A$4:A65)+1)</f>
        <v/>
      </c>
      <c r="B66" s="99" t="str">
        <f t="shared" si="0"/>
        <v/>
      </c>
      <c r="C66" s="35"/>
      <c r="D66" s="35"/>
      <c r="E66" s="35"/>
      <c r="F66" s="35"/>
      <c r="G66" s="36"/>
      <c r="O66" s="19" t="str">
        <f t="shared" si="1"/>
        <v/>
      </c>
      <c r="P66" s="3" t="str">
        <f t="shared" si="2"/>
        <v/>
      </c>
      <c r="Q66" s="93" t="str" cm="1">
        <f t="array" ref="Q66">IF(ISNUMBER(O66),_xlfn._xlws.FILTER(PartsDB[Hrs_ShopAssy]*N66*O66,PartsDB[Catalog]=I66),"")</f>
        <v/>
      </c>
      <c r="R66" s="92" t="str" cm="1">
        <f t="array" ref="R66">IF(ISNUMBER(O66),_xlfn._xlws.FILTER(PartsDB[Hrs_Eng]*O66,PartsDB[Catalog]=I66),"")</f>
        <v/>
      </c>
      <c r="S66" s="92" t="str" cm="1">
        <f t="array" ref="S66">IF(ISNUMBER(O66),_xlfn._xlws.FILTER(PartsDB[Hrs_PanelAssy]*M66*O66,PartsDB[Catalog]=I66),"")</f>
        <v/>
      </c>
    </row>
    <row r="67" spans="1:19" ht="16.5" thickTop="1" thickBot="1" x14ac:dyDescent="0.3">
      <c r="A67" s="96" t="str">
        <f>IF(B67="","",MAX(A$4:A66)+1)</f>
        <v/>
      </c>
      <c r="B67" s="99" t="str">
        <f t="shared" si="0"/>
        <v/>
      </c>
      <c r="C67" s="35"/>
      <c r="D67" s="35"/>
      <c r="E67" s="35"/>
      <c r="F67" s="35"/>
      <c r="G67" s="36"/>
      <c r="O67" s="19" t="str">
        <f t="shared" si="1"/>
        <v/>
      </c>
      <c r="P67" s="3" t="str">
        <f t="shared" si="2"/>
        <v/>
      </c>
      <c r="Q67" s="93" t="str" cm="1">
        <f t="array" ref="Q67">IF(ISNUMBER(O67),_xlfn._xlws.FILTER(PartsDB[Hrs_ShopAssy]*N67*O67,PartsDB[Catalog]=I67),"")</f>
        <v/>
      </c>
      <c r="R67" s="92" t="str" cm="1">
        <f t="array" ref="R67">IF(ISNUMBER(O67),_xlfn._xlws.FILTER(PartsDB[Hrs_Eng]*O67,PartsDB[Catalog]=I67),"")</f>
        <v/>
      </c>
      <c r="S67" s="92" t="str" cm="1">
        <f t="array" ref="S67">IF(ISNUMBER(O67),_xlfn._xlws.FILTER(PartsDB[Hrs_PanelAssy]*M67*O67,PartsDB[Catalog]=I67),"")</f>
        <v/>
      </c>
    </row>
    <row r="68" spans="1:19" ht="16.5" thickTop="1" thickBot="1" x14ac:dyDescent="0.3">
      <c r="A68" s="96" t="str">
        <f>IF(B68="","",MAX(A$4:A67)+1)</f>
        <v/>
      </c>
      <c r="B68" s="99" t="str">
        <f t="shared" si="0"/>
        <v/>
      </c>
      <c r="C68" s="35"/>
      <c r="D68" s="35"/>
      <c r="E68" s="35"/>
      <c r="F68" s="35"/>
      <c r="G68" s="36"/>
      <c r="O68" s="19" t="str">
        <f t="shared" si="1"/>
        <v/>
      </c>
      <c r="P68" s="3" t="str">
        <f t="shared" si="2"/>
        <v/>
      </c>
      <c r="Q68" s="93" t="str" cm="1">
        <f t="array" ref="Q68">IF(ISNUMBER(O68),_xlfn._xlws.FILTER(PartsDB[Hrs_ShopAssy]*N68*O68,PartsDB[Catalog]=I68),"")</f>
        <v/>
      </c>
      <c r="R68" s="92" t="str" cm="1">
        <f t="array" ref="R68">IF(ISNUMBER(O68),_xlfn._xlws.FILTER(PartsDB[Hrs_Eng]*O68,PartsDB[Catalog]=I68),"")</f>
        <v/>
      </c>
      <c r="S68" s="92" t="str" cm="1">
        <f t="array" ref="S68">IF(ISNUMBER(O68),_xlfn._xlws.FILTER(PartsDB[Hrs_PanelAssy]*M68*O68,PartsDB[Catalog]=I68),"")</f>
        <v/>
      </c>
    </row>
    <row r="69" spans="1:19" ht="16.5" thickTop="1" thickBot="1" x14ac:dyDescent="0.3">
      <c r="A69" s="96" t="str">
        <f>IF(B69="","",MAX(A$4:A68)+1)</f>
        <v/>
      </c>
      <c r="B69" s="99" t="str">
        <f t="shared" ref="B69:B132" si="3">IF(OR(ISBLANK($B$2),ISBLANK(D69)),"",$B$2)</f>
        <v/>
      </c>
      <c r="C69" s="35"/>
      <c r="D69" s="35"/>
      <c r="E69" s="35"/>
      <c r="F69" s="35"/>
      <c r="G69" s="36"/>
      <c r="O69" s="19" t="str">
        <f t="shared" ref="O69:O132" si="4">IF(ISNUMBER(J69),J69,"")</f>
        <v/>
      </c>
      <c r="P69" s="3" t="str">
        <f t="shared" ref="P69:P132" si="5">IF(ISNUMBER(O69),O69*K69,"")</f>
        <v/>
      </c>
      <c r="Q69" s="93" t="str" cm="1">
        <f t="array" ref="Q69">IF(ISNUMBER(O69),_xlfn._xlws.FILTER(PartsDB[Hrs_ShopAssy]*N69*O69,PartsDB[Catalog]=I69),"")</f>
        <v/>
      </c>
      <c r="R69" s="92" t="str" cm="1">
        <f t="array" ref="R69">IF(ISNUMBER(O69),_xlfn._xlws.FILTER(PartsDB[Hrs_Eng]*O69,PartsDB[Catalog]=I69),"")</f>
        <v/>
      </c>
      <c r="S69" s="92" t="str" cm="1">
        <f t="array" ref="S69">IF(ISNUMBER(O69),_xlfn._xlws.FILTER(PartsDB[Hrs_PanelAssy]*M69*O69,PartsDB[Catalog]=I69),"")</f>
        <v/>
      </c>
    </row>
    <row r="70" spans="1:19" ht="16.5" thickTop="1" thickBot="1" x14ac:dyDescent="0.3">
      <c r="A70" s="96" t="str">
        <f>IF(B70="","",MAX(A$4:A69)+1)</f>
        <v/>
      </c>
      <c r="B70" s="99" t="str">
        <f t="shared" si="3"/>
        <v/>
      </c>
      <c r="C70" s="35"/>
      <c r="D70" s="35"/>
      <c r="E70" s="35"/>
      <c r="F70" s="35"/>
      <c r="G70" s="36"/>
      <c r="O70" s="19" t="str">
        <f t="shared" si="4"/>
        <v/>
      </c>
      <c r="P70" s="3" t="str">
        <f t="shared" si="5"/>
        <v/>
      </c>
      <c r="Q70" s="93" t="str" cm="1">
        <f t="array" ref="Q70">IF(ISNUMBER(O70),_xlfn._xlws.FILTER(PartsDB[Hrs_ShopAssy]*N70*O70,PartsDB[Catalog]=I70),"")</f>
        <v/>
      </c>
      <c r="R70" s="92" t="str" cm="1">
        <f t="array" ref="R70">IF(ISNUMBER(O70),_xlfn._xlws.FILTER(PartsDB[Hrs_Eng]*O70,PartsDB[Catalog]=I70),"")</f>
        <v/>
      </c>
      <c r="S70" s="92" t="str" cm="1">
        <f t="array" ref="S70">IF(ISNUMBER(O70),_xlfn._xlws.FILTER(PartsDB[Hrs_PanelAssy]*M70*O70,PartsDB[Catalog]=I70),"")</f>
        <v/>
      </c>
    </row>
    <row r="71" spans="1:19" ht="16.5" thickTop="1" thickBot="1" x14ac:dyDescent="0.3">
      <c r="A71" s="96" t="str">
        <f>IF(B71="","",MAX(A$4:A70)+1)</f>
        <v/>
      </c>
      <c r="B71" s="99" t="str">
        <f t="shared" si="3"/>
        <v/>
      </c>
      <c r="C71" s="35"/>
      <c r="D71" s="35"/>
      <c r="E71" s="35"/>
      <c r="F71" s="35"/>
      <c r="G71" s="36"/>
      <c r="O71" s="19" t="str">
        <f t="shared" si="4"/>
        <v/>
      </c>
      <c r="P71" s="3" t="str">
        <f t="shared" si="5"/>
        <v/>
      </c>
      <c r="Q71" s="93" t="str" cm="1">
        <f t="array" ref="Q71">IF(ISNUMBER(O71),_xlfn._xlws.FILTER(PartsDB[Hrs_ShopAssy]*N71*O71,PartsDB[Catalog]=I71),"")</f>
        <v/>
      </c>
      <c r="R71" s="92" t="str" cm="1">
        <f t="array" ref="R71">IF(ISNUMBER(O71),_xlfn._xlws.FILTER(PartsDB[Hrs_Eng]*O71,PartsDB[Catalog]=I71),"")</f>
        <v/>
      </c>
      <c r="S71" s="92" t="str" cm="1">
        <f t="array" ref="S71">IF(ISNUMBER(O71),_xlfn._xlws.FILTER(PartsDB[Hrs_PanelAssy]*M71*O71,PartsDB[Catalog]=I71),"")</f>
        <v/>
      </c>
    </row>
    <row r="72" spans="1:19" ht="16.5" thickTop="1" thickBot="1" x14ac:dyDescent="0.3">
      <c r="A72" s="96" t="str">
        <f>IF(B72="","",MAX(A$4:A71)+1)</f>
        <v/>
      </c>
      <c r="B72" s="99" t="str">
        <f t="shared" si="3"/>
        <v/>
      </c>
      <c r="C72" s="35"/>
      <c r="D72" s="35"/>
      <c r="E72" s="35"/>
      <c r="F72" s="35"/>
      <c r="G72" s="36"/>
      <c r="O72" s="19" t="str">
        <f t="shared" si="4"/>
        <v/>
      </c>
      <c r="P72" s="3" t="str">
        <f t="shared" si="5"/>
        <v/>
      </c>
      <c r="Q72" s="93" t="str" cm="1">
        <f t="array" ref="Q72">IF(ISNUMBER(O72),_xlfn._xlws.FILTER(PartsDB[Hrs_ShopAssy]*N72*O72,PartsDB[Catalog]=I72),"")</f>
        <v/>
      </c>
      <c r="R72" s="92" t="str" cm="1">
        <f t="array" ref="R72">IF(ISNUMBER(O72),_xlfn._xlws.FILTER(PartsDB[Hrs_Eng]*O72,PartsDB[Catalog]=I72),"")</f>
        <v/>
      </c>
      <c r="S72" s="92" t="str" cm="1">
        <f t="array" ref="S72">IF(ISNUMBER(O72),_xlfn._xlws.FILTER(PartsDB[Hrs_PanelAssy]*M72*O72,PartsDB[Catalog]=I72),"")</f>
        <v/>
      </c>
    </row>
    <row r="73" spans="1:19" ht="16.5" thickTop="1" thickBot="1" x14ac:dyDescent="0.3">
      <c r="A73" s="96" t="str">
        <f>IF(B73="","",MAX(A$4:A72)+1)</f>
        <v/>
      </c>
      <c r="B73" s="99" t="str">
        <f t="shared" si="3"/>
        <v/>
      </c>
      <c r="C73" s="35"/>
      <c r="D73" s="35"/>
      <c r="E73" s="35"/>
      <c r="F73" s="35"/>
      <c r="G73" s="36"/>
      <c r="O73" s="19" t="str">
        <f t="shared" si="4"/>
        <v/>
      </c>
      <c r="P73" s="3" t="str">
        <f t="shared" si="5"/>
        <v/>
      </c>
      <c r="Q73" s="93" t="str" cm="1">
        <f t="array" ref="Q73">IF(ISNUMBER(O73),_xlfn._xlws.FILTER(PartsDB[Hrs_ShopAssy]*N73*O73,PartsDB[Catalog]=I73),"")</f>
        <v/>
      </c>
      <c r="R73" s="92" t="str" cm="1">
        <f t="array" ref="R73">IF(ISNUMBER(O73),_xlfn._xlws.FILTER(PartsDB[Hrs_Eng]*O73,PartsDB[Catalog]=I73),"")</f>
        <v/>
      </c>
      <c r="S73" s="92" t="str" cm="1">
        <f t="array" ref="S73">IF(ISNUMBER(O73),_xlfn._xlws.FILTER(PartsDB[Hrs_PanelAssy]*M73*O73,PartsDB[Catalog]=I73),"")</f>
        <v/>
      </c>
    </row>
    <row r="74" spans="1:19" ht="16.5" thickTop="1" thickBot="1" x14ac:dyDescent="0.3">
      <c r="A74" s="96" t="str">
        <f>IF(B74="","",MAX(A$4:A73)+1)</f>
        <v/>
      </c>
      <c r="B74" s="99" t="str">
        <f t="shared" si="3"/>
        <v/>
      </c>
      <c r="C74" s="35"/>
      <c r="D74" s="35"/>
      <c r="E74" s="35"/>
      <c r="F74" s="35"/>
      <c r="G74" s="36"/>
      <c r="O74" s="19" t="str">
        <f t="shared" si="4"/>
        <v/>
      </c>
      <c r="P74" s="3" t="str">
        <f t="shared" si="5"/>
        <v/>
      </c>
      <c r="Q74" s="93" t="str" cm="1">
        <f t="array" ref="Q74">IF(ISNUMBER(O74),_xlfn._xlws.FILTER(PartsDB[Hrs_ShopAssy]*N74*O74,PartsDB[Catalog]=I74),"")</f>
        <v/>
      </c>
      <c r="R74" s="92" t="str" cm="1">
        <f t="array" ref="R74">IF(ISNUMBER(O74),_xlfn._xlws.FILTER(PartsDB[Hrs_Eng]*O74,PartsDB[Catalog]=I74),"")</f>
        <v/>
      </c>
      <c r="S74" s="92" t="str" cm="1">
        <f t="array" ref="S74">IF(ISNUMBER(O74),_xlfn._xlws.FILTER(PartsDB[Hrs_PanelAssy]*M74*O74,PartsDB[Catalog]=I74),"")</f>
        <v/>
      </c>
    </row>
    <row r="75" spans="1:19" ht="16.5" thickTop="1" thickBot="1" x14ac:dyDescent="0.3">
      <c r="A75" s="96" t="str">
        <f>IF(B75="","",MAX(A$4:A74)+1)</f>
        <v/>
      </c>
      <c r="B75" s="99" t="str">
        <f t="shared" si="3"/>
        <v/>
      </c>
      <c r="C75" s="35"/>
      <c r="D75" s="35"/>
      <c r="E75" s="35"/>
      <c r="F75" s="35"/>
      <c r="G75" s="36"/>
      <c r="O75" s="19" t="str">
        <f t="shared" si="4"/>
        <v/>
      </c>
      <c r="P75" s="3" t="str">
        <f t="shared" si="5"/>
        <v/>
      </c>
      <c r="Q75" s="93" t="str" cm="1">
        <f t="array" ref="Q75">IF(ISNUMBER(O75),_xlfn._xlws.FILTER(PartsDB[Hrs_ShopAssy]*N75*O75,PartsDB[Catalog]=I75),"")</f>
        <v/>
      </c>
      <c r="R75" s="92" t="str" cm="1">
        <f t="array" ref="R75">IF(ISNUMBER(O75),_xlfn._xlws.FILTER(PartsDB[Hrs_Eng]*O75,PartsDB[Catalog]=I75),"")</f>
        <v/>
      </c>
      <c r="S75" s="92" t="str" cm="1">
        <f t="array" ref="S75">IF(ISNUMBER(O75),_xlfn._xlws.FILTER(PartsDB[Hrs_PanelAssy]*M75*O75,PartsDB[Catalog]=I75),"")</f>
        <v/>
      </c>
    </row>
    <row r="76" spans="1:19" ht="16.5" thickTop="1" thickBot="1" x14ac:dyDescent="0.3">
      <c r="A76" s="96" t="str">
        <f>IF(B76="","",MAX(A$4:A75)+1)</f>
        <v/>
      </c>
      <c r="B76" s="99" t="str">
        <f t="shared" si="3"/>
        <v/>
      </c>
      <c r="C76" s="35"/>
      <c r="D76" s="35"/>
      <c r="E76" s="35"/>
      <c r="F76" s="35"/>
      <c r="G76" s="36"/>
      <c r="O76" s="19" t="str">
        <f t="shared" si="4"/>
        <v/>
      </c>
      <c r="P76" s="3" t="str">
        <f t="shared" si="5"/>
        <v/>
      </c>
      <c r="Q76" s="93" t="str" cm="1">
        <f t="array" ref="Q76">IF(ISNUMBER(O76),_xlfn._xlws.FILTER(PartsDB[Hrs_ShopAssy]*N76*O76,PartsDB[Catalog]=I76),"")</f>
        <v/>
      </c>
      <c r="R76" s="92" t="str" cm="1">
        <f t="array" ref="R76">IF(ISNUMBER(O76),_xlfn._xlws.FILTER(PartsDB[Hrs_Eng]*O76,PartsDB[Catalog]=I76),"")</f>
        <v/>
      </c>
      <c r="S76" s="92" t="str" cm="1">
        <f t="array" ref="S76">IF(ISNUMBER(O76),_xlfn._xlws.FILTER(PartsDB[Hrs_PanelAssy]*M76*O76,PartsDB[Catalog]=I76),"")</f>
        <v/>
      </c>
    </row>
    <row r="77" spans="1:19" ht="16.5" thickTop="1" thickBot="1" x14ac:dyDescent="0.3">
      <c r="A77" s="96" t="str">
        <f>IF(B77="","",MAX(A$4:A76)+1)</f>
        <v/>
      </c>
      <c r="B77" s="99" t="str">
        <f t="shared" si="3"/>
        <v/>
      </c>
      <c r="C77" s="35"/>
      <c r="D77" s="35"/>
      <c r="E77" s="35"/>
      <c r="F77" s="35"/>
      <c r="G77" s="36"/>
      <c r="O77" s="19" t="str">
        <f t="shared" si="4"/>
        <v/>
      </c>
      <c r="P77" s="3" t="str">
        <f t="shared" si="5"/>
        <v/>
      </c>
      <c r="Q77" s="93" t="str" cm="1">
        <f t="array" ref="Q77">IF(ISNUMBER(O77),_xlfn._xlws.FILTER(PartsDB[Hrs_ShopAssy]*N77*O77,PartsDB[Catalog]=I77),"")</f>
        <v/>
      </c>
      <c r="R77" s="92" t="str" cm="1">
        <f t="array" ref="R77">IF(ISNUMBER(O77),_xlfn._xlws.FILTER(PartsDB[Hrs_Eng]*O77,PartsDB[Catalog]=I77),"")</f>
        <v/>
      </c>
      <c r="S77" s="92" t="str" cm="1">
        <f t="array" ref="S77">IF(ISNUMBER(O77),_xlfn._xlws.FILTER(PartsDB[Hrs_PanelAssy]*M77*O77,PartsDB[Catalog]=I77),"")</f>
        <v/>
      </c>
    </row>
    <row r="78" spans="1:19" ht="16.5" thickTop="1" thickBot="1" x14ac:dyDescent="0.3">
      <c r="A78" s="96" t="str">
        <f>IF(B78="","",MAX(A$4:A77)+1)</f>
        <v/>
      </c>
      <c r="B78" s="99" t="str">
        <f t="shared" si="3"/>
        <v/>
      </c>
      <c r="C78" s="35"/>
      <c r="D78" s="35"/>
      <c r="E78" s="35"/>
      <c r="F78" s="35"/>
      <c r="G78" s="36"/>
      <c r="O78" s="19" t="str">
        <f t="shared" si="4"/>
        <v/>
      </c>
      <c r="P78" s="3" t="str">
        <f t="shared" si="5"/>
        <v/>
      </c>
      <c r="Q78" s="93" t="str" cm="1">
        <f t="array" ref="Q78">IF(ISNUMBER(O78),_xlfn._xlws.FILTER(PartsDB[Hrs_ShopAssy]*N78*O78,PartsDB[Catalog]=I78),"")</f>
        <v/>
      </c>
      <c r="R78" s="92" t="str" cm="1">
        <f t="array" ref="R78">IF(ISNUMBER(O78),_xlfn._xlws.FILTER(PartsDB[Hrs_Eng]*O78,PartsDB[Catalog]=I78),"")</f>
        <v/>
      </c>
      <c r="S78" s="92" t="str" cm="1">
        <f t="array" ref="S78">IF(ISNUMBER(O78),_xlfn._xlws.FILTER(PartsDB[Hrs_PanelAssy]*M78*O78,PartsDB[Catalog]=I78),"")</f>
        <v/>
      </c>
    </row>
    <row r="79" spans="1:19" ht="16.5" thickTop="1" thickBot="1" x14ac:dyDescent="0.3">
      <c r="A79" s="96" t="str">
        <f>IF(B79="","",MAX(A$4:A78)+1)</f>
        <v/>
      </c>
      <c r="B79" s="99" t="str">
        <f t="shared" si="3"/>
        <v/>
      </c>
      <c r="C79" s="35"/>
      <c r="D79" s="35"/>
      <c r="E79" s="35"/>
      <c r="F79" s="35"/>
      <c r="G79" s="36"/>
      <c r="O79" s="19" t="str">
        <f t="shared" si="4"/>
        <v/>
      </c>
      <c r="P79" s="3" t="str">
        <f t="shared" si="5"/>
        <v/>
      </c>
      <c r="Q79" s="93" t="str" cm="1">
        <f t="array" ref="Q79">IF(ISNUMBER(O79),_xlfn._xlws.FILTER(PartsDB[Hrs_ShopAssy]*N79*O79,PartsDB[Catalog]=I79),"")</f>
        <v/>
      </c>
      <c r="R79" s="92" t="str" cm="1">
        <f t="array" ref="R79">IF(ISNUMBER(O79),_xlfn._xlws.FILTER(PartsDB[Hrs_Eng]*O79,PartsDB[Catalog]=I79),"")</f>
        <v/>
      </c>
      <c r="S79" s="92" t="str" cm="1">
        <f t="array" ref="S79">IF(ISNUMBER(O79),_xlfn._xlws.FILTER(PartsDB[Hrs_PanelAssy]*M79*O79,PartsDB[Catalog]=I79),"")</f>
        <v/>
      </c>
    </row>
    <row r="80" spans="1:19" ht="16.5" thickTop="1" thickBot="1" x14ac:dyDescent="0.3">
      <c r="A80" s="96" t="str">
        <f>IF(B80="","",MAX(A$4:A79)+1)</f>
        <v/>
      </c>
      <c r="B80" s="99" t="str">
        <f t="shared" si="3"/>
        <v/>
      </c>
      <c r="C80" s="35"/>
      <c r="D80" s="35"/>
      <c r="E80" s="35"/>
      <c r="F80" s="35"/>
      <c r="G80" s="36"/>
      <c r="O80" s="19" t="str">
        <f t="shared" si="4"/>
        <v/>
      </c>
      <c r="P80" s="3" t="str">
        <f t="shared" si="5"/>
        <v/>
      </c>
      <c r="Q80" s="93" t="str" cm="1">
        <f t="array" ref="Q80">IF(ISNUMBER(O80),_xlfn._xlws.FILTER(PartsDB[Hrs_ShopAssy]*N80*O80,PartsDB[Catalog]=I80),"")</f>
        <v/>
      </c>
      <c r="R80" s="92" t="str" cm="1">
        <f t="array" ref="R80">IF(ISNUMBER(O80),_xlfn._xlws.FILTER(PartsDB[Hrs_Eng]*O80,PartsDB[Catalog]=I80),"")</f>
        <v/>
      </c>
      <c r="S80" s="92" t="str" cm="1">
        <f t="array" ref="S80">IF(ISNUMBER(O80),_xlfn._xlws.FILTER(PartsDB[Hrs_PanelAssy]*M80*O80,PartsDB[Catalog]=I80),"")</f>
        <v/>
      </c>
    </row>
    <row r="81" spans="1:19" ht="16.5" thickTop="1" thickBot="1" x14ac:dyDescent="0.3">
      <c r="A81" s="96" t="str">
        <f>IF(B81="","",MAX(A$4:A80)+1)</f>
        <v/>
      </c>
      <c r="B81" s="99" t="str">
        <f t="shared" si="3"/>
        <v/>
      </c>
      <c r="C81" s="35"/>
      <c r="D81" s="35"/>
      <c r="E81" s="35"/>
      <c r="F81" s="35"/>
      <c r="G81" s="36"/>
      <c r="O81" s="19" t="str">
        <f t="shared" si="4"/>
        <v/>
      </c>
      <c r="P81" s="3" t="str">
        <f t="shared" si="5"/>
        <v/>
      </c>
      <c r="Q81" s="93" t="str" cm="1">
        <f t="array" ref="Q81">IF(ISNUMBER(O81),_xlfn._xlws.FILTER(PartsDB[Hrs_ShopAssy]*N81*O81,PartsDB[Catalog]=I81),"")</f>
        <v/>
      </c>
      <c r="R81" s="92" t="str" cm="1">
        <f t="array" ref="R81">IF(ISNUMBER(O81),_xlfn._xlws.FILTER(PartsDB[Hrs_Eng]*O81,PartsDB[Catalog]=I81),"")</f>
        <v/>
      </c>
      <c r="S81" s="92" t="str" cm="1">
        <f t="array" ref="S81">IF(ISNUMBER(O81),_xlfn._xlws.FILTER(PartsDB[Hrs_PanelAssy]*M81*O81,PartsDB[Catalog]=I81),"")</f>
        <v/>
      </c>
    </row>
    <row r="82" spans="1:19" ht="16.5" thickTop="1" thickBot="1" x14ac:dyDescent="0.3">
      <c r="A82" s="96" t="str">
        <f>IF(B82="","",MAX(A$4:A81)+1)</f>
        <v/>
      </c>
      <c r="B82" s="99" t="str">
        <f t="shared" si="3"/>
        <v/>
      </c>
      <c r="C82" s="35"/>
      <c r="D82" s="35"/>
      <c r="E82" s="35"/>
      <c r="F82" s="35"/>
      <c r="G82" s="36"/>
      <c r="O82" s="19" t="str">
        <f t="shared" si="4"/>
        <v/>
      </c>
      <c r="P82" s="3" t="str">
        <f t="shared" si="5"/>
        <v/>
      </c>
      <c r="Q82" s="93" t="str" cm="1">
        <f t="array" ref="Q82">IF(ISNUMBER(O82),_xlfn._xlws.FILTER(PartsDB[Hrs_ShopAssy]*N82*O82,PartsDB[Catalog]=I82),"")</f>
        <v/>
      </c>
      <c r="R82" s="92" t="str" cm="1">
        <f t="array" ref="R82">IF(ISNUMBER(O82),_xlfn._xlws.FILTER(PartsDB[Hrs_Eng]*O82,PartsDB[Catalog]=I82),"")</f>
        <v/>
      </c>
      <c r="S82" s="92" t="str" cm="1">
        <f t="array" ref="S82">IF(ISNUMBER(O82),_xlfn._xlws.FILTER(PartsDB[Hrs_PanelAssy]*M82*O82,PartsDB[Catalog]=I82),"")</f>
        <v/>
      </c>
    </row>
    <row r="83" spans="1:19" ht="16.5" thickTop="1" thickBot="1" x14ac:dyDescent="0.3">
      <c r="A83" s="96" t="str">
        <f>IF(B83="","",MAX(A$4:A82)+1)</f>
        <v/>
      </c>
      <c r="B83" s="99" t="str">
        <f t="shared" si="3"/>
        <v/>
      </c>
      <c r="C83" s="35"/>
      <c r="D83" s="35"/>
      <c r="E83" s="35"/>
      <c r="F83" s="35"/>
      <c r="G83" s="36"/>
      <c r="O83" s="19" t="str">
        <f t="shared" si="4"/>
        <v/>
      </c>
      <c r="P83" s="3" t="str">
        <f t="shared" si="5"/>
        <v/>
      </c>
      <c r="Q83" s="93" t="str" cm="1">
        <f t="array" ref="Q83">IF(ISNUMBER(O83),_xlfn._xlws.FILTER(PartsDB[Hrs_ShopAssy]*N83*O83,PartsDB[Catalog]=I83),"")</f>
        <v/>
      </c>
      <c r="R83" s="92" t="str" cm="1">
        <f t="array" ref="R83">IF(ISNUMBER(O83),_xlfn._xlws.FILTER(PartsDB[Hrs_Eng]*O83,PartsDB[Catalog]=I83),"")</f>
        <v/>
      </c>
      <c r="S83" s="92" t="str" cm="1">
        <f t="array" ref="S83">IF(ISNUMBER(O83),_xlfn._xlws.FILTER(PartsDB[Hrs_PanelAssy]*M83*O83,PartsDB[Catalog]=I83),"")</f>
        <v/>
      </c>
    </row>
    <row r="84" spans="1:19" ht="16.5" thickTop="1" thickBot="1" x14ac:dyDescent="0.3">
      <c r="A84" s="96" t="str">
        <f>IF(B84="","",MAX(A$4:A83)+1)</f>
        <v/>
      </c>
      <c r="B84" s="99" t="str">
        <f t="shared" si="3"/>
        <v/>
      </c>
      <c r="C84" s="35"/>
      <c r="D84" s="35"/>
      <c r="E84" s="35"/>
      <c r="F84" s="35"/>
      <c r="G84" s="36"/>
      <c r="O84" s="19" t="str">
        <f t="shared" si="4"/>
        <v/>
      </c>
      <c r="P84" s="3" t="str">
        <f t="shared" si="5"/>
        <v/>
      </c>
      <c r="Q84" s="93" t="str" cm="1">
        <f t="array" ref="Q84">IF(ISNUMBER(O84),_xlfn._xlws.FILTER(PartsDB[Hrs_ShopAssy]*N84*O84,PartsDB[Catalog]=I84),"")</f>
        <v/>
      </c>
      <c r="R84" s="92" t="str" cm="1">
        <f t="array" ref="R84">IF(ISNUMBER(O84),_xlfn._xlws.FILTER(PartsDB[Hrs_Eng]*O84,PartsDB[Catalog]=I84),"")</f>
        <v/>
      </c>
      <c r="S84" s="92" t="str" cm="1">
        <f t="array" ref="S84">IF(ISNUMBER(O84),_xlfn._xlws.FILTER(PartsDB[Hrs_PanelAssy]*M84*O84,PartsDB[Catalog]=I84),"")</f>
        <v/>
      </c>
    </row>
    <row r="85" spans="1:19" ht="16.5" thickTop="1" thickBot="1" x14ac:dyDescent="0.3">
      <c r="A85" s="96" t="str">
        <f>IF(B85="","",MAX(A$4:A84)+1)</f>
        <v/>
      </c>
      <c r="B85" s="99" t="str">
        <f t="shared" si="3"/>
        <v/>
      </c>
      <c r="C85" s="35"/>
      <c r="D85" s="35"/>
      <c r="E85" s="35"/>
      <c r="F85" s="35"/>
      <c r="G85" s="36"/>
      <c r="O85" s="19" t="str">
        <f t="shared" si="4"/>
        <v/>
      </c>
      <c r="P85" s="3" t="str">
        <f t="shared" si="5"/>
        <v/>
      </c>
      <c r="Q85" s="93" t="str" cm="1">
        <f t="array" ref="Q85">IF(ISNUMBER(O85),_xlfn._xlws.FILTER(PartsDB[Hrs_ShopAssy]*N85*O85,PartsDB[Catalog]=I85),"")</f>
        <v/>
      </c>
      <c r="R85" s="92" t="str" cm="1">
        <f t="array" ref="R85">IF(ISNUMBER(O85),_xlfn._xlws.FILTER(PartsDB[Hrs_Eng]*O85,PartsDB[Catalog]=I85),"")</f>
        <v/>
      </c>
      <c r="S85" s="92" t="str" cm="1">
        <f t="array" ref="S85">IF(ISNUMBER(O85),_xlfn._xlws.FILTER(PartsDB[Hrs_PanelAssy]*M85*O85,PartsDB[Catalog]=I85),"")</f>
        <v/>
      </c>
    </row>
    <row r="86" spans="1:19" ht="16.5" thickTop="1" thickBot="1" x14ac:dyDescent="0.3">
      <c r="A86" s="96" t="str">
        <f>IF(B86="","",MAX(A$4:A85)+1)</f>
        <v/>
      </c>
      <c r="B86" s="99" t="str">
        <f t="shared" si="3"/>
        <v/>
      </c>
      <c r="C86" s="35"/>
      <c r="D86" s="35"/>
      <c r="E86" s="35"/>
      <c r="F86" s="35"/>
      <c r="G86" s="36"/>
      <c r="O86" s="19" t="str">
        <f t="shared" si="4"/>
        <v/>
      </c>
      <c r="P86" s="3" t="str">
        <f t="shared" si="5"/>
        <v/>
      </c>
      <c r="Q86" s="93" t="str" cm="1">
        <f t="array" ref="Q86">IF(ISNUMBER(O86),_xlfn._xlws.FILTER(PartsDB[Hrs_ShopAssy]*N86*O86,PartsDB[Catalog]=I86),"")</f>
        <v/>
      </c>
      <c r="R86" s="92" t="str" cm="1">
        <f t="array" ref="R86">IF(ISNUMBER(O86),_xlfn._xlws.FILTER(PartsDB[Hrs_Eng]*O86,PartsDB[Catalog]=I86),"")</f>
        <v/>
      </c>
      <c r="S86" s="92" t="str" cm="1">
        <f t="array" ref="S86">IF(ISNUMBER(O86),_xlfn._xlws.FILTER(PartsDB[Hrs_PanelAssy]*M86*O86,PartsDB[Catalog]=I86),"")</f>
        <v/>
      </c>
    </row>
    <row r="87" spans="1:19" ht="16.5" thickTop="1" thickBot="1" x14ac:dyDescent="0.3">
      <c r="A87" s="96" t="str">
        <f>IF(B87="","",MAX(A$4:A86)+1)</f>
        <v/>
      </c>
      <c r="B87" s="99" t="str">
        <f t="shared" si="3"/>
        <v/>
      </c>
      <c r="C87" s="35"/>
      <c r="D87" s="35"/>
      <c r="E87" s="35"/>
      <c r="F87" s="35"/>
      <c r="G87" s="36"/>
      <c r="O87" s="19" t="str">
        <f t="shared" si="4"/>
        <v/>
      </c>
      <c r="P87" s="3" t="str">
        <f t="shared" si="5"/>
        <v/>
      </c>
      <c r="Q87" s="93" t="str" cm="1">
        <f t="array" ref="Q87">IF(ISNUMBER(O87),_xlfn._xlws.FILTER(PartsDB[Hrs_ShopAssy]*N87*O87,PartsDB[Catalog]=I87),"")</f>
        <v/>
      </c>
      <c r="R87" s="92" t="str" cm="1">
        <f t="array" ref="R87">IF(ISNUMBER(O87),_xlfn._xlws.FILTER(PartsDB[Hrs_Eng]*O87,PartsDB[Catalog]=I87),"")</f>
        <v/>
      </c>
      <c r="S87" s="92" t="str" cm="1">
        <f t="array" ref="S87">IF(ISNUMBER(O87),_xlfn._xlws.FILTER(PartsDB[Hrs_PanelAssy]*M87*O87,PartsDB[Catalog]=I87),"")</f>
        <v/>
      </c>
    </row>
    <row r="88" spans="1:19" ht="16.5" thickTop="1" thickBot="1" x14ac:dyDescent="0.3">
      <c r="A88" s="96" t="str">
        <f>IF(B88="","",MAX(A$4:A87)+1)</f>
        <v/>
      </c>
      <c r="B88" s="99" t="str">
        <f t="shared" si="3"/>
        <v/>
      </c>
      <c r="C88" s="35"/>
      <c r="D88" s="35"/>
      <c r="E88" s="35"/>
      <c r="F88" s="35"/>
      <c r="G88" s="36"/>
      <c r="O88" s="19" t="str">
        <f t="shared" si="4"/>
        <v/>
      </c>
      <c r="P88" s="3" t="str">
        <f t="shared" si="5"/>
        <v/>
      </c>
      <c r="Q88" s="93" t="str" cm="1">
        <f t="array" ref="Q88">IF(ISNUMBER(O88),_xlfn._xlws.FILTER(PartsDB[Hrs_ShopAssy]*N88*O88,PartsDB[Catalog]=I88),"")</f>
        <v/>
      </c>
      <c r="R88" s="92" t="str" cm="1">
        <f t="array" ref="R88">IF(ISNUMBER(O88),_xlfn._xlws.FILTER(PartsDB[Hrs_Eng]*O88,PartsDB[Catalog]=I88),"")</f>
        <v/>
      </c>
      <c r="S88" s="92" t="str" cm="1">
        <f t="array" ref="S88">IF(ISNUMBER(O88),_xlfn._xlws.FILTER(PartsDB[Hrs_PanelAssy]*M88*O88,PartsDB[Catalog]=I88),"")</f>
        <v/>
      </c>
    </row>
    <row r="89" spans="1:19" ht="16.5" thickTop="1" thickBot="1" x14ac:dyDescent="0.3">
      <c r="A89" s="96" t="str">
        <f>IF(B89="","",MAX(A$4:A88)+1)</f>
        <v/>
      </c>
      <c r="B89" s="99" t="str">
        <f t="shared" si="3"/>
        <v/>
      </c>
      <c r="C89" s="35"/>
      <c r="D89" s="35"/>
      <c r="E89" s="35"/>
      <c r="F89" s="35"/>
      <c r="G89" s="36"/>
      <c r="O89" s="19" t="str">
        <f t="shared" si="4"/>
        <v/>
      </c>
      <c r="P89" s="3" t="str">
        <f t="shared" si="5"/>
        <v/>
      </c>
      <c r="Q89" s="93" t="str" cm="1">
        <f t="array" ref="Q89">IF(ISNUMBER(O89),_xlfn._xlws.FILTER(PartsDB[Hrs_ShopAssy]*N89*O89,PartsDB[Catalog]=I89),"")</f>
        <v/>
      </c>
      <c r="R89" s="92" t="str" cm="1">
        <f t="array" ref="R89">IF(ISNUMBER(O89),_xlfn._xlws.FILTER(PartsDB[Hrs_Eng]*O89,PartsDB[Catalog]=I89),"")</f>
        <v/>
      </c>
      <c r="S89" s="92" t="str" cm="1">
        <f t="array" ref="S89">IF(ISNUMBER(O89),_xlfn._xlws.FILTER(PartsDB[Hrs_PanelAssy]*M89*O89,PartsDB[Catalog]=I89),"")</f>
        <v/>
      </c>
    </row>
    <row r="90" spans="1:19" ht="16.5" thickTop="1" thickBot="1" x14ac:dyDescent="0.3">
      <c r="A90" s="96" t="str">
        <f>IF(B90="","",MAX(A$4:A89)+1)</f>
        <v/>
      </c>
      <c r="B90" s="99" t="str">
        <f t="shared" si="3"/>
        <v/>
      </c>
      <c r="C90" s="35"/>
      <c r="D90" s="35"/>
      <c r="E90" s="35"/>
      <c r="F90" s="35"/>
      <c r="G90" s="36"/>
      <c r="O90" s="19" t="str">
        <f t="shared" si="4"/>
        <v/>
      </c>
      <c r="P90" s="3" t="str">
        <f t="shared" si="5"/>
        <v/>
      </c>
      <c r="Q90" s="93" t="str" cm="1">
        <f t="array" ref="Q90">IF(ISNUMBER(O90),_xlfn._xlws.FILTER(PartsDB[Hrs_ShopAssy]*N90*O90,PartsDB[Catalog]=I90),"")</f>
        <v/>
      </c>
      <c r="R90" s="92" t="str" cm="1">
        <f t="array" ref="R90">IF(ISNUMBER(O90),_xlfn._xlws.FILTER(PartsDB[Hrs_Eng]*O90,PartsDB[Catalog]=I90),"")</f>
        <v/>
      </c>
      <c r="S90" s="92" t="str" cm="1">
        <f t="array" ref="S90">IF(ISNUMBER(O90),_xlfn._xlws.FILTER(PartsDB[Hrs_PanelAssy]*M90*O90,PartsDB[Catalog]=I90),"")</f>
        <v/>
      </c>
    </row>
    <row r="91" spans="1:19" ht="16.5" thickTop="1" thickBot="1" x14ac:dyDescent="0.3">
      <c r="A91" s="96" t="str">
        <f>IF(B91="","",MAX(A$4:A90)+1)</f>
        <v/>
      </c>
      <c r="B91" s="99" t="str">
        <f t="shared" si="3"/>
        <v/>
      </c>
      <c r="C91" s="35"/>
      <c r="D91" s="35"/>
      <c r="E91" s="35"/>
      <c r="F91" s="35"/>
      <c r="G91" s="36"/>
      <c r="O91" s="19" t="str">
        <f t="shared" si="4"/>
        <v/>
      </c>
      <c r="P91" s="3" t="str">
        <f t="shared" si="5"/>
        <v/>
      </c>
      <c r="Q91" s="93" t="str" cm="1">
        <f t="array" ref="Q91">IF(ISNUMBER(O91),_xlfn._xlws.FILTER(PartsDB[Hrs_ShopAssy]*N91*O91,PartsDB[Catalog]=I91),"")</f>
        <v/>
      </c>
      <c r="R91" s="92" t="str" cm="1">
        <f t="array" ref="R91">IF(ISNUMBER(O91),_xlfn._xlws.FILTER(PartsDB[Hrs_Eng]*O91,PartsDB[Catalog]=I91),"")</f>
        <v/>
      </c>
      <c r="S91" s="92" t="str" cm="1">
        <f t="array" ref="S91">IF(ISNUMBER(O91),_xlfn._xlws.FILTER(PartsDB[Hrs_PanelAssy]*M91*O91,PartsDB[Catalog]=I91),"")</f>
        <v/>
      </c>
    </row>
    <row r="92" spans="1:19" ht="16.5" thickTop="1" thickBot="1" x14ac:dyDescent="0.3">
      <c r="A92" s="96" t="str">
        <f>IF(B92="","",MAX(A$4:A91)+1)</f>
        <v/>
      </c>
      <c r="B92" s="99" t="str">
        <f t="shared" si="3"/>
        <v/>
      </c>
      <c r="C92" s="35"/>
      <c r="D92" s="35"/>
      <c r="E92" s="35"/>
      <c r="F92" s="35"/>
      <c r="G92" s="36"/>
      <c r="O92" s="19" t="str">
        <f t="shared" si="4"/>
        <v/>
      </c>
      <c r="P92" s="3" t="str">
        <f t="shared" si="5"/>
        <v/>
      </c>
      <c r="Q92" s="93" t="str" cm="1">
        <f t="array" ref="Q92">IF(ISNUMBER(O92),_xlfn._xlws.FILTER(PartsDB[Hrs_ShopAssy]*N92*O92,PartsDB[Catalog]=I92),"")</f>
        <v/>
      </c>
      <c r="R92" s="92" t="str" cm="1">
        <f t="array" ref="R92">IF(ISNUMBER(O92),_xlfn._xlws.FILTER(PartsDB[Hrs_Eng]*O92,PartsDB[Catalog]=I92),"")</f>
        <v/>
      </c>
      <c r="S92" s="92" t="str" cm="1">
        <f t="array" ref="S92">IF(ISNUMBER(O92),_xlfn._xlws.FILTER(PartsDB[Hrs_PanelAssy]*M92*O92,PartsDB[Catalog]=I92),"")</f>
        <v/>
      </c>
    </row>
    <row r="93" spans="1:19" ht="16.5" thickTop="1" thickBot="1" x14ac:dyDescent="0.3">
      <c r="A93" s="96" t="str">
        <f>IF(B93="","",MAX(A$4:A92)+1)</f>
        <v/>
      </c>
      <c r="B93" s="99" t="str">
        <f t="shared" si="3"/>
        <v/>
      </c>
      <c r="C93" s="35"/>
      <c r="D93" s="35"/>
      <c r="E93" s="35"/>
      <c r="F93" s="35"/>
      <c r="G93" s="36"/>
      <c r="O93" s="19" t="str">
        <f t="shared" si="4"/>
        <v/>
      </c>
      <c r="P93" s="3" t="str">
        <f t="shared" si="5"/>
        <v/>
      </c>
      <c r="Q93" s="93" t="str" cm="1">
        <f t="array" ref="Q93">IF(ISNUMBER(O93),_xlfn._xlws.FILTER(PartsDB[Hrs_ShopAssy]*N93*O93,PartsDB[Catalog]=I93),"")</f>
        <v/>
      </c>
      <c r="R93" s="92" t="str" cm="1">
        <f t="array" ref="R93">IF(ISNUMBER(O93),_xlfn._xlws.FILTER(PartsDB[Hrs_Eng]*O93,PartsDB[Catalog]=I93),"")</f>
        <v/>
      </c>
      <c r="S93" s="92" t="str" cm="1">
        <f t="array" ref="S93">IF(ISNUMBER(O93),_xlfn._xlws.FILTER(PartsDB[Hrs_PanelAssy]*M93*O93,PartsDB[Catalog]=I93),"")</f>
        <v/>
      </c>
    </row>
    <row r="94" spans="1:19" ht="16.5" thickTop="1" thickBot="1" x14ac:dyDescent="0.3">
      <c r="A94" s="96" t="str">
        <f>IF(B94="","",MAX(A$4:A93)+1)</f>
        <v/>
      </c>
      <c r="B94" s="99" t="str">
        <f t="shared" si="3"/>
        <v/>
      </c>
      <c r="C94" s="35"/>
      <c r="D94" s="35"/>
      <c r="E94" s="35"/>
      <c r="F94" s="35"/>
      <c r="G94" s="36"/>
      <c r="O94" s="19" t="str">
        <f t="shared" si="4"/>
        <v/>
      </c>
      <c r="P94" s="3" t="str">
        <f t="shared" si="5"/>
        <v/>
      </c>
      <c r="Q94" s="93" t="str" cm="1">
        <f t="array" ref="Q94">IF(ISNUMBER(O94),_xlfn._xlws.FILTER(PartsDB[Hrs_ShopAssy]*N94*O94,PartsDB[Catalog]=I94),"")</f>
        <v/>
      </c>
      <c r="R94" s="92" t="str" cm="1">
        <f t="array" ref="R94">IF(ISNUMBER(O94),_xlfn._xlws.FILTER(PartsDB[Hrs_Eng]*O94,PartsDB[Catalog]=I94),"")</f>
        <v/>
      </c>
      <c r="S94" s="92" t="str" cm="1">
        <f t="array" ref="S94">IF(ISNUMBER(O94),_xlfn._xlws.FILTER(PartsDB[Hrs_PanelAssy]*M94*O94,PartsDB[Catalog]=I94),"")</f>
        <v/>
      </c>
    </row>
    <row r="95" spans="1:19" ht="16.5" thickTop="1" thickBot="1" x14ac:dyDescent="0.3">
      <c r="A95" s="96" t="str">
        <f>IF(B95="","",MAX(A$4:A94)+1)</f>
        <v/>
      </c>
      <c r="B95" s="99" t="str">
        <f t="shared" si="3"/>
        <v/>
      </c>
      <c r="C95" s="35"/>
      <c r="D95" s="35"/>
      <c r="E95" s="35"/>
      <c r="F95" s="35"/>
      <c r="G95" s="36"/>
      <c r="O95" s="19" t="str">
        <f t="shared" si="4"/>
        <v/>
      </c>
      <c r="P95" s="3" t="str">
        <f t="shared" si="5"/>
        <v/>
      </c>
      <c r="Q95" s="93" t="str" cm="1">
        <f t="array" ref="Q95">IF(ISNUMBER(O95),_xlfn._xlws.FILTER(PartsDB[Hrs_ShopAssy]*N95*O95,PartsDB[Catalog]=I95),"")</f>
        <v/>
      </c>
      <c r="R95" s="92" t="str" cm="1">
        <f t="array" ref="R95">IF(ISNUMBER(O95),_xlfn._xlws.FILTER(PartsDB[Hrs_Eng]*O95,PartsDB[Catalog]=I95),"")</f>
        <v/>
      </c>
      <c r="S95" s="92" t="str" cm="1">
        <f t="array" ref="S95">IF(ISNUMBER(O95),_xlfn._xlws.FILTER(PartsDB[Hrs_PanelAssy]*M95*O95,PartsDB[Catalog]=I95),"")</f>
        <v/>
      </c>
    </row>
    <row r="96" spans="1:19" ht="16.5" thickTop="1" thickBot="1" x14ac:dyDescent="0.3">
      <c r="A96" s="96" t="str">
        <f>IF(B96="","",MAX(A$4:A95)+1)</f>
        <v/>
      </c>
      <c r="B96" s="99" t="str">
        <f t="shared" si="3"/>
        <v/>
      </c>
      <c r="C96" s="35"/>
      <c r="D96" s="35"/>
      <c r="E96" s="35"/>
      <c r="F96" s="35"/>
      <c r="G96" s="36"/>
      <c r="O96" s="19" t="str">
        <f t="shared" si="4"/>
        <v/>
      </c>
      <c r="P96" s="3" t="str">
        <f t="shared" si="5"/>
        <v/>
      </c>
      <c r="Q96" s="93" t="str" cm="1">
        <f t="array" ref="Q96">IF(ISNUMBER(O96),_xlfn._xlws.FILTER(PartsDB[Hrs_ShopAssy]*N96*O96,PartsDB[Catalog]=I96),"")</f>
        <v/>
      </c>
      <c r="R96" s="92" t="str" cm="1">
        <f t="array" ref="R96">IF(ISNUMBER(O96),_xlfn._xlws.FILTER(PartsDB[Hrs_Eng]*O96,PartsDB[Catalog]=I96),"")</f>
        <v/>
      </c>
      <c r="S96" s="92" t="str" cm="1">
        <f t="array" ref="S96">IF(ISNUMBER(O96),_xlfn._xlws.FILTER(PartsDB[Hrs_PanelAssy]*M96*O96,PartsDB[Catalog]=I96),"")</f>
        <v/>
      </c>
    </row>
    <row r="97" spans="1:19" ht="16.5" thickTop="1" thickBot="1" x14ac:dyDescent="0.3">
      <c r="A97" s="96" t="str">
        <f>IF(B97="","",MAX(A$4:A96)+1)</f>
        <v/>
      </c>
      <c r="B97" s="99" t="str">
        <f t="shared" si="3"/>
        <v/>
      </c>
      <c r="C97" s="35"/>
      <c r="D97" s="35"/>
      <c r="E97" s="35"/>
      <c r="F97" s="35"/>
      <c r="G97" s="36"/>
      <c r="O97" s="19" t="str">
        <f t="shared" si="4"/>
        <v/>
      </c>
      <c r="P97" s="3" t="str">
        <f t="shared" si="5"/>
        <v/>
      </c>
      <c r="Q97" s="93" t="str" cm="1">
        <f t="array" ref="Q97">IF(ISNUMBER(O97),_xlfn._xlws.FILTER(PartsDB[Hrs_ShopAssy]*N97*O97,PartsDB[Catalog]=I97),"")</f>
        <v/>
      </c>
      <c r="R97" s="92" t="str" cm="1">
        <f t="array" ref="R97">IF(ISNUMBER(O97),_xlfn._xlws.FILTER(PartsDB[Hrs_Eng]*O97,PartsDB[Catalog]=I97),"")</f>
        <v/>
      </c>
      <c r="S97" s="92" t="str" cm="1">
        <f t="array" ref="S97">IF(ISNUMBER(O97),_xlfn._xlws.FILTER(PartsDB[Hrs_PanelAssy]*M97*O97,PartsDB[Catalog]=I97),"")</f>
        <v/>
      </c>
    </row>
    <row r="98" spans="1:19" ht="16.5" thickTop="1" thickBot="1" x14ac:dyDescent="0.3">
      <c r="A98" s="96" t="str">
        <f>IF(B98="","",MAX(A$4:A97)+1)</f>
        <v/>
      </c>
      <c r="B98" s="99" t="str">
        <f t="shared" si="3"/>
        <v/>
      </c>
      <c r="C98" s="35"/>
      <c r="D98" s="35"/>
      <c r="E98" s="35"/>
      <c r="F98" s="35"/>
      <c r="G98" s="36"/>
      <c r="O98" s="19" t="str">
        <f t="shared" si="4"/>
        <v/>
      </c>
      <c r="P98" s="3" t="str">
        <f t="shared" si="5"/>
        <v/>
      </c>
      <c r="Q98" s="93" t="str" cm="1">
        <f t="array" ref="Q98">IF(ISNUMBER(O98),_xlfn._xlws.FILTER(PartsDB[Hrs_ShopAssy]*N98*O98,PartsDB[Catalog]=I98),"")</f>
        <v/>
      </c>
      <c r="R98" s="92" t="str" cm="1">
        <f t="array" ref="R98">IF(ISNUMBER(O98),_xlfn._xlws.FILTER(PartsDB[Hrs_Eng]*O98,PartsDB[Catalog]=I98),"")</f>
        <v/>
      </c>
      <c r="S98" s="92" t="str" cm="1">
        <f t="array" ref="S98">IF(ISNUMBER(O98),_xlfn._xlws.FILTER(PartsDB[Hrs_PanelAssy]*M98*O98,PartsDB[Catalog]=I98),"")</f>
        <v/>
      </c>
    </row>
    <row r="99" spans="1:19" ht="16.5" thickTop="1" thickBot="1" x14ac:dyDescent="0.3">
      <c r="A99" s="96" t="str">
        <f>IF(B99="","",MAX(A$4:A98)+1)</f>
        <v/>
      </c>
      <c r="B99" s="99" t="str">
        <f t="shared" si="3"/>
        <v/>
      </c>
      <c r="C99" s="35"/>
      <c r="D99" s="35"/>
      <c r="E99" s="35"/>
      <c r="F99" s="35"/>
      <c r="G99" s="36"/>
      <c r="O99" s="19" t="str">
        <f t="shared" si="4"/>
        <v/>
      </c>
      <c r="P99" s="3" t="str">
        <f t="shared" si="5"/>
        <v/>
      </c>
      <c r="Q99" s="93" t="str" cm="1">
        <f t="array" ref="Q99">IF(ISNUMBER(O99),_xlfn._xlws.FILTER(PartsDB[Hrs_ShopAssy]*N99*O99,PartsDB[Catalog]=I99),"")</f>
        <v/>
      </c>
      <c r="R99" s="92" t="str" cm="1">
        <f t="array" ref="R99">IF(ISNUMBER(O99),_xlfn._xlws.FILTER(PartsDB[Hrs_Eng]*O99,PartsDB[Catalog]=I99),"")</f>
        <v/>
      </c>
      <c r="S99" s="92" t="str" cm="1">
        <f t="array" ref="S99">IF(ISNUMBER(O99),_xlfn._xlws.FILTER(PartsDB[Hrs_PanelAssy]*M99*O99,PartsDB[Catalog]=I99),"")</f>
        <v/>
      </c>
    </row>
    <row r="100" spans="1:19" ht="16.5" thickTop="1" thickBot="1" x14ac:dyDescent="0.3">
      <c r="A100" s="96" t="str">
        <f>IF(B100="","",MAX(A$4:A99)+1)</f>
        <v/>
      </c>
      <c r="B100" s="99" t="str">
        <f t="shared" si="3"/>
        <v/>
      </c>
      <c r="C100" s="35"/>
      <c r="D100" s="35"/>
      <c r="E100" s="35"/>
      <c r="F100" s="35"/>
      <c r="G100" s="36"/>
      <c r="O100" s="19" t="str">
        <f t="shared" si="4"/>
        <v/>
      </c>
      <c r="P100" s="3" t="str">
        <f t="shared" si="5"/>
        <v/>
      </c>
      <c r="Q100" s="93" t="str" cm="1">
        <f t="array" ref="Q100">IF(ISNUMBER(O100),_xlfn._xlws.FILTER(PartsDB[Hrs_ShopAssy]*N100*O100,PartsDB[Catalog]=I100),"")</f>
        <v/>
      </c>
      <c r="R100" s="92" t="str" cm="1">
        <f t="array" ref="R100">IF(ISNUMBER(O100),_xlfn._xlws.FILTER(PartsDB[Hrs_Eng]*O100,PartsDB[Catalog]=I100),"")</f>
        <v/>
      </c>
      <c r="S100" s="92" t="str" cm="1">
        <f t="array" ref="S100">IF(ISNUMBER(O100),_xlfn._xlws.FILTER(PartsDB[Hrs_PanelAssy]*M100*O100,PartsDB[Catalog]=I100),"")</f>
        <v/>
      </c>
    </row>
    <row r="101" spans="1:19" ht="16.5" thickTop="1" thickBot="1" x14ac:dyDescent="0.3">
      <c r="A101" s="96" t="str">
        <f>IF(B101="","",MAX(A$4:A100)+1)</f>
        <v/>
      </c>
      <c r="B101" s="99" t="str">
        <f t="shared" si="3"/>
        <v/>
      </c>
      <c r="C101" s="35"/>
      <c r="D101" s="35"/>
      <c r="E101" s="35"/>
      <c r="F101" s="35"/>
      <c r="G101" s="36"/>
      <c r="O101" s="19" t="str">
        <f t="shared" si="4"/>
        <v/>
      </c>
      <c r="P101" s="3" t="str">
        <f t="shared" si="5"/>
        <v/>
      </c>
      <c r="Q101" s="93" t="str" cm="1">
        <f t="array" ref="Q101">IF(ISNUMBER(O101),_xlfn._xlws.FILTER(PartsDB[Hrs_ShopAssy]*N101*O101,PartsDB[Catalog]=I101),"")</f>
        <v/>
      </c>
      <c r="R101" s="92" t="str" cm="1">
        <f t="array" ref="R101">IF(ISNUMBER(O101),_xlfn._xlws.FILTER(PartsDB[Hrs_Eng]*O101,PartsDB[Catalog]=I101),"")</f>
        <v/>
      </c>
      <c r="S101" s="92" t="str" cm="1">
        <f t="array" ref="S101">IF(ISNUMBER(O101),_xlfn._xlws.FILTER(PartsDB[Hrs_PanelAssy]*M101*O101,PartsDB[Catalog]=I101),"")</f>
        <v/>
      </c>
    </row>
    <row r="102" spans="1:19" ht="16.5" thickTop="1" thickBot="1" x14ac:dyDescent="0.3">
      <c r="A102" s="96" t="str">
        <f>IF(B102="","",MAX(A$4:A101)+1)</f>
        <v/>
      </c>
      <c r="B102" s="99" t="str">
        <f t="shared" si="3"/>
        <v/>
      </c>
      <c r="C102" s="35"/>
      <c r="D102" s="35"/>
      <c r="E102" s="35"/>
      <c r="F102" s="35"/>
      <c r="G102" s="36"/>
      <c r="O102" s="19" t="str">
        <f t="shared" si="4"/>
        <v/>
      </c>
      <c r="P102" s="3" t="str">
        <f t="shared" si="5"/>
        <v/>
      </c>
      <c r="Q102" s="93" t="str" cm="1">
        <f t="array" ref="Q102">IF(ISNUMBER(O102),_xlfn._xlws.FILTER(PartsDB[Hrs_ShopAssy]*N102*O102,PartsDB[Catalog]=I102),"")</f>
        <v/>
      </c>
      <c r="R102" s="92" t="str" cm="1">
        <f t="array" ref="R102">IF(ISNUMBER(O102),_xlfn._xlws.FILTER(PartsDB[Hrs_Eng]*O102,PartsDB[Catalog]=I102),"")</f>
        <v/>
      </c>
      <c r="S102" s="92" t="str" cm="1">
        <f t="array" ref="S102">IF(ISNUMBER(O102),_xlfn._xlws.FILTER(PartsDB[Hrs_PanelAssy]*M102*O102,PartsDB[Catalog]=I102),"")</f>
        <v/>
      </c>
    </row>
    <row r="103" spans="1:19" ht="16.5" thickTop="1" thickBot="1" x14ac:dyDescent="0.3">
      <c r="A103" s="96" t="str">
        <f>IF(B103="","",MAX(A$4:A102)+1)</f>
        <v/>
      </c>
      <c r="B103" s="99" t="str">
        <f t="shared" si="3"/>
        <v/>
      </c>
      <c r="C103" s="35"/>
      <c r="D103" s="35"/>
      <c r="E103" s="35"/>
      <c r="F103" s="35"/>
      <c r="G103" s="36"/>
      <c r="O103" s="19" t="str">
        <f t="shared" si="4"/>
        <v/>
      </c>
      <c r="P103" s="3" t="str">
        <f t="shared" si="5"/>
        <v/>
      </c>
      <c r="Q103" s="93" t="str" cm="1">
        <f t="array" ref="Q103">IF(ISNUMBER(O103),_xlfn._xlws.FILTER(PartsDB[Hrs_ShopAssy]*N103*O103,PartsDB[Catalog]=I103),"")</f>
        <v/>
      </c>
      <c r="R103" s="92" t="str" cm="1">
        <f t="array" ref="R103">IF(ISNUMBER(O103),_xlfn._xlws.FILTER(PartsDB[Hrs_Eng]*O103,PartsDB[Catalog]=I103),"")</f>
        <v/>
      </c>
      <c r="S103" s="92" t="str" cm="1">
        <f t="array" ref="S103">IF(ISNUMBER(O103),_xlfn._xlws.FILTER(PartsDB[Hrs_PanelAssy]*M103*O103,PartsDB[Catalog]=I103),"")</f>
        <v/>
      </c>
    </row>
    <row r="104" spans="1:19" ht="16.5" thickTop="1" thickBot="1" x14ac:dyDescent="0.3">
      <c r="A104" s="96" t="str">
        <f>IF(B104="","",MAX(A$4:A103)+1)</f>
        <v/>
      </c>
      <c r="B104" s="99" t="str">
        <f t="shared" si="3"/>
        <v/>
      </c>
      <c r="C104" s="35"/>
      <c r="D104" s="35"/>
      <c r="E104" s="35"/>
      <c r="F104" s="35"/>
      <c r="G104" s="36"/>
      <c r="O104" s="19" t="str">
        <f t="shared" si="4"/>
        <v/>
      </c>
      <c r="P104" s="3" t="str">
        <f t="shared" si="5"/>
        <v/>
      </c>
      <c r="Q104" s="93" t="str" cm="1">
        <f t="array" ref="Q104">IF(ISNUMBER(O104),_xlfn._xlws.FILTER(PartsDB[Hrs_ShopAssy]*N104*O104,PartsDB[Catalog]=I104),"")</f>
        <v/>
      </c>
      <c r="R104" s="92" t="str" cm="1">
        <f t="array" ref="R104">IF(ISNUMBER(O104),_xlfn._xlws.FILTER(PartsDB[Hrs_Eng]*O104,PartsDB[Catalog]=I104),"")</f>
        <v/>
      </c>
      <c r="S104" s="92" t="str" cm="1">
        <f t="array" ref="S104">IF(ISNUMBER(O104),_xlfn._xlws.FILTER(PartsDB[Hrs_PanelAssy]*M104*O104,PartsDB[Catalog]=I104),"")</f>
        <v/>
      </c>
    </row>
    <row r="105" spans="1:19" ht="16.5" thickTop="1" thickBot="1" x14ac:dyDescent="0.3">
      <c r="A105" s="96" t="str">
        <f>IF(B105="","",MAX(A$4:A104)+1)</f>
        <v/>
      </c>
      <c r="B105" s="99" t="str">
        <f t="shared" si="3"/>
        <v/>
      </c>
      <c r="C105" s="35"/>
      <c r="D105" s="35"/>
      <c r="E105" s="35"/>
      <c r="F105" s="35"/>
      <c r="G105" s="36"/>
      <c r="O105" s="19" t="str">
        <f t="shared" si="4"/>
        <v/>
      </c>
      <c r="P105" s="3" t="str">
        <f t="shared" si="5"/>
        <v/>
      </c>
      <c r="Q105" s="93" t="str" cm="1">
        <f t="array" ref="Q105">IF(ISNUMBER(O105),_xlfn._xlws.FILTER(PartsDB[Hrs_ShopAssy]*N105*O105,PartsDB[Catalog]=I105),"")</f>
        <v/>
      </c>
      <c r="R105" s="92" t="str" cm="1">
        <f t="array" ref="R105">IF(ISNUMBER(O105),_xlfn._xlws.FILTER(PartsDB[Hrs_Eng]*O105,PartsDB[Catalog]=I105),"")</f>
        <v/>
      </c>
      <c r="S105" s="92" t="str" cm="1">
        <f t="array" ref="S105">IF(ISNUMBER(O105),_xlfn._xlws.FILTER(PartsDB[Hrs_PanelAssy]*M105*O105,PartsDB[Catalog]=I105),"")</f>
        <v/>
      </c>
    </row>
    <row r="106" spans="1:19" ht="16.5" thickTop="1" thickBot="1" x14ac:dyDescent="0.3">
      <c r="A106" s="96" t="str">
        <f>IF(B106="","",MAX(A$4:A105)+1)</f>
        <v/>
      </c>
      <c r="B106" s="99" t="str">
        <f t="shared" si="3"/>
        <v/>
      </c>
      <c r="C106" s="35"/>
      <c r="D106" s="35"/>
      <c r="E106" s="35"/>
      <c r="F106" s="35"/>
      <c r="G106" s="36"/>
      <c r="O106" s="19" t="str">
        <f t="shared" si="4"/>
        <v/>
      </c>
      <c r="P106" s="3" t="str">
        <f t="shared" si="5"/>
        <v/>
      </c>
      <c r="Q106" s="93" t="str" cm="1">
        <f t="array" ref="Q106">IF(ISNUMBER(O106),_xlfn._xlws.FILTER(PartsDB[Hrs_ShopAssy]*N106*O106,PartsDB[Catalog]=I106),"")</f>
        <v/>
      </c>
      <c r="R106" s="92" t="str" cm="1">
        <f t="array" ref="R106">IF(ISNUMBER(O106),_xlfn._xlws.FILTER(PartsDB[Hrs_Eng]*O106,PartsDB[Catalog]=I106),"")</f>
        <v/>
      </c>
      <c r="S106" s="92" t="str" cm="1">
        <f t="array" ref="S106">IF(ISNUMBER(O106),_xlfn._xlws.FILTER(PartsDB[Hrs_PanelAssy]*M106*O106,PartsDB[Catalog]=I106),"")</f>
        <v/>
      </c>
    </row>
    <row r="107" spans="1:19" ht="16.5" thickTop="1" thickBot="1" x14ac:dyDescent="0.3">
      <c r="A107" s="96" t="str">
        <f>IF(B107="","",MAX(A$4:A106)+1)</f>
        <v/>
      </c>
      <c r="B107" s="99" t="str">
        <f t="shared" si="3"/>
        <v/>
      </c>
      <c r="C107" s="35"/>
      <c r="D107" s="35"/>
      <c r="E107" s="35"/>
      <c r="F107" s="35"/>
      <c r="G107" s="36"/>
      <c r="O107" s="19" t="str">
        <f t="shared" si="4"/>
        <v/>
      </c>
      <c r="P107" s="3" t="str">
        <f t="shared" si="5"/>
        <v/>
      </c>
      <c r="Q107" s="93" t="str" cm="1">
        <f t="array" ref="Q107">IF(ISNUMBER(O107),_xlfn._xlws.FILTER(PartsDB[Hrs_ShopAssy]*N107*O107,PartsDB[Catalog]=I107),"")</f>
        <v/>
      </c>
      <c r="R107" s="92" t="str" cm="1">
        <f t="array" ref="R107">IF(ISNUMBER(O107),_xlfn._xlws.FILTER(PartsDB[Hrs_Eng]*O107,PartsDB[Catalog]=I107),"")</f>
        <v/>
      </c>
      <c r="S107" s="92" t="str" cm="1">
        <f t="array" ref="S107">IF(ISNUMBER(O107),_xlfn._xlws.FILTER(PartsDB[Hrs_PanelAssy]*M107*O107,PartsDB[Catalog]=I107),"")</f>
        <v/>
      </c>
    </row>
    <row r="108" spans="1:19" ht="16.5" thickTop="1" thickBot="1" x14ac:dyDescent="0.3">
      <c r="A108" s="96" t="str">
        <f>IF(B108="","",MAX(A$4:A107)+1)</f>
        <v/>
      </c>
      <c r="B108" s="99" t="str">
        <f t="shared" si="3"/>
        <v/>
      </c>
      <c r="C108" s="35"/>
      <c r="D108" s="35"/>
      <c r="E108" s="35"/>
      <c r="F108" s="35"/>
      <c r="G108" s="36"/>
      <c r="O108" s="19" t="str">
        <f t="shared" si="4"/>
        <v/>
      </c>
      <c r="P108" s="3" t="str">
        <f t="shared" si="5"/>
        <v/>
      </c>
      <c r="Q108" s="93" t="str" cm="1">
        <f t="array" ref="Q108">IF(ISNUMBER(O108),_xlfn._xlws.FILTER(PartsDB[Hrs_ShopAssy]*N108*O108,PartsDB[Catalog]=I108),"")</f>
        <v/>
      </c>
      <c r="R108" s="92" t="str" cm="1">
        <f t="array" ref="R108">IF(ISNUMBER(O108),_xlfn._xlws.FILTER(PartsDB[Hrs_Eng]*O108,PartsDB[Catalog]=I108),"")</f>
        <v/>
      </c>
      <c r="S108" s="92" t="str" cm="1">
        <f t="array" ref="S108">IF(ISNUMBER(O108),_xlfn._xlws.FILTER(PartsDB[Hrs_PanelAssy]*M108*O108,PartsDB[Catalog]=I108),"")</f>
        <v/>
      </c>
    </row>
    <row r="109" spans="1:19" ht="16.5" thickTop="1" thickBot="1" x14ac:dyDescent="0.3">
      <c r="A109" s="96" t="str">
        <f>IF(B109="","",MAX(A$4:A108)+1)</f>
        <v/>
      </c>
      <c r="B109" s="99" t="str">
        <f t="shared" si="3"/>
        <v/>
      </c>
      <c r="C109" s="35"/>
      <c r="D109" s="35"/>
      <c r="E109" s="35"/>
      <c r="F109" s="35"/>
      <c r="G109" s="36"/>
      <c r="O109" s="19" t="str">
        <f t="shared" si="4"/>
        <v/>
      </c>
      <c r="P109" s="3" t="str">
        <f t="shared" si="5"/>
        <v/>
      </c>
      <c r="Q109" s="93" t="str" cm="1">
        <f t="array" ref="Q109">IF(ISNUMBER(O109),_xlfn._xlws.FILTER(PartsDB[Hrs_ShopAssy]*N109*O109,PartsDB[Catalog]=I109),"")</f>
        <v/>
      </c>
      <c r="R109" s="92" t="str" cm="1">
        <f t="array" ref="R109">IF(ISNUMBER(O109),_xlfn._xlws.FILTER(PartsDB[Hrs_Eng]*O109,PartsDB[Catalog]=I109),"")</f>
        <v/>
      </c>
      <c r="S109" s="92" t="str" cm="1">
        <f t="array" ref="S109">IF(ISNUMBER(O109),_xlfn._xlws.FILTER(PartsDB[Hrs_PanelAssy]*M109*O109,PartsDB[Catalog]=I109),"")</f>
        <v/>
      </c>
    </row>
    <row r="110" spans="1:19" ht="16.5" thickTop="1" thickBot="1" x14ac:dyDescent="0.3">
      <c r="A110" s="96" t="str">
        <f>IF(B110="","",MAX(A$4:A109)+1)</f>
        <v/>
      </c>
      <c r="B110" s="99" t="str">
        <f t="shared" si="3"/>
        <v/>
      </c>
      <c r="C110" s="35"/>
      <c r="D110" s="35"/>
      <c r="E110" s="35"/>
      <c r="F110" s="35"/>
      <c r="G110" s="36"/>
      <c r="O110" s="19" t="str">
        <f t="shared" si="4"/>
        <v/>
      </c>
      <c r="P110" s="3" t="str">
        <f t="shared" si="5"/>
        <v/>
      </c>
      <c r="Q110" s="93" t="str" cm="1">
        <f t="array" ref="Q110">IF(ISNUMBER(O110),_xlfn._xlws.FILTER(PartsDB[Hrs_ShopAssy]*N110*O110,PartsDB[Catalog]=I110),"")</f>
        <v/>
      </c>
      <c r="R110" s="92" t="str" cm="1">
        <f t="array" ref="R110">IF(ISNUMBER(O110),_xlfn._xlws.FILTER(PartsDB[Hrs_Eng]*O110,PartsDB[Catalog]=I110),"")</f>
        <v/>
      </c>
      <c r="S110" s="92" t="str" cm="1">
        <f t="array" ref="S110">IF(ISNUMBER(O110),_xlfn._xlws.FILTER(PartsDB[Hrs_PanelAssy]*M110*O110,PartsDB[Catalog]=I110),"")</f>
        <v/>
      </c>
    </row>
    <row r="111" spans="1:19" ht="16.5" thickTop="1" thickBot="1" x14ac:dyDescent="0.3">
      <c r="A111" s="96" t="str">
        <f>IF(B111="","",MAX(A$4:A110)+1)</f>
        <v/>
      </c>
      <c r="B111" s="99" t="str">
        <f t="shared" si="3"/>
        <v/>
      </c>
      <c r="C111" s="35"/>
      <c r="D111" s="35"/>
      <c r="E111" s="35"/>
      <c r="F111" s="35"/>
      <c r="G111" s="36"/>
      <c r="O111" s="19" t="str">
        <f t="shared" si="4"/>
        <v/>
      </c>
      <c r="P111" s="3" t="str">
        <f t="shared" si="5"/>
        <v/>
      </c>
      <c r="Q111" s="93" t="str" cm="1">
        <f t="array" ref="Q111">IF(ISNUMBER(O111),_xlfn._xlws.FILTER(PartsDB[Hrs_ShopAssy]*N111*O111,PartsDB[Catalog]=I111),"")</f>
        <v/>
      </c>
      <c r="R111" s="92" t="str" cm="1">
        <f t="array" ref="R111">IF(ISNUMBER(O111),_xlfn._xlws.FILTER(PartsDB[Hrs_Eng]*O111,PartsDB[Catalog]=I111),"")</f>
        <v/>
      </c>
      <c r="S111" s="92" t="str" cm="1">
        <f t="array" ref="S111">IF(ISNUMBER(O111),_xlfn._xlws.FILTER(PartsDB[Hrs_PanelAssy]*M111*O111,PartsDB[Catalog]=I111),"")</f>
        <v/>
      </c>
    </row>
    <row r="112" spans="1:19" ht="16.5" thickTop="1" thickBot="1" x14ac:dyDescent="0.3">
      <c r="A112" s="96" t="str">
        <f>IF(B112="","",MAX(A$4:A111)+1)</f>
        <v/>
      </c>
      <c r="B112" s="99" t="str">
        <f t="shared" si="3"/>
        <v/>
      </c>
      <c r="C112" s="35"/>
      <c r="D112" s="35"/>
      <c r="E112" s="35"/>
      <c r="F112" s="35"/>
      <c r="G112" s="36"/>
      <c r="O112" s="19" t="str">
        <f t="shared" si="4"/>
        <v/>
      </c>
      <c r="P112" s="3" t="str">
        <f t="shared" si="5"/>
        <v/>
      </c>
      <c r="Q112" s="93" t="str" cm="1">
        <f t="array" ref="Q112">IF(ISNUMBER(O112),_xlfn._xlws.FILTER(PartsDB[Hrs_ShopAssy]*N112*O112,PartsDB[Catalog]=I112),"")</f>
        <v/>
      </c>
      <c r="R112" s="92" t="str" cm="1">
        <f t="array" ref="R112">IF(ISNUMBER(O112),_xlfn._xlws.FILTER(PartsDB[Hrs_Eng]*O112,PartsDB[Catalog]=I112),"")</f>
        <v/>
      </c>
      <c r="S112" s="92" t="str" cm="1">
        <f t="array" ref="S112">IF(ISNUMBER(O112),_xlfn._xlws.FILTER(PartsDB[Hrs_PanelAssy]*M112*O112,PartsDB[Catalog]=I112),"")</f>
        <v/>
      </c>
    </row>
    <row r="113" spans="1:19" ht="16.5" thickTop="1" thickBot="1" x14ac:dyDescent="0.3">
      <c r="A113" s="96" t="str">
        <f>IF(B113="","",MAX(A$4:A112)+1)</f>
        <v/>
      </c>
      <c r="B113" s="99" t="str">
        <f t="shared" si="3"/>
        <v/>
      </c>
      <c r="C113" s="35"/>
      <c r="D113" s="35"/>
      <c r="E113" s="35"/>
      <c r="F113" s="35"/>
      <c r="G113" s="36"/>
      <c r="O113" s="19" t="str">
        <f t="shared" si="4"/>
        <v/>
      </c>
      <c r="P113" s="3" t="str">
        <f t="shared" si="5"/>
        <v/>
      </c>
      <c r="Q113" s="93" t="str" cm="1">
        <f t="array" ref="Q113">IF(ISNUMBER(O113),_xlfn._xlws.FILTER(PartsDB[Hrs_ShopAssy]*N113*O113,PartsDB[Catalog]=I113),"")</f>
        <v/>
      </c>
      <c r="R113" s="92" t="str" cm="1">
        <f t="array" ref="R113">IF(ISNUMBER(O113),_xlfn._xlws.FILTER(PartsDB[Hrs_Eng]*O113,PartsDB[Catalog]=I113),"")</f>
        <v/>
      </c>
      <c r="S113" s="92" t="str" cm="1">
        <f t="array" ref="S113">IF(ISNUMBER(O113),_xlfn._xlws.FILTER(PartsDB[Hrs_PanelAssy]*M113*O113,PartsDB[Catalog]=I113),"")</f>
        <v/>
      </c>
    </row>
    <row r="114" spans="1:19" ht="16.5" thickTop="1" thickBot="1" x14ac:dyDescent="0.3">
      <c r="A114" s="96" t="str">
        <f>IF(B114="","",MAX(A$4:A113)+1)</f>
        <v/>
      </c>
      <c r="B114" s="99" t="str">
        <f t="shared" si="3"/>
        <v/>
      </c>
      <c r="C114" s="35"/>
      <c r="D114" s="35"/>
      <c r="E114" s="35"/>
      <c r="F114" s="35"/>
      <c r="G114" s="36"/>
      <c r="O114" s="19" t="str">
        <f t="shared" si="4"/>
        <v/>
      </c>
      <c r="P114" s="3" t="str">
        <f t="shared" si="5"/>
        <v/>
      </c>
      <c r="Q114" s="93" t="str" cm="1">
        <f t="array" ref="Q114">IF(ISNUMBER(O114),_xlfn._xlws.FILTER(PartsDB[Hrs_ShopAssy]*N114*O114,PartsDB[Catalog]=I114),"")</f>
        <v/>
      </c>
      <c r="R114" s="92" t="str" cm="1">
        <f t="array" ref="R114">IF(ISNUMBER(O114),_xlfn._xlws.FILTER(PartsDB[Hrs_Eng]*O114,PartsDB[Catalog]=I114),"")</f>
        <v/>
      </c>
      <c r="S114" s="92" t="str" cm="1">
        <f t="array" ref="S114">IF(ISNUMBER(O114),_xlfn._xlws.FILTER(PartsDB[Hrs_PanelAssy]*M114*O114,PartsDB[Catalog]=I114),"")</f>
        <v/>
      </c>
    </row>
    <row r="115" spans="1:19" ht="16.5" thickTop="1" thickBot="1" x14ac:dyDescent="0.3">
      <c r="A115" s="96" t="str">
        <f>IF(B115="","",MAX(A$4:A114)+1)</f>
        <v/>
      </c>
      <c r="B115" s="99" t="str">
        <f t="shared" si="3"/>
        <v/>
      </c>
      <c r="C115" s="35"/>
      <c r="D115" s="35"/>
      <c r="E115" s="35"/>
      <c r="F115" s="35"/>
      <c r="G115" s="36"/>
      <c r="O115" s="19" t="str">
        <f t="shared" si="4"/>
        <v/>
      </c>
      <c r="P115" s="3" t="str">
        <f t="shared" si="5"/>
        <v/>
      </c>
      <c r="Q115" s="93" t="str" cm="1">
        <f t="array" ref="Q115">IF(ISNUMBER(O115),_xlfn._xlws.FILTER(PartsDB[Hrs_ShopAssy]*N115*O115,PartsDB[Catalog]=I115),"")</f>
        <v/>
      </c>
      <c r="R115" s="92" t="str" cm="1">
        <f t="array" ref="R115">IF(ISNUMBER(O115),_xlfn._xlws.FILTER(PartsDB[Hrs_Eng]*O115,PartsDB[Catalog]=I115),"")</f>
        <v/>
      </c>
      <c r="S115" s="92" t="str" cm="1">
        <f t="array" ref="S115">IF(ISNUMBER(O115),_xlfn._xlws.FILTER(PartsDB[Hrs_PanelAssy]*M115*O115,PartsDB[Catalog]=I115),"")</f>
        <v/>
      </c>
    </row>
    <row r="116" spans="1:19" ht="16.5" thickTop="1" thickBot="1" x14ac:dyDescent="0.3">
      <c r="A116" s="96" t="str">
        <f>IF(B116="","",MAX(A$4:A115)+1)</f>
        <v/>
      </c>
      <c r="B116" s="99" t="str">
        <f t="shared" si="3"/>
        <v/>
      </c>
      <c r="C116" s="35"/>
      <c r="D116" s="35"/>
      <c r="E116" s="35"/>
      <c r="F116" s="35"/>
      <c r="G116" s="36"/>
      <c r="O116" s="19" t="str">
        <f t="shared" si="4"/>
        <v/>
      </c>
      <c r="P116" s="3" t="str">
        <f t="shared" si="5"/>
        <v/>
      </c>
      <c r="Q116" s="93" t="str" cm="1">
        <f t="array" ref="Q116">IF(ISNUMBER(O116),_xlfn._xlws.FILTER(PartsDB[Hrs_ShopAssy]*N116*O116,PartsDB[Catalog]=I116),"")</f>
        <v/>
      </c>
      <c r="R116" s="92" t="str" cm="1">
        <f t="array" ref="R116">IF(ISNUMBER(O116),_xlfn._xlws.FILTER(PartsDB[Hrs_Eng]*O116,PartsDB[Catalog]=I116),"")</f>
        <v/>
      </c>
      <c r="S116" s="92" t="str" cm="1">
        <f t="array" ref="S116">IF(ISNUMBER(O116),_xlfn._xlws.FILTER(PartsDB[Hrs_PanelAssy]*M116*O116,PartsDB[Catalog]=I116),"")</f>
        <v/>
      </c>
    </row>
    <row r="117" spans="1:19" ht="16.5" thickTop="1" thickBot="1" x14ac:dyDescent="0.3">
      <c r="A117" s="96" t="str">
        <f>IF(B117="","",MAX(A$4:A116)+1)</f>
        <v/>
      </c>
      <c r="B117" s="99" t="str">
        <f t="shared" si="3"/>
        <v/>
      </c>
      <c r="C117" s="35"/>
      <c r="D117" s="35"/>
      <c r="E117" s="35"/>
      <c r="F117" s="35"/>
      <c r="G117" s="36"/>
      <c r="O117" s="19" t="str">
        <f t="shared" si="4"/>
        <v/>
      </c>
      <c r="P117" s="3" t="str">
        <f t="shared" si="5"/>
        <v/>
      </c>
      <c r="Q117" s="93" t="str" cm="1">
        <f t="array" ref="Q117">IF(ISNUMBER(O117),_xlfn._xlws.FILTER(PartsDB[Hrs_ShopAssy]*N117*O117,PartsDB[Catalog]=I117),"")</f>
        <v/>
      </c>
      <c r="R117" s="92" t="str" cm="1">
        <f t="array" ref="R117">IF(ISNUMBER(O117),_xlfn._xlws.FILTER(PartsDB[Hrs_Eng]*O117,PartsDB[Catalog]=I117),"")</f>
        <v/>
      </c>
      <c r="S117" s="92" t="str" cm="1">
        <f t="array" ref="S117">IF(ISNUMBER(O117),_xlfn._xlws.FILTER(PartsDB[Hrs_PanelAssy]*M117*O117,PartsDB[Catalog]=I117),"")</f>
        <v/>
      </c>
    </row>
    <row r="118" spans="1:19" ht="16.5" thickTop="1" thickBot="1" x14ac:dyDescent="0.3">
      <c r="A118" s="96" t="str">
        <f>IF(B118="","",MAX(A$4:A117)+1)</f>
        <v/>
      </c>
      <c r="B118" s="99" t="str">
        <f t="shared" si="3"/>
        <v/>
      </c>
      <c r="C118" s="35"/>
      <c r="D118" s="35"/>
      <c r="E118" s="35"/>
      <c r="F118" s="35"/>
      <c r="G118" s="36"/>
      <c r="O118" s="19" t="str">
        <f t="shared" si="4"/>
        <v/>
      </c>
      <c r="P118" s="3" t="str">
        <f t="shared" si="5"/>
        <v/>
      </c>
      <c r="Q118" s="93" t="str" cm="1">
        <f t="array" ref="Q118">IF(ISNUMBER(O118),_xlfn._xlws.FILTER(PartsDB[Hrs_ShopAssy]*N118*O118,PartsDB[Catalog]=I118),"")</f>
        <v/>
      </c>
      <c r="R118" s="92" t="str" cm="1">
        <f t="array" ref="R118">IF(ISNUMBER(O118),_xlfn._xlws.FILTER(PartsDB[Hrs_Eng]*O118,PartsDB[Catalog]=I118),"")</f>
        <v/>
      </c>
      <c r="S118" s="92" t="str" cm="1">
        <f t="array" ref="S118">IF(ISNUMBER(O118),_xlfn._xlws.FILTER(PartsDB[Hrs_PanelAssy]*M118*O118,PartsDB[Catalog]=I118),"")</f>
        <v/>
      </c>
    </row>
    <row r="119" spans="1:19" ht="16.5" thickTop="1" thickBot="1" x14ac:dyDescent="0.3">
      <c r="A119" s="96" t="str">
        <f>IF(B119="","",MAX(A$4:A118)+1)</f>
        <v/>
      </c>
      <c r="B119" s="99" t="str">
        <f t="shared" si="3"/>
        <v/>
      </c>
      <c r="C119" s="35"/>
      <c r="D119" s="35"/>
      <c r="E119" s="35"/>
      <c r="F119" s="35"/>
      <c r="G119" s="36"/>
      <c r="O119" s="19" t="str">
        <f t="shared" si="4"/>
        <v/>
      </c>
      <c r="P119" s="3" t="str">
        <f t="shared" si="5"/>
        <v/>
      </c>
      <c r="Q119" s="93" t="str" cm="1">
        <f t="array" ref="Q119">IF(ISNUMBER(O119),_xlfn._xlws.FILTER(PartsDB[Hrs_ShopAssy]*N119*O119,PartsDB[Catalog]=I119),"")</f>
        <v/>
      </c>
      <c r="R119" s="92" t="str" cm="1">
        <f t="array" ref="R119">IF(ISNUMBER(O119),_xlfn._xlws.FILTER(PartsDB[Hrs_Eng]*O119,PartsDB[Catalog]=I119),"")</f>
        <v/>
      </c>
      <c r="S119" s="92" t="str" cm="1">
        <f t="array" ref="S119">IF(ISNUMBER(O119),_xlfn._xlws.FILTER(PartsDB[Hrs_PanelAssy]*M119*O119,PartsDB[Catalog]=I119),"")</f>
        <v/>
      </c>
    </row>
    <row r="120" spans="1:19" ht="16.5" thickTop="1" thickBot="1" x14ac:dyDescent="0.3">
      <c r="A120" s="96" t="str">
        <f>IF(B120="","",MAX(A$4:A119)+1)</f>
        <v/>
      </c>
      <c r="B120" s="99" t="str">
        <f t="shared" si="3"/>
        <v/>
      </c>
      <c r="C120" s="35"/>
      <c r="D120" s="35"/>
      <c r="E120" s="35"/>
      <c r="F120" s="35"/>
      <c r="G120" s="36"/>
      <c r="O120" s="19" t="str">
        <f t="shared" si="4"/>
        <v/>
      </c>
      <c r="P120" s="3" t="str">
        <f t="shared" si="5"/>
        <v/>
      </c>
      <c r="Q120" s="93" t="str" cm="1">
        <f t="array" ref="Q120">IF(ISNUMBER(O120),_xlfn._xlws.FILTER(PartsDB[Hrs_ShopAssy]*N120*O120,PartsDB[Catalog]=I120),"")</f>
        <v/>
      </c>
      <c r="R120" s="92" t="str" cm="1">
        <f t="array" ref="R120">IF(ISNUMBER(O120),_xlfn._xlws.FILTER(PartsDB[Hrs_Eng]*O120,PartsDB[Catalog]=I120),"")</f>
        <v/>
      </c>
      <c r="S120" s="92" t="str" cm="1">
        <f t="array" ref="S120">IF(ISNUMBER(O120),_xlfn._xlws.FILTER(PartsDB[Hrs_PanelAssy]*M120*O120,PartsDB[Catalog]=I120),"")</f>
        <v/>
      </c>
    </row>
    <row r="121" spans="1:19" ht="16.5" thickTop="1" thickBot="1" x14ac:dyDescent="0.3">
      <c r="A121" s="96" t="str">
        <f>IF(B121="","",MAX(A$4:A120)+1)</f>
        <v/>
      </c>
      <c r="B121" s="99" t="str">
        <f t="shared" si="3"/>
        <v/>
      </c>
      <c r="C121" s="35"/>
      <c r="D121" s="35"/>
      <c r="E121" s="35"/>
      <c r="F121" s="35"/>
      <c r="G121" s="36"/>
      <c r="O121" s="19" t="str">
        <f t="shared" si="4"/>
        <v/>
      </c>
      <c r="P121" s="3" t="str">
        <f t="shared" si="5"/>
        <v/>
      </c>
      <c r="Q121" s="93" t="str" cm="1">
        <f t="array" ref="Q121">IF(ISNUMBER(O121),_xlfn._xlws.FILTER(PartsDB[Hrs_ShopAssy]*N121*O121,PartsDB[Catalog]=I121),"")</f>
        <v/>
      </c>
      <c r="R121" s="92" t="str" cm="1">
        <f t="array" ref="R121">IF(ISNUMBER(O121),_xlfn._xlws.FILTER(PartsDB[Hrs_Eng]*O121,PartsDB[Catalog]=I121),"")</f>
        <v/>
      </c>
      <c r="S121" s="92" t="str" cm="1">
        <f t="array" ref="S121">IF(ISNUMBER(O121),_xlfn._xlws.FILTER(PartsDB[Hrs_PanelAssy]*M121*O121,PartsDB[Catalog]=I121),"")</f>
        <v/>
      </c>
    </row>
    <row r="122" spans="1:19" ht="16.5" thickTop="1" thickBot="1" x14ac:dyDescent="0.3">
      <c r="A122" s="96" t="str">
        <f>IF(B122="","",MAX(A$4:A121)+1)</f>
        <v/>
      </c>
      <c r="B122" s="99" t="str">
        <f t="shared" si="3"/>
        <v/>
      </c>
      <c r="C122" s="35"/>
      <c r="D122" s="35"/>
      <c r="E122" s="35"/>
      <c r="F122" s="35"/>
      <c r="G122" s="36"/>
      <c r="O122" s="19" t="str">
        <f t="shared" si="4"/>
        <v/>
      </c>
      <c r="P122" s="3" t="str">
        <f t="shared" si="5"/>
        <v/>
      </c>
      <c r="Q122" s="93" t="str" cm="1">
        <f t="array" ref="Q122">IF(ISNUMBER(O122),_xlfn._xlws.FILTER(PartsDB[Hrs_ShopAssy]*N122*O122,PartsDB[Catalog]=I122),"")</f>
        <v/>
      </c>
      <c r="R122" s="92" t="str" cm="1">
        <f t="array" ref="R122">IF(ISNUMBER(O122),_xlfn._xlws.FILTER(PartsDB[Hrs_Eng]*O122,PartsDB[Catalog]=I122),"")</f>
        <v/>
      </c>
      <c r="S122" s="92" t="str" cm="1">
        <f t="array" ref="S122">IF(ISNUMBER(O122),_xlfn._xlws.FILTER(PartsDB[Hrs_PanelAssy]*M122*O122,PartsDB[Catalog]=I122),"")</f>
        <v/>
      </c>
    </row>
    <row r="123" spans="1:19" ht="16.5" thickTop="1" thickBot="1" x14ac:dyDescent="0.3">
      <c r="A123" s="96" t="str">
        <f>IF(B123="","",MAX(A$4:A122)+1)</f>
        <v/>
      </c>
      <c r="B123" s="99" t="str">
        <f t="shared" si="3"/>
        <v/>
      </c>
      <c r="C123" s="35"/>
      <c r="D123" s="35"/>
      <c r="E123" s="35"/>
      <c r="F123" s="35"/>
      <c r="G123" s="36"/>
      <c r="O123" s="19" t="str">
        <f t="shared" si="4"/>
        <v/>
      </c>
      <c r="P123" s="3" t="str">
        <f t="shared" si="5"/>
        <v/>
      </c>
      <c r="Q123" s="93" t="str" cm="1">
        <f t="array" ref="Q123">IF(ISNUMBER(O123),_xlfn._xlws.FILTER(PartsDB[Hrs_ShopAssy]*N123*O123,PartsDB[Catalog]=I123),"")</f>
        <v/>
      </c>
      <c r="R123" s="92" t="str" cm="1">
        <f t="array" ref="R123">IF(ISNUMBER(O123),_xlfn._xlws.FILTER(PartsDB[Hrs_Eng]*O123,PartsDB[Catalog]=I123),"")</f>
        <v/>
      </c>
      <c r="S123" s="92" t="str" cm="1">
        <f t="array" ref="S123">IF(ISNUMBER(O123),_xlfn._xlws.FILTER(PartsDB[Hrs_PanelAssy]*M123*O123,PartsDB[Catalog]=I123),"")</f>
        <v/>
      </c>
    </row>
    <row r="124" spans="1:19" ht="16.5" thickTop="1" thickBot="1" x14ac:dyDescent="0.3">
      <c r="A124" s="96" t="str">
        <f>IF(B124="","",MAX(A$4:A123)+1)</f>
        <v/>
      </c>
      <c r="B124" s="99" t="str">
        <f t="shared" si="3"/>
        <v/>
      </c>
      <c r="C124" s="35"/>
      <c r="D124" s="35"/>
      <c r="E124" s="35"/>
      <c r="F124" s="35"/>
      <c r="G124" s="36"/>
      <c r="O124" s="19" t="str">
        <f t="shared" si="4"/>
        <v/>
      </c>
      <c r="P124" s="3" t="str">
        <f t="shared" si="5"/>
        <v/>
      </c>
      <c r="Q124" s="93" t="str" cm="1">
        <f t="array" ref="Q124">IF(ISNUMBER(O124),_xlfn._xlws.FILTER(PartsDB[Hrs_ShopAssy]*N124*O124,PartsDB[Catalog]=I124),"")</f>
        <v/>
      </c>
      <c r="R124" s="92" t="str" cm="1">
        <f t="array" ref="R124">IF(ISNUMBER(O124),_xlfn._xlws.FILTER(PartsDB[Hrs_Eng]*O124,PartsDB[Catalog]=I124),"")</f>
        <v/>
      </c>
      <c r="S124" s="92" t="str" cm="1">
        <f t="array" ref="S124">IF(ISNUMBER(O124),_xlfn._xlws.FILTER(PartsDB[Hrs_PanelAssy]*M124*O124,PartsDB[Catalog]=I124),"")</f>
        <v/>
      </c>
    </row>
    <row r="125" spans="1:19" ht="16.5" thickTop="1" thickBot="1" x14ac:dyDescent="0.3">
      <c r="A125" s="96" t="str">
        <f>IF(B125="","",MAX(A$4:A124)+1)</f>
        <v/>
      </c>
      <c r="B125" s="99" t="str">
        <f t="shared" si="3"/>
        <v/>
      </c>
      <c r="C125" s="35"/>
      <c r="D125" s="35"/>
      <c r="E125" s="35"/>
      <c r="F125" s="35"/>
      <c r="G125" s="36"/>
      <c r="O125" s="19" t="str">
        <f t="shared" si="4"/>
        <v/>
      </c>
      <c r="P125" s="3" t="str">
        <f t="shared" si="5"/>
        <v/>
      </c>
      <c r="Q125" s="93" t="str" cm="1">
        <f t="array" ref="Q125">IF(ISNUMBER(O125),_xlfn._xlws.FILTER(PartsDB[Hrs_ShopAssy]*N125*O125,PartsDB[Catalog]=I125),"")</f>
        <v/>
      </c>
      <c r="R125" s="92" t="str" cm="1">
        <f t="array" ref="R125">IF(ISNUMBER(O125),_xlfn._xlws.FILTER(PartsDB[Hrs_Eng]*O125,PartsDB[Catalog]=I125),"")</f>
        <v/>
      </c>
      <c r="S125" s="92" t="str" cm="1">
        <f t="array" ref="S125">IF(ISNUMBER(O125),_xlfn._xlws.FILTER(PartsDB[Hrs_PanelAssy]*M125*O125,PartsDB[Catalog]=I125),"")</f>
        <v/>
      </c>
    </row>
    <row r="126" spans="1:19" ht="16.5" thickTop="1" thickBot="1" x14ac:dyDescent="0.3">
      <c r="A126" s="96" t="str">
        <f>IF(B126="","",MAX(A$4:A125)+1)</f>
        <v/>
      </c>
      <c r="B126" s="99" t="str">
        <f t="shared" si="3"/>
        <v/>
      </c>
      <c r="C126" s="35"/>
      <c r="D126" s="35"/>
      <c r="E126" s="35"/>
      <c r="F126" s="35"/>
      <c r="G126" s="36"/>
      <c r="O126" s="19" t="str">
        <f t="shared" si="4"/>
        <v/>
      </c>
      <c r="P126" s="3" t="str">
        <f t="shared" si="5"/>
        <v/>
      </c>
      <c r="Q126" s="93" t="str" cm="1">
        <f t="array" ref="Q126">IF(ISNUMBER(O126),_xlfn._xlws.FILTER(PartsDB[Hrs_ShopAssy]*N126*O126,PartsDB[Catalog]=I126),"")</f>
        <v/>
      </c>
      <c r="R126" s="92" t="str" cm="1">
        <f t="array" ref="R126">IF(ISNUMBER(O126),_xlfn._xlws.FILTER(PartsDB[Hrs_Eng]*O126,PartsDB[Catalog]=I126),"")</f>
        <v/>
      </c>
      <c r="S126" s="92" t="str" cm="1">
        <f t="array" ref="S126">IF(ISNUMBER(O126),_xlfn._xlws.FILTER(PartsDB[Hrs_PanelAssy]*M126*O126,PartsDB[Catalog]=I126),"")</f>
        <v/>
      </c>
    </row>
    <row r="127" spans="1:19" ht="16.5" thickTop="1" thickBot="1" x14ac:dyDescent="0.3">
      <c r="A127" s="96" t="str">
        <f>IF(B127="","",MAX(A$4:A126)+1)</f>
        <v/>
      </c>
      <c r="B127" s="99" t="str">
        <f t="shared" si="3"/>
        <v/>
      </c>
      <c r="C127" s="35"/>
      <c r="D127" s="35"/>
      <c r="E127" s="35"/>
      <c r="F127" s="35"/>
      <c r="G127" s="36"/>
      <c r="O127" s="19" t="str">
        <f t="shared" si="4"/>
        <v/>
      </c>
      <c r="P127" s="3" t="str">
        <f t="shared" si="5"/>
        <v/>
      </c>
      <c r="Q127" s="93" t="str" cm="1">
        <f t="array" ref="Q127">IF(ISNUMBER(O127),_xlfn._xlws.FILTER(PartsDB[Hrs_ShopAssy]*N127*O127,PartsDB[Catalog]=I127),"")</f>
        <v/>
      </c>
      <c r="R127" s="92" t="str" cm="1">
        <f t="array" ref="R127">IF(ISNUMBER(O127),_xlfn._xlws.FILTER(PartsDB[Hrs_Eng]*O127,PartsDB[Catalog]=I127),"")</f>
        <v/>
      </c>
      <c r="S127" s="92" t="str" cm="1">
        <f t="array" ref="S127">IF(ISNUMBER(O127),_xlfn._xlws.FILTER(PartsDB[Hrs_PanelAssy]*M127*O127,PartsDB[Catalog]=I127),"")</f>
        <v/>
      </c>
    </row>
    <row r="128" spans="1:19" ht="16.5" thickTop="1" thickBot="1" x14ac:dyDescent="0.3">
      <c r="A128" s="96" t="str">
        <f>IF(B128="","",MAX(A$4:A127)+1)</f>
        <v/>
      </c>
      <c r="B128" s="99" t="str">
        <f t="shared" si="3"/>
        <v/>
      </c>
      <c r="C128" s="35"/>
      <c r="D128" s="35"/>
      <c r="E128" s="35"/>
      <c r="F128" s="35"/>
      <c r="G128" s="36"/>
      <c r="O128" s="19" t="str">
        <f t="shared" si="4"/>
        <v/>
      </c>
      <c r="P128" s="3" t="str">
        <f t="shared" si="5"/>
        <v/>
      </c>
      <c r="Q128" s="93" t="str" cm="1">
        <f t="array" ref="Q128">IF(ISNUMBER(O128),_xlfn._xlws.FILTER(PartsDB[Hrs_ShopAssy]*N128*O128,PartsDB[Catalog]=I128),"")</f>
        <v/>
      </c>
      <c r="R128" s="92" t="str" cm="1">
        <f t="array" ref="R128">IF(ISNUMBER(O128),_xlfn._xlws.FILTER(PartsDB[Hrs_Eng]*O128,PartsDB[Catalog]=I128),"")</f>
        <v/>
      </c>
      <c r="S128" s="92" t="str" cm="1">
        <f t="array" ref="S128">IF(ISNUMBER(O128),_xlfn._xlws.FILTER(PartsDB[Hrs_PanelAssy]*M128*O128,PartsDB[Catalog]=I128),"")</f>
        <v/>
      </c>
    </row>
    <row r="129" spans="1:19" ht="16.5" thickTop="1" thickBot="1" x14ac:dyDescent="0.3">
      <c r="A129" s="96" t="str">
        <f>IF(B129="","",MAX(A$4:A128)+1)</f>
        <v/>
      </c>
      <c r="B129" s="99" t="str">
        <f t="shared" si="3"/>
        <v/>
      </c>
      <c r="C129" s="35"/>
      <c r="D129" s="35"/>
      <c r="E129" s="35"/>
      <c r="F129" s="35"/>
      <c r="G129" s="36"/>
      <c r="O129" s="19" t="str">
        <f t="shared" si="4"/>
        <v/>
      </c>
      <c r="P129" s="3" t="str">
        <f t="shared" si="5"/>
        <v/>
      </c>
      <c r="Q129" s="93" t="str" cm="1">
        <f t="array" ref="Q129">IF(ISNUMBER(O129),_xlfn._xlws.FILTER(PartsDB[Hrs_ShopAssy]*N129*O129,PartsDB[Catalog]=I129),"")</f>
        <v/>
      </c>
      <c r="R129" s="92" t="str" cm="1">
        <f t="array" ref="R129">IF(ISNUMBER(O129),_xlfn._xlws.FILTER(PartsDB[Hrs_Eng]*O129,PartsDB[Catalog]=I129),"")</f>
        <v/>
      </c>
      <c r="S129" s="92" t="str" cm="1">
        <f t="array" ref="S129">IF(ISNUMBER(O129),_xlfn._xlws.FILTER(PartsDB[Hrs_PanelAssy]*M129*O129,PartsDB[Catalog]=I129),"")</f>
        <v/>
      </c>
    </row>
    <row r="130" spans="1:19" ht="16.5" thickTop="1" thickBot="1" x14ac:dyDescent="0.3">
      <c r="A130" s="96" t="str">
        <f>IF(B130="","",MAX(A$4:A129)+1)</f>
        <v/>
      </c>
      <c r="B130" s="99" t="str">
        <f t="shared" si="3"/>
        <v/>
      </c>
      <c r="C130" s="35"/>
      <c r="D130" s="35"/>
      <c r="E130" s="35"/>
      <c r="F130" s="35"/>
      <c r="G130" s="36"/>
      <c r="O130" s="19" t="str">
        <f t="shared" si="4"/>
        <v/>
      </c>
      <c r="P130" s="3" t="str">
        <f t="shared" si="5"/>
        <v/>
      </c>
      <c r="Q130" s="93" t="str" cm="1">
        <f t="array" ref="Q130">IF(ISNUMBER(O130),_xlfn._xlws.FILTER(PartsDB[Hrs_ShopAssy]*N130*O130,PartsDB[Catalog]=I130),"")</f>
        <v/>
      </c>
      <c r="R130" s="92" t="str" cm="1">
        <f t="array" ref="R130">IF(ISNUMBER(O130),_xlfn._xlws.FILTER(PartsDB[Hrs_Eng]*O130,PartsDB[Catalog]=I130),"")</f>
        <v/>
      </c>
      <c r="S130" s="92" t="str" cm="1">
        <f t="array" ref="S130">IF(ISNUMBER(O130),_xlfn._xlws.FILTER(PartsDB[Hrs_PanelAssy]*M130*O130,PartsDB[Catalog]=I130),"")</f>
        <v/>
      </c>
    </row>
    <row r="131" spans="1:19" ht="16.5" thickTop="1" thickBot="1" x14ac:dyDescent="0.3">
      <c r="A131" s="96" t="str">
        <f>IF(B131="","",MAX(A$4:A130)+1)</f>
        <v/>
      </c>
      <c r="B131" s="99" t="str">
        <f t="shared" si="3"/>
        <v/>
      </c>
      <c r="C131" s="35"/>
      <c r="D131" s="35"/>
      <c r="E131" s="35"/>
      <c r="F131" s="35"/>
      <c r="G131" s="36"/>
      <c r="O131" s="19" t="str">
        <f t="shared" si="4"/>
        <v/>
      </c>
      <c r="P131" s="3" t="str">
        <f t="shared" si="5"/>
        <v/>
      </c>
      <c r="Q131" s="93" t="str" cm="1">
        <f t="array" ref="Q131">IF(ISNUMBER(O131),_xlfn._xlws.FILTER(PartsDB[Hrs_ShopAssy]*N131*O131,PartsDB[Catalog]=I131),"")</f>
        <v/>
      </c>
      <c r="R131" s="92" t="str" cm="1">
        <f t="array" ref="R131">IF(ISNUMBER(O131),_xlfn._xlws.FILTER(PartsDB[Hrs_Eng]*O131,PartsDB[Catalog]=I131),"")</f>
        <v/>
      </c>
      <c r="S131" s="92" t="str" cm="1">
        <f t="array" ref="S131">IF(ISNUMBER(O131),_xlfn._xlws.FILTER(PartsDB[Hrs_PanelAssy]*M131*O131,PartsDB[Catalog]=I131),"")</f>
        <v/>
      </c>
    </row>
    <row r="132" spans="1:19" ht="16.5" thickTop="1" thickBot="1" x14ac:dyDescent="0.3">
      <c r="A132" s="96" t="str">
        <f>IF(B132="","",MAX(A$4:A131)+1)</f>
        <v/>
      </c>
      <c r="B132" s="99" t="str">
        <f t="shared" si="3"/>
        <v/>
      </c>
      <c r="C132" s="35"/>
      <c r="D132" s="35"/>
      <c r="E132" s="35"/>
      <c r="F132" s="35"/>
      <c r="G132" s="36"/>
      <c r="O132" s="19" t="str">
        <f t="shared" si="4"/>
        <v/>
      </c>
      <c r="P132" s="3" t="str">
        <f t="shared" si="5"/>
        <v/>
      </c>
      <c r="Q132" s="93" t="str" cm="1">
        <f t="array" ref="Q132">IF(ISNUMBER(O132),_xlfn._xlws.FILTER(PartsDB[Hrs_ShopAssy]*N132*O132,PartsDB[Catalog]=I132),"")</f>
        <v/>
      </c>
      <c r="R132" s="92" t="str" cm="1">
        <f t="array" ref="R132">IF(ISNUMBER(O132),_xlfn._xlws.FILTER(PartsDB[Hrs_Eng]*O132,PartsDB[Catalog]=I132),"")</f>
        <v/>
      </c>
      <c r="S132" s="92" t="str" cm="1">
        <f t="array" ref="S132">IF(ISNUMBER(O132),_xlfn._xlws.FILTER(PartsDB[Hrs_PanelAssy]*M132*O132,PartsDB[Catalog]=I132),"")</f>
        <v/>
      </c>
    </row>
    <row r="133" spans="1:19" ht="16.5" thickTop="1" thickBot="1" x14ac:dyDescent="0.3">
      <c r="A133" s="96" t="str">
        <f>IF(B133="","",MAX(A$4:A132)+1)</f>
        <v/>
      </c>
      <c r="B133" s="99" t="str">
        <f t="shared" ref="B133:B196" si="6">IF(OR(ISBLANK($B$2),ISBLANK(D133)),"",$B$2)</f>
        <v/>
      </c>
      <c r="C133" s="35"/>
      <c r="D133" s="35"/>
      <c r="E133" s="35"/>
      <c r="F133" s="35"/>
      <c r="G133" s="36"/>
      <c r="O133" s="19" t="str">
        <f t="shared" ref="O133:O158" si="7">IF(ISNUMBER(J133),J133,"")</f>
        <v/>
      </c>
      <c r="P133" s="3" t="str">
        <f t="shared" ref="P133:P158" si="8">IF(ISNUMBER(O133),O133*K133,"")</f>
        <v/>
      </c>
      <c r="Q133" s="93" t="str" cm="1">
        <f t="array" ref="Q133">IF(ISNUMBER(O133),_xlfn._xlws.FILTER(PartsDB[Hrs_ShopAssy]*N133*O133,PartsDB[Catalog]=I133),"")</f>
        <v/>
      </c>
      <c r="R133" s="92" t="str" cm="1">
        <f t="array" ref="R133">IF(ISNUMBER(O133),_xlfn._xlws.FILTER(PartsDB[Hrs_Eng]*O133,PartsDB[Catalog]=I133),"")</f>
        <v/>
      </c>
      <c r="S133" s="92" t="str" cm="1">
        <f t="array" ref="S133">IF(ISNUMBER(O133),_xlfn._xlws.FILTER(PartsDB[Hrs_PanelAssy]*M133*O133,PartsDB[Catalog]=I133),"")</f>
        <v/>
      </c>
    </row>
    <row r="134" spans="1:19" ht="16.5" thickTop="1" thickBot="1" x14ac:dyDescent="0.3">
      <c r="A134" s="96" t="str">
        <f>IF(B134="","",MAX(A$4:A133)+1)</f>
        <v/>
      </c>
      <c r="B134" s="99" t="str">
        <f t="shared" si="6"/>
        <v/>
      </c>
      <c r="C134" s="35"/>
      <c r="D134" s="35"/>
      <c r="E134" s="35"/>
      <c r="F134" s="35"/>
      <c r="G134" s="36"/>
      <c r="O134" s="19" t="str">
        <f t="shared" si="7"/>
        <v/>
      </c>
      <c r="P134" s="3" t="str">
        <f t="shared" si="8"/>
        <v/>
      </c>
      <c r="Q134" s="93" t="str" cm="1">
        <f t="array" ref="Q134">IF(ISNUMBER(O134),_xlfn._xlws.FILTER(PartsDB[Hrs_ShopAssy]*N134*O134,PartsDB[Catalog]=I134),"")</f>
        <v/>
      </c>
      <c r="R134" s="92" t="str" cm="1">
        <f t="array" ref="R134">IF(ISNUMBER(O134),_xlfn._xlws.FILTER(PartsDB[Hrs_Eng]*O134,PartsDB[Catalog]=I134),"")</f>
        <v/>
      </c>
      <c r="S134" s="92" t="str" cm="1">
        <f t="array" ref="S134">IF(ISNUMBER(O134),_xlfn._xlws.FILTER(PartsDB[Hrs_PanelAssy]*M134*O134,PartsDB[Catalog]=I134),"")</f>
        <v/>
      </c>
    </row>
    <row r="135" spans="1:19" ht="16.5" thickTop="1" thickBot="1" x14ac:dyDescent="0.3">
      <c r="A135" s="96" t="str">
        <f>IF(B135="","",MAX(A$4:A134)+1)</f>
        <v/>
      </c>
      <c r="B135" s="99" t="str">
        <f t="shared" si="6"/>
        <v/>
      </c>
      <c r="C135" s="35"/>
      <c r="D135" s="35"/>
      <c r="E135" s="35"/>
      <c r="F135" s="35"/>
      <c r="G135" s="36"/>
      <c r="O135" s="19" t="str">
        <f t="shared" si="7"/>
        <v/>
      </c>
      <c r="P135" s="3" t="str">
        <f t="shared" si="8"/>
        <v/>
      </c>
      <c r="Q135" s="93" t="str" cm="1">
        <f t="array" ref="Q135">IF(ISNUMBER(O135),_xlfn._xlws.FILTER(PartsDB[Hrs_ShopAssy]*N135*O135,PartsDB[Catalog]=I135),"")</f>
        <v/>
      </c>
      <c r="R135" s="92" t="str" cm="1">
        <f t="array" ref="R135">IF(ISNUMBER(O135),_xlfn._xlws.FILTER(PartsDB[Hrs_Eng]*O135,PartsDB[Catalog]=I135),"")</f>
        <v/>
      </c>
      <c r="S135" s="92" t="str" cm="1">
        <f t="array" ref="S135">IF(ISNUMBER(O135),_xlfn._xlws.FILTER(PartsDB[Hrs_PanelAssy]*M135*O135,PartsDB[Catalog]=I135),"")</f>
        <v/>
      </c>
    </row>
    <row r="136" spans="1:19" ht="16.5" thickTop="1" thickBot="1" x14ac:dyDescent="0.3">
      <c r="A136" s="96" t="str">
        <f>IF(B136="","",MAX(A$4:A135)+1)</f>
        <v/>
      </c>
      <c r="B136" s="99" t="str">
        <f t="shared" si="6"/>
        <v/>
      </c>
      <c r="C136" s="35"/>
      <c r="D136" s="35"/>
      <c r="E136" s="35"/>
      <c r="F136" s="35"/>
      <c r="G136" s="36"/>
      <c r="O136" s="19" t="str">
        <f t="shared" si="7"/>
        <v/>
      </c>
      <c r="P136" s="3" t="str">
        <f t="shared" si="8"/>
        <v/>
      </c>
      <c r="Q136" s="93" t="str" cm="1">
        <f t="array" ref="Q136">IF(ISNUMBER(O136),_xlfn._xlws.FILTER(PartsDB[Hrs_ShopAssy]*N136*O136,PartsDB[Catalog]=I136),"")</f>
        <v/>
      </c>
      <c r="R136" s="92" t="str" cm="1">
        <f t="array" ref="R136">IF(ISNUMBER(O136),_xlfn._xlws.FILTER(PartsDB[Hrs_Eng]*O136,PartsDB[Catalog]=I136),"")</f>
        <v/>
      </c>
      <c r="S136" s="92" t="str" cm="1">
        <f t="array" ref="S136">IF(ISNUMBER(O136),_xlfn._xlws.FILTER(PartsDB[Hrs_PanelAssy]*M136*O136,PartsDB[Catalog]=I136),"")</f>
        <v/>
      </c>
    </row>
    <row r="137" spans="1:19" ht="16.5" thickTop="1" thickBot="1" x14ac:dyDescent="0.3">
      <c r="A137" s="96" t="str">
        <f>IF(B137="","",MAX(A$4:A136)+1)</f>
        <v/>
      </c>
      <c r="B137" s="99" t="str">
        <f t="shared" si="6"/>
        <v/>
      </c>
      <c r="C137" s="35"/>
      <c r="D137" s="35"/>
      <c r="E137" s="35"/>
      <c r="F137" s="35"/>
      <c r="G137" s="36"/>
      <c r="O137" s="19" t="str">
        <f t="shared" si="7"/>
        <v/>
      </c>
      <c r="P137" s="3" t="str">
        <f t="shared" si="8"/>
        <v/>
      </c>
      <c r="Q137" s="93" t="str" cm="1">
        <f t="array" ref="Q137">IF(ISNUMBER(O137),_xlfn._xlws.FILTER(PartsDB[Hrs_ShopAssy]*N137*O137,PartsDB[Catalog]=I137),"")</f>
        <v/>
      </c>
      <c r="R137" s="92" t="str" cm="1">
        <f t="array" ref="R137">IF(ISNUMBER(O137),_xlfn._xlws.FILTER(PartsDB[Hrs_Eng]*O137,PartsDB[Catalog]=I137),"")</f>
        <v/>
      </c>
      <c r="S137" s="92" t="str" cm="1">
        <f t="array" ref="S137">IF(ISNUMBER(O137),_xlfn._xlws.FILTER(PartsDB[Hrs_PanelAssy]*M137*O137,PartsDB[Catalog]=I137),"")</f>
        <v/>
      </c>
    </row>
    <row r="138" spans="1:19" ht="16.5" thickTop="1" thickBot="1" x14ac:dyDescent="0.3">
      <c r="A138" s="96" t="str">
        <f>IF(B138="","",MAX(A$4:A137)+1)</f>
        <v/>
      </c>
      <c r="B138" s="99" t="str">
        <f t="shared" si="6"/>
        <v/>
      </c>
      <c r="C138" s="35"/>
      <c r="D138" s="35"/>
      <c r="E138" s="35"/>
      <c r="F138" s="35"/>
      <c r="G138" s="36"/>
      <c r="O138" s="19" t="str">
        <f t="shared" si="7"/>
        <v/>
      </c>
      <c r="P138" s="3" t="str">
        <f t="shared" si="8"/>
        <v/>
      </c>
      <c r="Q138" s="93" t="str" cm="1">
        <f t="array" ref="Q138">IF(ISNUMBER(O138),_xlfn._xlws.FILTER(PartsDB[Hrs_ShopAssy]*N138*O138,PartsDB[Catalog]=I138),"")</f>
        <v/>
      </c>
      <c r="R138" s="92" t="str" cm="1">
        <f t="array" ref="R138">IF(ISNUMBER(O138),_xlfn._xlws.FILTER(PartsDB[Hrs_Eng]*O138,PartsDB[Catalog]=I138),"")</f>
        <v/>
      </c>
      <c r="S138" s="92" t="str" cm="1">
        <f t="array" ref="S138">IF(ISNUMBER(O138),_xlfn._xlws.FILTER(PartsDB[Hrs_PanelAssy]*M138*O138,PartsDB[Catalog]=I138),"")</f>
        <v/>
      </c>
    </row>
    <row r="139" spans="1:19" ht="16.5" thickTop="1" thickBot="1" x14ac:dyDescent="0.3">
      <c r="A139" s="96" t="str">
        <f>IF(B139="","",MAX(A$4:A138)+1)</f>
        <v/>
      </c>
      <c r="B139" s="99" t="str">
        <f t="shared" si="6"/>
        <v/>
      </c>
      <c r="C139" s="35"/>
      <c r="D139" s="35"/>
      <c r="E139" s="35"/>
      <c r="F139" s="35"/>
      <c r="G139" s="36"/>
      <c r="O139" s="19" t="str">
        <f t="shared" si="7"/>
        <v/>
      </c>
      <c r="P139" s="3" t="str">
        <f t="shared" si="8"/>
        <v/>
      </c>
      <c r="Q139" s="93" t="str" cm="1">
        <f t="array" ref="Q139">IF(ISNUMBER(O139),_xlfn._xlws.FILTER(PartsDB[Hrs_ShopAssy]*N139*O139,PartsDB[Catalog]=I139),"")</f>
        <v/>
      </c>
      <c r="R139" s="92" t="str" cm="1">
        <f t="array" ref="R139">IF(ISNUMBER(O139),_xlfn._xlws.FILTER(PartsDB[Hrs_Eng]*O139,PartsDB[Catalog]=I139),"")</f>
        <v/>
      </c>
      <c r="S139" s="92" t="str" cm="1">
        <f t="array" ref="S139">IF(ISNUMBER(O139),_xlfn._xlws.FILTER(PartsDB[Hrs_PanelAssy]*M139*O139,PartsDB[Catalog]=I139),"")</f>
        <v/>
      </c>
    </row>
    <row r="140" spans="1:19" ht="16.5" thickTop="1" thickBot="1" x14ac:dyDescent="0.3">
      <c r="A140" s="96" t="str">
        <f>IF(B140="","",MAX(A$4:A139)+1)</f>
        <v/>
      </c>
      <c r="B140" s="99" t="str">
        <f t="shared" si="6"/>
        <v/>
      </c>
      <c r="C140" s="35"/>
      <c r="D140" s="35"/>
      <c r="E140" s="35"/>
      <c r="F140" s="35"/>
      <c r="G140" s="36"/>
      <c r="O140" s="19" t="str">
        <f t="shared" si="7"/>
        <v/>
      </c>
      <c r="P140" s="3" t="str">
        <f t="shared" si="8"/>
        <v/>
      </c>
      <c r="Q140" s="93" t="str" cm="1">
        <f t="array" ref="Q140">IF(ISNUMBER(O140),_xlfn._xlws.FILTER(PartsDB[Hrs_ShopAssy]*N140*O140,PartsDB[Catalog]=I140),"")</f>
        <v/>
      </c>
      <c r="R140" s="92" t="str" cm="1">
        <f t="array" ref="R140">IF(ISNUMBER(O140),_xlfn._xlws.FILTER(PartsDB[Hrs_Eng]*O140,PartsDB[Catalog]=I140),"")</f>
        <v/>
      </c>
      <c r="S140" s="92" t="str" cm="1">
        <f t="array" ref="S140">IF(ISNUMBER(O140),_xlfn._xlws.FILTER(PartsDB[Hrs_PanelAssy]*M140*O140,PartsDB[Catalog]=I140),"")</f>
        <v/>
      </c>
    </row>
    <row r="141" spans="1:19" ht="16.5" thickTop="1" thickBot="1" x14ac:dyDescent="0.3">
      <c r="A141" s="96" t="str">
        <f>IF(B141="","",MAX(A$4:A140)+1)</f>
        <v/>
      </c>
      <c r="B141" s="99" t="str">
        <f t="shared" si="6"/>
        <v/>
      </c>
      <c r="C141" s="35"/>
      <c r="D141" s="35"/>
      <c r="E141" s="35"/>
      <c r="F141" s="35"/>
      <c r="G141" s="36"/>
      <c r="O141" s="19" t="str">
        <f t="shared" si="7"/>
        <v/>
      </c>
      <c r="P141" s="3" t="str">
        <f t="shared" si="8"/>
        <v/>
      </c>
      <c r="Q141" s="93" t="str" cm="1">
        <f t="array" ref="Q141">IF(ISNUMBER(O141),_xlfn._xlws.FILTER(PartsDB[Hrs_ShopAssy]*N141*O141,PartsDB[Catalog]=I141),"")</f>
        <v/>
      </c>
      <c r="R141" s="92" t="str" cm="1">
        <f t="array" ref="R141">IF(ISNUMBER(O141),_xlfn._xlws.FILTER(PartsDB[Hrs_Eng]*O141,PartsDB[Catalog]=I141),"")</f>
        <v/>
      </c>
      <c r="S141" s="92" t="str" cm="1">
        <f t="array" ref="S141">IF(ISNUMBER(O141),_xlfn._xlws.FILTER(PartsDB[Hrs_PanelAssy]*M141*O141,PartsDB[Catalog]=I141),"")</f>
        <v/>
      </c>
    </row>
    <row r="142" spans="1:19" ht="16.5" thickTop="1" thickBot="1" x14ac:dyDescent="0.3">
      <c r="A142" s="96" t="str">
        <f>IF(B142="","",MAX(A$4:A141)+1)</f>
        <v/>
      </c>
      <c r="B142" s="99" t="str">
        <f t="shared" si="6"/>
        <v/>
      </c>
      <c r="C142" s="35"/>
      <c r="D142" s="35"/>
      <c r="E142" s="35"/>
      <c r="F142" s="35"/>
      <c r="G142" s="36"/>
      <c r="O142" s="19" t="str">
        <f t="shared" si="7"/>
        <v/>
      </c>
      <c r="P142" s="3" t="str">
        <f t="shared" si="8"/>
        <v/>
      </c>
      <c r="Q142" s="93" t="str" cm="1">
        <f t="array" ref="Q142">IF(ISNUMBER(O142),_xlfn._xlws.FILTER(PartsDB[Hrs_ShopAssy]*N142*O142,PartsDB[Catalog]=I142),"")</f>
        <v/>
      </c>
      <c r="R142" s="92" t="str" cm="1">
        <f t="array" ref="R142">IF(ISNUMBER(O142),_xlfn._xlws.FILTER(PartsDB[Hrs_Eng]*O142,PartsDB[Catalog]=I142),"")</f>
        <v/>
      </c>
      <c r="S142" s="92" t="str" cm="1">
        <f t="array" ref="S142">IF(ISNUMBER(O142),_xlfn._xlws.FILTER(PartsDB[Hrs_PanelAssy]*M142*O142,PartsDB[Catalog]=I142),"")</f>
        <v/>
      </c>
    </row>
    <row r="143" spans="1:19" ht="16.5" thickTop="1" thickBot="1" x14ac:dyDescent="0.3">
      <c r="A143" s="96" t="str">
        <f>IF(B143="","",MAX(A$4:A142)+1)</f>
        <v/>
      </c>
      <c r="B143" s="99" t="str">
        <f t="shared" si="6"/>
        <v/>
      </c>
      <c r="C143" s="35"/>
      <c r="D143" s="35"/>
      <c r="E143" s="35"/>
      <c r="F143" s="35"/>
      <c r="G143" s="36"/>
      <c r="O143" s="19" t="str">
        <f t="shared" si="7"/>
        <v/>
      </c>
      <c r="P143" s="3" t="str">
        <f t="shared" si="8"/>
        <v/>
      </c>
      <c r="Q143" s="93" t="str" cm="1">
        <f t="array" ref="Q143">IF(ISNUMBER(O143),_xlfn._xlws.FILTER(PartsDB[Hrs_ShopAssy]*N143*O143,PartsDB[Catalog]=I143),"")</f>
        <v/>
      </c>
      <c r="R143" s="92" t="str" cm="1">
        <f t="array" ref="R143">IF(ISNUMBER(O143),_xlfn._xlws.FILTER(PartsDB[Hrs_Eng]*O143,PartsDB[Catalog]=I143),"")</f>
        <v/>
      </c>
      <c r="S143" s="92" t="str" cm="1">
        <f t="array" ref="S143">IF(ISNUMBER(O143),_xlfn._xlws.FILTER(PartsDB[Hrs_PanelAssy]*M143*O143,PartsDB[Catalog]=I143),"")</f>
        <v/>
      </c>
    </row>
    <row r="144" spans="1:19" ht="16.5" thickTop="1" thickBot="1" x14ac:dyDescent="0.3">
      <c r="A144" s="96" t="str">
        <f>IF(B144="","",MAX(A$4:A143)+1)</f>
        <v/>
      </c>
      <c r="B144" s="99" t="str">
        <f t="shared" si="6"/>
        <v/>
      </c>
      <c r="C144" s="35"/>
      <c r="D144" s="35"/>
      <c r="E144" s="35"/>
      <c r="F144" s="35"/>
      <c r="G144" s="36"/>
      <c r="O144" s="19" t="str">
        <f t="shared" si="7"/>
        <v/>
      </c>
      <c r="P144" s="3" t="str">
        <f t="shared" si="8"/>
        <v/>
      </c>
      <c r="Q144" s="93" t="str" cm="1">
        <f t="array" ref="Q144">IF(ISNUMBER(O144),_xlfn._xlws.FILTER(PartsDB[Hrs_ShopAssy]*N144*O144,PartsDB[Catalog]=I144),"")</f>
        <v/>
      </c>
      <c r="R144" s="92" t="str" cm="1">
        <f t="array" ref="R144">IF(ISNUMBER(O144),_xlfn._xlws.FILTER(PartsDB[Hrs_Eng]*O144,PartsDB[Catalog]=I144),"")</f>
        <v/>
      </c>
      <c r="S144" s="92" t="str" cm="1">
        <f t="array" ref="S144">IF(ISNUMBER(O144),_xlfn._xlws.FILTER(PartsDB[Hrs_PanelAssy]*M144*O144,PartsDB[Catalog]=I144),"")</f>
        <v/>
      </c>
    </row>
    <row r="145" spans="1:19" ht="16.5" thickTop="1" thickBot="1" x14ac:dyDescent="0.3">
      <c r="A145" s="96" t="str">
        <f>IF(B145="","",MAX(A$4:A144)+1)</f>
        <v/>
      </c>
      <c r="B145" s="99" t="str">
        <f t="shared" si="6"/>
        <v/>
      </c>
      <c r="C145" s="35"/>
      <c r="D145" s="35"/>
      <c r="E145" s="35"/>
      <c r="F145" s="35"/>
      <c r="G145" s="36"/>
      <c r="O145" s="19" t="str">
        <f t="shared" si="7"/>
        <v/>
      </c>
      <c r="P145" s="3" t="str">
        <f t="shared" si="8"/>
        <v/>
      </c>
      <c r="Q145" s="93" t="str" cm="1">
        <f t="array" ref="Q145">IF(ISNUMBER(O145),_xlfn._xlws.FILTER(PartsDB[Hrs_ShopAssy]*N145*O145,PartsDB[Catalog]=I145),"")</f>
        <v/>
      </c>
      <c r="R145" s="92" t="str" cm="1">
        <f t="array" ref="R145">IF(ISNUMBER(O145),_xlfn._xlws.FILTER(PartsDB[Hrs_Eng]*O145,PartsDB[Catalog]=I145),"")</f>
        <v/>
      </c>
      <c r="S145" s="92" t="str" cm="1">
        <f t="array" ref="S145">IF(ISNUMBER(O145),_xlfn._xlws.FILTER(PartsDB[Hrs_PanelAssy]*M145*O145,PartsDB[Catalog]=I145),"")</f>
        <v/>
      </c>
    </row>
    <row r="146" spans="1:19" ht="16.5" thickTop="1" thickBot="1" x14ac:dyDescent="0.3">
      <c r="A146" s="96" t="str">
        <f>IF(B146="","",MAX(A$4:A145)+1)</f>
        <v/>
      </c>
      <c r="B146" s="99" t="str">
        <f t="shared" si="6"/>
        <v/>
      </c>
      <c r="C146" s="35"/>
      <c r="D146" s="35"/>
      <c r="E146" s="35"/>
      <c r="F146" s="35"/>
      <c r="G146" s="36"/>
      <c r="O146" s="19" t="str">
        <f t="shared" si="7"/>
        <v/>
      </c>
      <c r="P146" s="3" t="str">
        <f t="shared" si="8"/>
        <v/>
      </c>
      <c r="Q146" s="93" t="str" cm="1">
        <f t="array" ref="Q146">IF(ISNUMBER(O146),_xlfn._xlws.FILTER(PartsDB[Hrs_ShopAssy]*N146*O146,PartsDB[Catalog]=I146),"")</f>
        <v/>
      </c>
      <c r="R146" s="92" t="str" cm="1">
        <f t="array" ref="R146">IF(ISNUMBER(O146),_xlfn._xlws.FILTER(PartsDB[Hrs_Eng]*O146,PartsDB[Catalog]=I146),"")</f>
        <v/>
      </c>
      <c r="S146" s="92" t="str" cm="1">
        <f t="array" ref="S146">IF(ISNUMBER(O146),_xlfn._xlws.FILTER(PartsDB[Hrs_PanelAssy]*M146*O146,PartsDB[Catalog]=I146),"")</f>
        <v/>
      </c>
    </row>
    <row r="147" spans="1:19" ht="16.5" thickTop="1" thickBot="1" x14ac:dyDescent="0.3">
      <c r="A147" s="96" t="str">
        <f>IF(B147="","",MAX(A$4:A146)+1)</f>
        <v/>
      </c>
      <c r="B147" s="99" t="str">
        <f t="shared" si="6"/>
        <v/>
      </c>
      <c r="C147" s="35"/>
      <c r="D147" s="35"/>
      <c r="E147" s="35"/>
      <c r="F147" s="35"/>
      <c r="G147" s="36"/>
      <c r="O147" s="19" t="str">
        <f t="shared" si="7"/>
        <v/>
      </c>
      <c r="P147" s="3" t="str">
        <f t="shared" si="8"/>
        <v/>
      </c>
      <c r="Q147" s="93" t="str" cm="1">
        <f t="array" ref="Q147">IF(ISNUMBER(O147),_xlfn._xlws.FILTER(PartsDB[Hrs_ShopAssy]*N147*O147,PartsDB[Catalog]=I147),"")</f>
        <v/>
      </c>
      <c r="R147" s="92" t="str" cm="1">
        <f t="array" ref="R147">IF(ISNUMBER(O147),_xlfn._xlws.FILTER(PartsDB[Hrs_Eng]*O147,PartsDB[Catalog]=I147),"")</f>
        <v/>
      </c>
      <c r="S147" s="92" t="str" cm="1">
        <f t="array" ref="S147">IF(ISNUMBER(O147),_xlfn._xlws.FILTER(PartsDB[Hrs_PanelAssy]*M147*O147,PartsDB[Catalog]=I147),"")</f>
        <v/>
      </c>
    </row>
    <row r="148" spans="1:19" ht="16.5" thickTop="1" thickBot="1" x14ac:dyDescent="0.3">
      <c r="A148" s="96" t="str">
        <f>IF(B148="","",MAX(A$4:A147)+1)</f>
        <v/>
      </c>
      <c r="B148" s="99" t="str">
        <f t="shared" si="6"/>
        <v/>
      </c>
      <c r="C148" s="35"/>
      <c r="D148" s="35"/>
      <c r="E148" s="35"/>
      <c r="F148" s="35"/>
      <c r="G148" s="36"/>
      <c r="O148" s="19" t="str">
        <f t="shared" si="7"/>
        <v/>
      </c>
      <c r="P148" s="3" t="str">
        <f t="shared" si="8"/>
        <v/>
      </c>
      <c r="Q148" s="93" t="str" cm="1">
        <f t="array" ref="Q148">IF(ISNUMBER(O148),_xlfn._xlws.FILTER(PartsDB[Hrs_ShopAssy]*N148*O148,PartsDB[Catalog]=I148),"")</f>
        <v/>
      </c>
      <c r="R148" s="92" t="str" cm="1">
        <f t="array" ref="R148">IF(ISNUMBER(O148),_xlfn._xlws.FILTER(PartsDB[Hrs_Eng]*O148,PartsDB[Catalog]=I148),"")</f>
        <v/>
      </c>
      <c r="S148" s="92" t="str" cm="1">
        <f t="array" ref="S148">IF(ISNUMBER(O148),_xlfn._xlws.FILTER(PartsDB[Hrs_PanelAssy]*M148*O148,PartsDB[Catalog]=I148),"")</f>
        <v/>
      </c>
    </row>
    <row r="149" spans="1:19" ht="16.5" thickTop="1" thickBot="1" x14ac:dyDescent="0.3">
      <c r="A149" s="96" t="str">
        <f>IF(B149="","",MAX(A$4:A148)+1)</f>
        <v/>
      </c>
      <c r="B149" s="99" t="str">
        <f t="shared" si="6"/>
        <v/>
      </c>
      <c r="C149" s="35"/>
      <c r="D149" s="35"/>
      <c r="E149" s="35"/>
      <c r="F149" s="35"/>
      <c r="G149" s="36"/>
      <c r="O149" s="19" t="str">
        <f t="shared" si="7"/>
        <v/>
      </c>
      <c r="P149" s="3" t="str">
        <f t="shared" si="8"/>
        <v/>
      </c>
      <c r="Q149" s="93" t="str" cm="1">
        <f t="array" ref="Q149">IF(ISNUMBER(O149),_xlfn._xlws.FILTER(PartsDB[Hrs_ShopAssy]*N149*O149,PartsDB[Catalog]=I149),"")</f>
        <v/>
      </c>
      <c r="R149" s="92" t="str" cm="1">
        <f t="array" ref="R149">IF(ISNUMBER(O149),_xlfn._xlws.FILTER(PartsDB[Hrs_Eng]*O149,PartsDB[Catalog]=I149),"")</f>
        <v/>
      </c>
      <c r="S149" s="92" t="str" cm="1">
        <f t="array" ref="S149">IF(ISNUMBER(O149),_xlfn._xlws.FILTER(PartsDB[Hrs_PanelAssy]*M149*O149,PartsDB[Catalog]=I149),"")</f>
        <v/>
      </c>
    </row>
    <row r="150" spans="1:19" ht="16.5" thickTop="1" thickBot="1" x14ac:dyDescent="0.3">
      <c r="A150" s="96" t="str">
        <f>IF(B150="","",MAX(A$4:A149)+1)</f>
        <v/>
      </c>
      <c r="B150" s="99" t="str">
        <f t="shared" si="6"/>
        <v/>
      </c>
      <c r="C150" s="35"/>
      <c r="D150" s="35"/>
      <c r="E150" s="35"/>
      <c r="F150" s="35"/>
      <c r="G150" s="36"/>
      <c r="O150" s="19" t="str">
        <f t="shared" si="7"/>
        <v/>
      </c>
      <c r="P150" s="3" t="str">
        <f t="shared" si="8"/>
        <v/>
      </c>
      <c r="Q150" s="93" t="str" cm="1">
        <f t="array" ref="Q150">IF(ISNUMBER(O150),_xlfn._xlws.FILTER(PartsDB[Hrs_ShopAssy]*N150*O150,PartsDB[Catalog]=I150),"")</f>
        <v/>
      </c>
      <c r="R150" s="92" t="str" cm="1">
        <f t="array" ref="R150">IF(ISNUMBER(O150),_xlfn._xlws.FILTER(PartsDB[Hrs_Eng]*O150,PartsDB[Catalog]=I150),"")</f>
        <v/>
      </c>
      <c r="S150" s="92" t="str" cm="1">
        <f t="array" ref="S150">IF(ISNUMBER(O150),_xlfn._xlws.FILTER(PartsDB[Hrs_PanelAssy]*M150*O150,PartsDB[Catalog]=I150),"")</f>
        <v/>
      </c>
    </row>
    <row r="151" spans="1:19" ht="16.5" thickTop="1" thickBot="1" x14ac:dyDescent="0.3">
      <c r="A151" s="96" t="str">
        <f>IF(B151="","",MAX(A$4:A150)+1)</f>
        <v/>
      </c>
      <c r="B151" s="99" t="str">
        <f t="shared" si="6"/>
        <v/>
      </c>
      <c r="C151" s="35"/>
      <c r="D151" s="35"/>
      <c r="E151" s="35"/>
      <c r="F151" s="35"/>
      <c r="G151" s="36"/>
      <c r="O151" s="19" t="str">
        <f t="shared" si="7"/>
        <v/>
      </c>
      <c r="P151" s="3" t="str">
        <f t="shared" si="8"/>
        <v/>
      </c>
      <c r="Q151" s="93" t="str" cm="1">
        <f t="array" ref="Q151">IF(ISNUMBER(O151),_xlfn._xlws.FILTER(PartsDB[Hrs_ShopAssy]*N151*O151,PartsDB[Catalog]=I151),"")</f>
        <v/>
      </c>
      <c r="R151" s="92" t="str" cm="1">
        <f t="array" ref="R151">IF(ISNUMBER(O151),_xlfn._xlws.FILTER(PartsDB[Hrs_Eng]*O151,PartsDB[Catalog]=I151),"")</f>
        <v/>
      </c>
      <c r="S151" s="92" t="str" cm="1">
        <f t="array" ref="S151">IF(ISNUMBER(O151),_xlfn._xlws.FILTER(PartsDB[Hrs_PanelAssy]*M151*O151,PartsDB[Catalog]=I151),"")</f>
        <v/>
      </c>
    </row>
    <row r="152" spans="1:19" ht="16.5" thickTop="1" thickBot="1" x14ac:dyDescent="0.3">
      <c r="A152" s="96" t="str">
        <f>IF(B152="","",MAX(A$4:A151)+1)</f>
        <v/>
      </c>
      <c r="B152" s="99" t="str">
        <f t="shared" si="6"/>
        <v/>
      </c>
      <c r="C152" s="35"/>
      <c r="D152" s="35"/>
      <c r="E152" s="35"/>
      <c r="F152" s="35"/>
      <c r="G152" s="36"/>
      <c r="O152" s="19" t="str">
        <f t="shared" si="7"/>
        <v/>
      </c>
      <c r="P152" s="3" t="str">
        <f t="shared" si="8"/>
        <v/>
      </c>
      <c r="Q152" s="93" t="str" cm="1">
        <f t="array" ref="Q152">IF(ISNUMBER(O152),_xlfn._xlws.FILTER(PartsDB[Hrs_ShopAssy]*N152*O152,PartsDB[Catalog]=I152),"")</f>
        <v/>
      </c>
      <c r="R152" s="92" t="str" cm="1">
        <f t="array" ref="R152">IF(ISNUMBER(O152),_xlfn._xlws.FILTER(PartsDB[Hrs_Eng]*O152,PartsDB[Catalog]=I152),"")</f>
        <v/>
      </c>
      <c r="S152" s="92" t="str" cm="1">
        <f t="array" ref="S152">IF(ISNUMBER(O152),_xlfn._xlws.FILTER(PartsDB[Hrs_PanelAssy]*M152*O152,PartsDB[Catalog]=I152),"")</f>
        <v/>
      </c>
    </row>
    <row r="153" spans="1:19" ht="16.5" thickTop="1" thickBot="1" x14ac:dyDescent="0.3">
      <c r="A153" s="96" t="str">
        <f>IF(B153="","",MAX(A$4:A152)+1)</f>
        <v/>
      </c>
      <c r="B153" s="99" t="str">
        <f t="shared" si="6"/>
        <v/>
      </c>
      <c r="C153" s="35"/>
      <c r="D153" s="35"/>
      <c r="E153" s="35"/>
      <c r="F153" s="35"/>
      <c r="G153" s="36"/>
      <c r="O153" s="19" t="str">
        <f t="shared" si="7"/>
        <v/>
      </c>
      <c r="P153" s="3" t="str">
        <f t="shared" si="8"/>
        <v/>
      </c>
      <c r="Q153" s="93" t="str" cm="1">
        <f t="array" ref="Q153">IF(ISNUMBER(O153),_xlfn._xlws.FILTER(PartsDB[Hrs_ShopAssy]*N153*O153,PartsDB[Catalog]=I153),"")</f>
        <v/>
      </c>
      <c r="R153" s="92" t="str" cm="1">
        <f t="array" ref="R153">IF(ISNUMBER(O153),_xlfn._xlws.FILTER(PartsDB[Hrs_Eng]*O153,PartsDB[Catalog]=I153),"")</f>
        <v/>
      </c>
      <c r="S153" s="92" t="str" cm="1">
        <f t="array" ref="S153">IF(ISNUMBER(O153),_xlfn._xlws.FILTER(PartsDB[Hrs_PanelAssy]*M153*O153,PartsDB[Catalog]=I153),"")</f>
        <v/>
      </c>
    </row>
    <row r="154" spans="1:19" ht="16.5" thickTop="1" thickBot="1" x14ac:dyDescent="0.3">
      <c r="A154" s="96" t="str">
        <f>IF(B154="","",MAX(A$4:A153)+1)</f>
        <v/>
      </c>
      <c r="B154" s="99" t="str">
        <f t="shared" si="6"/>
        <v/>
      </c>
      <c r="C154" s="35"/>
      <c r="D154" s="35"/>
      <c r="E154" s="35"/>
      <c r="F154" s="35"/>
      <c r="G154" s="36"/>
      <c r="O154" s="19" t="str">
        <f t="shared" si="7"/>
        <v/>
      </c>
      <c r="P154" s="3" t="str">
        <f t="shared" si="8"/>
        <v/>
      </c>
      <c r="Q154" s="93" t="str" cm="1">
        <f t="array" ref="Q154">IF(ISNUMBER(O154),_xlfn._xlws.FILTER(PartsDB[Hrs_ShopAssy]*N154*O154,PartsDB[Catalog]=I154),"")</f>
        <v/>
      </c>
      <c r="R154" s="92" t="str" cm="1">
        <f t="array" ref="R154">IF(ISNUMBER(O154),_xlfn._xlws.FILTER(PartsDB[Hrs_Eng]*O154,PartsDB[Catalog]=I154),"")</f>
        <v/>
      </c>
      <c r="S154" s="92" t="str" cm="1">
        <f t="array" ref="S154">IF(ISNUMBER(O154),_xlfn._xlws.FILTER(PartsDB[Hrs_PanelAssy]*M154*O154,PartsDB[Catalog]=I154),"")</f>
        <v/>
      </c>
    </row>
    <row r="155" spans="1:19" ht="16.5" thickTop="1" thickBot="1" x14ac:dyDescent="0.3">
      <c r="A155" s="96" t="str">
        <f>IF(B155="","",MAX(A$4:A154)+1)</f>
        <v/>
      </c>
      <c r="B155" s="99" t="str">
        <f t="shared" si="6"/>
        <v/>
      </c>
      <c r="C155" s="35"/>
      <c r="D155" s="35"/>
      <c r="E155" s="35"/>
      <c r="F155" s="35"/>
      <c r="G155" s="36"/>
      <c r="O155" s="19" t="str">
        <f t="shared" si="7"/>
        <v/>
      </c>
      <c r="P155" s="3" t="str">
        <f t="shared" si="8"/>
        <v/>
      </c>
      <c r="Q155" s="93" t="str" cm="1">
        <f t="array" ref="Q155">IF(ISNUMBER(O155),_xlfn._xlws.FILTER(PartsDB[Hrs_ShopAssy]*N155*O155,PartsDB[Catalog]=I155),"")</f>
        <v/>
      </c>
      <c r="R155" s="92" t="str" cm="1">
        <f t="array" ref="R155">IF(ISNUMBER(O155),_xlfn._xlws.FILTER(PartsDB[Hrs_Eng]*O155,PartsDB[Catalog]=I155),"")</f>
        <v/>
      </c>
      <c r="S155" s="92" t="str" cm="1">
        <f t="array" ref="S155">IF(ISNUMBER(O155),_xlfn._xlws.FILTER(PartsDB[Hrs_PanelAssy]*M155*O155,PartsDB[Catalog]=I155),"")</f>
        <v/>
      </c>
    </row>
    <row r="156" spans="1:19" ht="16.5" thickTop="1" thickBot="1" x14ac:dyDescent="0.3">
      <c r="A156" s="96" t="str">
        <f>IF(B156="","",MAX(A$4:A155)+1)</f>
        <v/>
      </c>
      <c r="B156" s="99" t="str">
        <f t="shared" si="6"/>
        <v/>
      </c>
      <c r="C156" s="35"/>
      <c r="D156" s="35"/>
      <c r="E156" s="35"/>
      <c r="F156" s="35"/>
      <c r="G156" s="36"/>
      <c r="O156" s="19" t="str">
        <f t="shared" si="7"/>
        <v/>
      </c>
      <c r="P156" s="3" t="str">
        <f t="shared" si="8"/>
        <v/>
      </c>
      <c r="Q156" s="93" t="str" cm="1">
        <f t="array" ref="Q156">IF(ISNUMBER(O156),_xlfn._xlws.FILTER(PartsDB[Hrs_ShopAssy]*N156*O156,PartsDB[Catalog]=I156),"")</f>
        <v/>
      </c>
      <c r="R156" s="92" t="str" cm="1">
        <f t="array" ref="R156">IF(ISNUMBER(O156),_xlfn._xlws.FILTER(PartsDB[Hrs_Eng]*O156,PartsDB[Catalog]=I156),"")</f>
        <v/>
      </c>
      <c r="S156" s="92" t="str" cm="1">
        <f t="array" ref="S156">IF(ISNUMBER(O156),_xlfn._xlws.FILTER(PartsDB[Hrs_PanelAssy]*M156*O156,PartsDB[Catalog]=I156),"")</f>
        <v/>
      </c>
    </row>
    <row r="157" spans="1:19" ht="16.5" thickTop="1" thickBot="1" x14ac:dyDescent="0.3">
      <c r="A157" s="96" t="str">
        <f>IF(B157="","",MAX(A$4:A156)+1)</f>
        <v/>
      </c>
      <c r="B157" s="99" t="str">
        <f t="shared" si="6"/>
        <v/>
      </c>
      <c r="C157" s="35"/>
      <c r="D157" s="35"/>
      <c r="E157" s="35"/>
      <c r="F157" s="35"/>
      <c r="G157" s="36"/>
      <c r="O157" s="19" t="str">
        <f t="shared" si="7"/>
        <v/>
      </c>
      <c r="P157" s="3" t="str">
        <f t="shared" si="8"/>
        <v/>
      </c>
      <c r="Q157" s="93" t="str" cm="1">
        <f t="array" ref="Q157">IF(ISNUMBER(O157),_xlfn._xlws.FILTER(PartsDB[Hrs_ShopAssy]*N157*O157,PartsDB[Catalog]=I157),"")</f>
        <v/>
      </c>
      <c r="R157" s="92" t="str" cm="1">
        <f t="array" ref="R157">IF(ISNUMBER(O157),_xlfn._xlws.FILTER(PartsDB[Hrs_Eng]*O157,PartsDB[Catalog]=I157),"")</f>
        <v/>
      </c>
      <c r="S157" s="92" t="str" cm="1">
        <f t="array" ref="S157">IF(ISNUMBER(O157),_xlfn._xlws.FILTER(PartsDB[Hrs_PanelAssy]*M157*O157,PartsDB[Catalog]=I157),"")</f>
        <v/>
      </c>
    </row>
    <row r="158" spans="1:19" ht="16.5" thickTop="1" thickBot="1" x14ac:dyDescent="0.3">
      <c r="A158" s="96" t="str">
        <f>IF(B158="","",MAX(A$4:A157)+1)</f>
        <v/>
      </c>
      <c r="B158" s="99" t="str">
        <f t="shared" si="6"/>
        <v/>
      </c>
      <c r="C158" s="35"/>
      <c r="D158" s="35"/>
      <c r="E158" s="35"/>
      <c r="F158" s="35"/>
      <c r="G158" s="36"/>
      <c r="O158" s="19" t="str">
        <f t="shared" si="7"/>
        <v/>
      </c>
      <c r="P158" s="3" t="str">
        <f t="shared" si="8"/>
        <v/>
      </c>
      <c r="Q158" s="93" t="str" cm="1">
        <f t="array" ref="Q158">IF(ISNUMBER(O158),_xlfn._xlws.FILTER(PartsDB[Hrs_ShopAssy]*N158*O158,PartsDB[Catalog]=I158),"")</f>
        <v/>
      </c>
      <c r="R158" s="92" t="str" cm="1">
        <f t="array" ref="R158">IF(ISNUMBER(O158),_xlfn._xlws.FILTER(PartsDB[Hrs_Eng]*O158,PartsDB[Catalog]=I158),"")</f>
        <v/>
      </c>
      <c r="S158" s="92" t="str" cm="1">
        <f t="array" ref="S158">IF(ISNUMBER(O158),_xlfn._xlws.FILTER(PartsDB[Hrs_PanelAssy]*M158*O158,PartsDB[Catalog]=I158),"")</f>
        <v/>
      </c>
    </row>
    <row r="159" spans="1:19" ht="16.5" thickTop="1" thickBot="1" x14ac:dyDescent="0.3">
      <c r="A159" s="96" t="str">
        <f>IF(B159="","",MAX(A$4:A158)+1)</f>
        <v/>
      </c>
      <c r="B159" s="99" t="str">
        <f t="shared" si="6"/>
        <v/>
      </c>
      <c r="C159" s="35"/>
      <c r="D159" s="35"/>
      <c r="E159" s="35"/>
      <c r="F159" s="35"/>
      <c r="G159" s="36"/>
      <c r="O159" s="19"/>
      <c r="P159" s="3"/>
      <c r="Q159" s="93" t="str" cm="1">
        <f t="array" ref="Q159">IF(ISNUMBER(O159),_xlfn._xlws.FILTER(PartsDB[Hrs_ShopAssy]*N159*O159,PartsDB[Catalog]=I159),"")</f>
        <v/>
      </c>
      <c r="R159" s="92" t="str" cm="1">
        <f t="array" ref="R159">IF(ISNUMBER(O159),_xlfn._xlws.FILTER(PartsDB[Hrs_Eng]*O159,PartsDB[Catalog]=I159),"")</f>
        <v/>
      </c>
      <c r="S159" s="92" t="str" cm="1">
        <f t="array" ref="S159">IF(ISNUMBER(O159),_xlfn._xlws.FILTER(PartsDB[Hrs_PanelAssy]*M159*O159,PartsDB[Catalog]=I159),"")</f>
        <v/>
      </c>
    </row>
    <row r="160" spans="1:19" ht="16.5" thickTop="1" thickBot="1" x14ac:dyDescent="0.3">
      <c r="A160" s="96" t="str">
        <f>IF(B160="","",MAX(A$4:A159)+1)</f>
        <v/>
      </c>
      <c r="B160" s="99" t="str">
        <f t="shared" si="6"/>
        <v/>
      </c>
      <c r="C160" s="35"/>
      <c r="D160" s="35"/>
      <c r="E160" s="35"/>
      <c r="F160" s="35"/>
      <c r="G160" s="36"/>
      <c r="O160" s="19"/>
      <c r="P160" s="3"/>
      <c r="Q160" s="93" t="str" cm="1">
        <f t="array" ref="Q160">IF(ISNUMBER(O160),_xlfn._xlws.FILTER(PartsDB[Hrs_ShopAssy]*N160*O160,PartsDB[Catalog]=I160),"")</f>
        <v/>
      </c>
      <c r="R160" s="92" t="str" cm="1">
        <f t="array" ref="R160">IF(ISNUMBER(O160),_xlfn._xlws.FILTER(PartsDB[Hrs_Eng]*O160,PartsDB[Catalog]=I160),"")</f>
        <v/>
      </c>
      <c r="S160" s="92" t="str" cm="1">
        <f t="array" ref="S160">IF(ISNUMBER(O160),_xlfn._xlws.FILTER(PartsDB[Hrs_PanelAssy]*M160*O160,PartsDB[Catalog]=I160),"")</f>
        <v/>
      </c>
    </row>
    <row r="161" spans="1:19" ht="16.5" thickTop="1" thickBot="1" x14ac:dyDescent="0.3">
      <c r="A161" s="96" t="str">
        <f>IF(B161="","",MAX(A$4:A160)+1)</f>
        <v/>
      </c>
      <c r="B161" s="99" t="str">
        <f t="shared" si="6"/>
        <v/>
      </c>
      <c r="C161" s="35"/>
      <c r="D161" s="35"/>
      <c r="E161" s="35"/>
      <c r="F161" s="35"/>
      <c r="G161" s="36"/>
      <c r="O161" s="19"/>
      <c r="P161" s="3"/>
      <c r="Q161" s="93" t="str" cm="1">
        <f t="array" ref="Q161">IF(ISNUMBER(O161),_xlfn._xlws.FILTER(PartsDB[Hrs_ShopAssy]*N161*O161,PartsDB[Catalog]=I161),"")</f>
        <v/>
      </c>
      <c r="R161" s="92" t="str" cm="1">
        <f t="array" ref="R161">IF(ISNUMBER(O161),_xlfn._xlws.FILTER(PartsDB[Hrs_Eng]*O161,PartsDB[Catalog]=I161),"")</f>
        <v/>
      </c>
      <c r="S161" s="92" t="str" cm="1">
        <f t="array" ref="S161">IF(ISNUMBER(O161),_xlfn._xlws.FILTER(PartsDB[Hrs_PanelAssy]*M161*O161,PartsDB[Catalog]=I161),"")</f>
        <v/>
      </c>
    </row>
    <row r="162" spans="1:19" ht="16.5" thickTop="1" thickBot="1" x14ac:dyDescent="0.3">
      <c r="A162" s="96" t="str">
        <f>IF(B162="","",MAX(A$4:A161)+1)</f>
        <v/>
      </c>
      <c r="B162" s="99" t="str">
        <f t="shared" si="6"/>
        <v/>
      </c>
      <c r="C162" s="35"/>
      <c r="D162" s="35"/>
      <c r="E162" s="35"/>
      <c r="F162" s="35"/>
      <c r="G162" s="36"/>
      <c r="O162" s="19"/>
      <c r="P162" s="3"/>
      <c r="Q162" s="93" t="str" cm="1">
        <f t="array" ref="Q162">IF(ISNUMBER(O162),_xlfn._xlws.FILTER(PartsDB[Hrs_ShopAssy]*N162*O162,PartsDB[Catalog]=I162),"")</f>
        <v/>
      </c>
      <c r="R162" s="92" t="str" cm="1">
        <f t="array" ref="R162">IF(ISNUMBER(O162),_xlfn._xlws.FILTER(PartsDB[Hrs_Eng]*O162,PartsDB[Catalog]=I162),"")</f>
        <v/>
      </c>
      <c r="S162" s="92" t="str" cm="1">
        <f t="array" ref="S162">IF(ISNUMBER(O162),_xlfn._xlws.FILTER(PartsDB[Hrs_PanelAssy]*M162*O162,PartsDB[Catalog]=I162),"")</f>
        <v/>
      </c>
    </row>
    <row r="163" spans="1:19" ht="16.5" thickTop="1" thickBot="1" x14ac:dyDescent="0.3">
      <c r="A163" s="96" t="str">
        <f>IF(B163="","",MAX(A$4:A162)+1)</f>
        <v/>
      </c>
      <c r="B163" s="99" t="str">
        <f t="shared" si="6"/>
        <v/>
      </c>
      <c r="C163" s="35"/>
      <c r="D163" s="35"/>
      <c r="E163" s="35"/>
      <c r="F163" s="35"/>
      <c r="G163" s="36"/>
      <c r="O163" s="19"/>
      <c r="P163" s="3"/>
      <c r="Q163" s="93" t="str" cm="1">
        <f t="array" ref="Q163">IF(ISNUMBER(O163),_xlfn._xlws.FILTER(PartsDB[Hrs_ShopAssy]*N163*O163,PartsDB[Catalog]=I163),"")</f>
        <v/>
      </c>
      <c r="R163" s="92" t="str" cm="1">
        <f t="array" ref="R163">IF(ISNUMBER(O163),_xlfn._xlws.FILTER(PartsDB[Hrs_Eng]*O163,PartsDB[Catalog]=I163),"")</f>
        <v/>
      </c>
      <c r="S163" s="92" t="str" cm="1">
        <f t="array" ref="S163">IF(ISNUMBER(O163),_xlfn._xlws.FILTER(PartsDB[Hrs_PanelAssy]*M163*O163,PartsDB[Catalog]=I163),"")</f>
        <v/>
      </c>
    </row>
    <row r="164" spans="1:19" ht="16.5" thickTop="1" thickBot="1" x14ac:dyDescent="0.3">
      <c r="A164" s="96" t="str">
        <f>IF(B164="","",MAX(A$4:A163)+1)</f>
        <v/>
      </c>
      <c r="B164" s="99" t="str">
        <f t="shared" si="6"/>
        <v/>
      </c>
      <c r="C164" s="35"/>
      <c r="D164" s="35"/>
      <c r="E164" s="35"/>
      <c r="F164" s="35"/>
      <c r="G164" s="36"/>
      <c r="O164" s="19"/>
      <c r="P164" s="3"/>
      <c r="Q164" s="93" t="str" cm="1">
        <f t="array" ref="Q164">IF(ISNUMBER(O164),_xlfn._xlws.FILTER(PartsDB[Hrs_ShopAssy]*N164*O164,PartsDB[Catalog]=I164),"")</f>
        <v/>
      </c>
      <c r="R164" s="92" t="str" cm="1">
        <f t="array" ref="R164">IF(ISNUMBER(O164),_xlfn._xlws.FILTER(PartsDB[Hrs_Eng]*O164,PartsDB[Catalog]=I164),"")</f>
        <v/>
      </c>
      <c r="S164" s="92" t="str" cm="1">
        <f t="array" ref="S164">IF(ISNUMBER(O164),_xlfn._xlws.FILTER(PartsDB[Hrs_PanelAssy]*M164*O164,PartsDB[Catalog]=I164),"")</f>
        <v/>
      </c>
    </row>
    <row r="165" spans="1:19" ht="16.5" thickTop="1" thickBot="1" x14ac:dyDescent="0.3">
      <c r="A165" s="96" t="str">
        <f>IF(B165="","",MAX(A$4:A164)+1)</f>
        <v/>
      </c>
      <c r="B165" s="99" t="str">
        <f t="shared" si="6"/>
        <v/>
      </c>
      <c r="C165" s="35"/>
      <c r="D165" s="35"/>
      <c r="E165" s="35"/>
      <c r="F165" s="35"/>
      <c r="G165" s="36"/>
      <c r="O165" s="19"/>
      <c r="P165" s="3"/>
      <c r="Q165" s="93" t="str" cm="1">
        <f t="array" ref="Q165">IF(ISNUMBER(O165),_xlfn._xlws.FILTER(PartsDB[Hrs_ShopAssy]*N165*O165,PartsDB[Catalog]=I165),"")</f>
        <v/>
      </c>
      <c r="R165" s="92" t="str" cm="1">
        <f t="array" ref="R165">IF(ISNUMBER(O165),_xlfn._xlws.FILTER(PartsDB[Hrs_Eng]*O165,PartsDB[Catalog]=I165),"")</f>
        <v/>
      </c>
      <c r="S165" s="92" t="str" cm="1">
        <f t="array" ref="S165">IF(ISNUMBER(O165),_xlfn._xlws.FILTER(PartsDB[Hrs_PanelAssy]*M165*O165,PartsDB[Catalog]=I165),"")</f>
        <v/>
      </c>
    </row>
    <row r="166" spans="1:19" ht="16.5" thickTop="1" thickBot="1" x14ac:dyDescent="0.3">
      <c r="A166" s="96" t="str">
        <f>IF(B166="","",MAX(A$4:A165)+1)</f>
        <v/>
      </c>
      <c r="B166" s="99" t="str">
        <f t="shared" si="6"/>
        <v/>
      </c>
      <c r="C166" s="35"/>
      <c r="D166" s="35"/>
      <c r="E166" s="35"/>
      <c r="F166" s="35"/>
      <c r="G166" s="36"/>
      <c r="O166" s="19"/>
      <c r="P166" s="3"/>
      <c r="Q166" s="93" t="str" cm="1">
        <f t="array" ref="Q166">IF(ISNUMBER(O166),_xlfn._xlws.FILTER(PartsDB[Hrs_ShopAssy]*N166*O166,PartsDB[Catalog]=I166),"")</f>
        <v/>
      </c>
      <c r="R166" s="92" t="str" cm="1">
        <f t="array" ref="R166">IF(ISNUMBER(O166),_xlfn._xlws.FILTER(PartsDB[Hrs_Eng]*O166,PartsDB[Catalog]=I166),"")</f>
        <v/>
      </c>
      <c r="S166" s="92" t="str" cm="1">
        <f t="array" ref="S166">IF(ISNUMBER(O166),_xlfn._xlws.FILTER(PartsDB[Hrs_PanelAssy]*M166*O166,PartsDB[Catalog]=I166),"")</f>
        <v/>
      </c>
    </row>
    <row r="167" spans="1:19" ht="16.5" thickTop="1" thickBot="1" x14ac:dyDescent="0.3">
      <c r="A167" s="96" t="str">
        <f>IF(B167="","",MAX(A$4:A166)+1)</f>
        <v/>
      </c>
      <c r="B167" s="99" t="str">
        <f t="shared" si="6"/>
        <v/>
      </c>
      <c r="C167" s="35"/>
      <c r="D167" s="35"/>
      <c r="E167" s="35"/>
      <c r="F167" s="35"/>
      <c r="G167" s="36"/>
      <c r="O167" s="19"/>
      <c r="P167" s="3"/>
      <c r="Q167" s="93" t="str" cm="1">
        <f t="array" ref="Q167">IF(ISNUMBER(O167),_xlfn._xlws.FILTER(PartsDB[Hrs_ShopAssy]*N167*O167,PartsDB[Catalog]=I167),"")</f>
        <v/>
      </c>
      <c r="R167" s="92" t="str" cm="1">
        <f t="array" ref="R167">IF(ISNUMBER(O167),_xlfn._xlws.FILTER(PartsDB[Hrs_Eng]*O167,PartsDB[Catalog]=I167),"")</f>
        <v/>
      </c>
      <c r="S167" s="92" t="str" cm="1">
        <f t="array" ref="S167">IF(ISNUMBER(O167),_xlfn._xlws.FILTER(PartsDB[Hrs_PanelAssy]*M167*O167,PartsDB[Catalog]=I167),"")</f>
        <v/>
      </c>
    </row>
    <row r="168" spans="1:19" ht="16.5" thickTop="1" thickBot="1" x14ac:dyDescent="0.3">
      <c r="A168" s="96" t="str">
        <f>IF(B168="","",MAX(A$4:A167)+1)</f>
        <v/>
      </c>
      <c r="B168" s="99" t="str">
        <f t="shared" si="6"/>
        <v/>
      </c>
      <c r="C168" s="35"/>
      <c r="D168" s="35"/>
      <c r="E168" s="35"/>
      <c r="F168" s="35"/>
      <c r="G168" s="36"/>
      <c r="O168" s="19"/>
      <c r="P168" s="3"/>
      <c r="Q168" s="93" t="str" cm="1">
        <f t="array" ref="Q168">IF(ISNUMBER(O168),_xlfn._xlws.FILTER(PartsDB[Hrs_ShopAssy]*N168*O168,PartsDB[Catalog]=I168),"")</f>
        <v/>
      </c>
      <c r="R168" s="92" t="str" cm="1">
        <f t="array" ref="R168">IF(ISNUMBER(O168),_xlfn._xlws.FILTER(PartsDB[Hrs_Eng]*O168,PartsDB[Catalog]=I168),"")</f>
        <v/>
      </c>
      <c r="S168" s="92" t="str" cm="1">
        <f t="array" ref="S168">IF(ISNUMBER(O168),_xlfn._xlws.FILTER(PartsDB[Hrs_PanelAssy]*M168*O168,PartsDB[Catalog]=I168),"")</f>
        <v/>
      </c>
    </row>
    <row r="169" spans="1:19" ht="16.5" thickTop="1" thickBot="1" x14ac:dyDescent="0.3">
      <c r="A169" s="96" t="str">
        <f>IF(B169="","",MAX(A$4:A168)+1)</f>
        <v/>
      </c>
      <c r="B169" s="99" t="str">
        <f t="shared" si="6"/>
        <v/>
      </c>
      <c r="C169" s="35"/>
      <c r="D169" s="35"/>
      <c r="E169" s="35"/>
      <c r="F169" s="35"/>
      <c r="G169" s="36"/>
      <c r="O169" s="19"/>
      <c r="P169" s="3"/>
      <c r="Q169" s="93" t="str" cm="1">
        <f t="array" ref="Q169">IF(ISNUMBER(O169),_xlfn._xlws.FILTER(PartsDB[Hrs_ShopAssy]*N169*O169,PartsDB[Catalog]=I169),"")</f>
        <v/>
      </c>
      <c r="R169" s="92" t="str" cm="1">
        <f t="array" ref="R169">IF(ISNUMBER(O169),_xlfn._xlws.FILTER(PartsDB[Hrs_Eng]*O169,PartsDB[Catalog]=I169),"")</f>
        <v/>
      </c>
      <c r="S169" s="92" t="str" cm="1">
        <f t="array" ref="S169">IF(ISNUMBER(O169),_xlfn._xlws.FILTER(PartsDB[Hrs_PanelAssy]*M169*O169,PartsDB[Catalog]=I169),"")</f>
        <v/>
      </c>
    </row>
    <row r="170" spans="1:19" ht="16.5" thickTop="1" thickBot="1" x14ac:dyDescent="0.3">
      <c r="A170" s="96" t="str">
        <f>IF(B170="","",MAX(A$4:A169)+1)</f>
        <v/>
      </c>
      <c r="B170" s="99" t="str">
        <f t="shared" si="6"/>
        <v/>
      </c>
      <c r="C170" s="35"/>
      <c r="D170" s="35"/>
      <c r="E170" s="35"/>
      <c r="F170" s="35"/>
      <c r="G170" s="36"/>
      <c r="O170" s="19"/>
      <c r="P170" s="3"/>
      <c r="Q170" s="93" t="str" cm="1">
        <f t="array" ref="Q170">IF(ISNUMBER(O170),_xlfn._xlws.FILTER(PartsDB[Hrs_ShopAssy]*N170*O170,PartsDB[Catalog]=I170),"")</f>
        <v/>
      </c>
      <c r="R170" s="92" t="str" cm="1">
        <f t="array" ref="R170">IF(ISNUMBER(O170),_xlfn._xlws.FILTER(PartsDB[Hrs_Eng]*O170,PartsDB[Catalog]=I170),"")</f>
        <v/>
      </c>
      <c r="S170" s="92" t="str" cm="1">
        <f t="array" ref="S170">IF(ISNUMBER(O170),_xlfn._xlws.FILTER(PartsDB[Hrs_PanelAssy]*M170*O170,PartsDB[Catalog]=I170),"")</f>
        <v/>
      </c>
    </row>
    <row r="171" spans="1:19" ht="16.5" thickTop="1" thickBot="1" x14ac:dyDescent="0.3">
      <c r="A171" s="96" t="str">
        <f>IF(B171="","",MAX(A$4:A170)+1)</f>
        <v/>
      </c>
      <c r="B171" s="99" t="str">
        <f t="shared" si="6"/>
        <v/>
      </c>
      <c r="C171" s="35"/>
      <c r="D171" s="35"/>
      <c r="E171" s="35"/>
      <c r="F171" s="35"/>
      <c r="G171" s="36"/>
      <c r="O171" s="19"/>
      <c r="P171" s="3"/>
      <c r="Q171" s="93" t="str" cm="1">
        <f t="array" ref="Q171">IF(ISNUMBER(O171),_xlfn._xlws.FILTER(PartsDB[Hrs_ShopAssy]*N171*O171,PartsDB[Catalog]=I171),"")</f>
        <v/>
      </c>
      <c r="R171" s="92" t="str" cm="1">
        <f t="array" ref="R171">IF(ISNUMBER(O171),_xlfn._xlws.FILTER(PartsDB[Hrs_Eng]*O171,PartsDB[Catalog]=I171),"")</f>
        <v/>
      </c>
      <c r="S171" s="92" t="str" cm="1">
        <f t="array" ref="S171">IF(ISNUMBER(O171),_xlfn._xlws.FILTER(PartsDB[Hrs_PanelAssy]*M171*O171,PartsDB[Catalog]=I171),"")</f>
        <v/>
      </c>
    </row>
    <row r="172" spans="1:19" ht="16.5" thickTop="1" thickBot="1" x14ac:dyDescent="0.3">
      <c r="A172" s="96" t="str">
        <f>IF(B172="","",MAX(A$4:A171)+1)</f>
        <v/>
      </c>
      <c r="B172" s="99" t="str">
        <f t="shared" si="6"/>
        <v/>
      </c>
      <c r="C172" s="35"/>
      <c r="D172" s="35"/>
      <c r="E172" s="35"/>
      <c r="F172" s="35"/>
      <c r="G172" s="36"/>
      <c r="O172" s="19"/>
      <c r="P172" s="3"/>
      <c r="Q172" s="93" t="str" cm="1">
        <f t="array" ref="Q172">IF(ISNUMBER(O172),_xlfn._xlws.FILTER(PartsDB[Hrs_ShopAssy]*N172*O172,PartsDB[Catalog]=I172),"")</f>
        <v/>
      </c>
      <c r="R172" s="92" t="str" cm="1">
        <f t="array" ref="R172">IF(ISNUMBER(O172),_xlfn._xlws.FILTER(PartsDB[Hrs_Eng]*O172,PartsDB[Catalog]=I172),"")</f>
        <v/>
      </c>
      <c r="S172" s="92" t="str" cm="1">
        <f t="array" ref="S172">IF(ISNUMBER(O172),_xlfn._xlws.FILTER(PartsDB[Hrs_PanelAssy]*M172*O172,PartsDB[Catalog]=I172),"")</f>
        <v/>
      </c>
    </row>
    <row r="173" spans="1:19" ht="16.5" thickTop="1" thickBot="1" x14ac:dyDescent="0.3">
      <c r="A173" s="96" t="str">
        <f>IF(B173="","",MAX(A$4:A172)+1)</f>
        <v/>
      </c>
      <c r="B173" s="99" t="str">
        <f t="shared" si="6"/>
        <v/>
      </c>
      <c r="C173" s="35"/>
      <c r="D173" s="35"/>
      <c r="E173" s="35"/>
      <c r="F173" s="35"/>
      <c r="G173" s="36"/>
      <c r="O173" s="19"/>
      <c r="P173" s="3"/>
      <c r="Q173" s="93" t="str" cm="1">
        <f t="array" ref="Q173">IF(ISNUMBER(O173),_xlfn._xlws.FILTER(PartsDB[Hrs_ShopAssy]*N173*O173,PartsDB[Catalog]=I173),"")</f>
        <v/>
      </c>
      <c r="R173" s="92" t="str" cm="1">
        <f t="array" ref="R173">IF(ISNUMBER(O173),_xlfn._xlws.FILTER(PartsDB[Hrs_Eng]*O173,PartsDB[Catalog]=I173),"")</f>
        <v/>
      </c>
      <c r="S173" s="92" t="str" cm="1">
        <f t="array" ref="S173">IF(ISNUMBER(O173),_xlfn._xlws.FILTER(PartsDB[Hrs_PanelAssy]*M173*O173,PartsDB[Catalog]=I173),"")</f>
        <v/>
      </c>
    </row>
    <row r="174" spans="1:19" ht="16.5" thickTop="1" thickBot="1" x14ac:dyDescent="0.3">
      <c r="A174" s="96" t="str">
        <f>IF(B174="","",MAX(A$4:A173)+1)</f>
        <v/>
      </c>
      <c r="B174" s="99" t="str">
        <f t="shared" si="6"/>
        <v/>
      </c>
      <c r="C174" s="35"/>
      <c r="D174" s="35"/>
      <c r="E174" s="35"/>
      <c r="F174" s="35"/>
      <c r="G174" s="36"/>
      <c r="O174" s="19"/>
      <c r="P174" s="3"/>
      <c r="Q174" s="93" t="str" cm="1">
        <f t="array" ref="Q174">IF(ISNUMBER(O174),_xlfn._xlws.FILTER(PartsDB[Hrs_ShopAssy]*N174*O174,PartsDB[Catalog]=I174),"")</f>
        <v/>
      </c>
      <c r="R174" s="92" t="str" cm="1">
        <f t="array" ref="R174">IF(ISNUMBER(O174),_xlfn._xlws.FILTER(PartsDB[Hrs_Eng]*O174,PartsDB[Catalog]=I174),"")</f>
        <v/>
      </c>
      <c r="S174" s="92" t="str" cm="1">
        <f t="array" ref="S174">IF(ISNUMBER(O174),_xlfn._xlws.FILTER(PartsDB[Hrs_PanelAssy]*M174*O174,PartsDB[Catalog]=I174),"")</f>
        <v/>
      </c>
    </row>
    <row r="175" spans="1:19" ht="16.5" thickTop="1" thickBot="1" x14ac:dyDescent="0.3">
      <c r="A175" s="96" t="str">
        <f>IF(B175="","",MAX(A$4:A174)+1)</f>
        <v/>
      </c>
      <c r="B175" s="99" t="str">
        <f t="shared" si="6"/>
        <v/>
      </c>
      <c r="C175" s="35"/>
      <c r="D175" s="35"/>
      <c r="E175" s="35"/>
      <c r="F175" s="35"/>
      <c r="G175" s="36"/>
      <c r="O175" s="19"/>
      <c r="P175" s="3"/>
      <c r="Q175" s="93" t="str" cm="1">
        <f t="array" ref="Q175">IF(ISNUMBER(O175),_xlfn._xlws.FILTER(PartsDB[Hrs_ShopAssy]*N175*O175,PartsDB[Catalog]=I175),"")</f>
        <v/>
      </c>
      <c r="R175" s="92" t="str" cm="1">
        <f t="array" ref="R175">IF(ISNUMBER(O175),_xlfn._xlws.FILTER(PartsDB[Hrs_Eng]*O175,PartsDB[Catalog]=I175),"")</f>
        <v/>
      </c>
      <c r="S175" s="92" t="str" cm="1">
        <f t="array" ref="S175">IF(ISNUMBER(O175),_xlfn._xlws.FILTER(PartsDB[Hrs_PanelAssy]*M175*O175,PartsDB[Catalog]=I175),"")</f>
        <v/>
      </c>
    </row>
    <row r="176" spans="1:19" ht="16.5" thickTop="1" thickBot="1" x14ac:dyDescent="0.3">
      <c r="A176" s="96" t="str">
        <f>IF(B176="","",MAX(A$4:A175)+1)</f>
        <v/>
      </c>
      <c r="B176" s="99" t="str">
        <f t="shared" si="6"/>
        <v/>
      </c>
      <c r="C176" s="35"/>
      <c r="D176" s="35"/>
      <c r="E176" s="35"/>
      <c r="F176" s="35"/>
      <c r="G176" s="36"/>
      <c r="O176" s="19"/>
      <c r="P176" s="3"/>
      <c r="Q176" s="93" t="str" cm="1">
        <f t="array" ref="Q176">IF(ISNUMBER(O176),_xlfn._xlws.FILTER(PartsDB[Hrs_ShopAssy]*N176*O176,PartsDB[Catalog]=I176),"")</f>
        <v/>
      </c>
      <c r="R176" s="92" t="str" cm="1">
        <f t="array" ref="R176">IF(ISNUMBER(O176),_xlfn._xlws.FILTER(PartsDB[Hrs_Eng]*O176,PartsDB[Catalog]=I176),"")</f>
        <v/>
      </c>
      <c r="S176" s="92" t="str" cm="1">
        <f t="array" ref="S176">IF(ISNUMBER(O176),_xlfn._xlws.FILTER(PartsDB[Hrs_PanelAssy]*M176*O176,PartsDB[Catalog]=I176),"")</f>
        <v/>
      </c>
    </row>
    <row r="177" spans="1:19" ht="16.5" thickTop="1" thickBot="1" x14ac:dyDescent="0.3">
      <c r="A177" s="96" t="str">
        <f>IF(B177="","",MAX(A$4:A176)+1)</f>
        <v/>
      </c>
      <c r="B177" s="99" t="str">
        <f t="shared" si="6"/>
        <v/>
      </c>
      <c r="C177" s="35"/>
      <c r="D177" s="35"/>
      <c r="E177" s="35"/>
      <c r="F177" s="35"/>
      <c r="G177" s="36"/>
      <c r="O177" s="19"/>
      <c r="P177" s="3"/>
      <c r="Q177" s="93" t="str" cm="1">
        <f t="array" ref="Q177">IF(ISNUMBER(O177),_xlfn._xlws.FILTER(PartsDB[Hrs_ShopAssy]*N177*O177,PartsDB[Catalog]=I177),"")</f>
        <v/>
      </c>
      <c r="R177" s="92" t="str" cm="1">
        <f t="array" ref="R177">IF(ISNUMBER(O177),_xlfn._xlws.FILTER(PartsDB[Hrs_Eng]*O177,PartsDB[Catalog]=I177),"")</f>
        <v/>
      </c>
      <c r="S177" s="92" t="str" cm="1">
        <f t="array" ref="S177">IF(ISNUMBER(O177),_xlfn._xlws.FILTER(PartsDB[Hrs_PanelAssy]*M177*O177,PartsDB[Catalog]=I177),"")</f>
        <v/>
      </c>
    </row>
    <row r="178" spans="1:19" ht="16.5" thickTop="1" thickBot="1" x14ac:dyDescent="0.3">
      <c r="A178" s="96" t="str">
        <f>IF(B178="","",MAX(A$4:A177)+1)</f>
        <v/>
      </c>
      <c r="B178" s="99" t="str">
        <f t="shared" si="6"/>
        <v/>
      </c>
      <c r="C178" s="35"/>
      <c r="D178" s="35"/>
      <c r="E178" s="35"/>
      <c r="F178" s="35"/>
      <c r="G178" s="36"/>
      <c r="O178" s="19"/>
      <c r="P178" s="3"/>
      <c r="Q178" s="93" t="str" cm="1">
        <f t="array" ref="Q178">IF(ISNUMBER(O178),_xlfn._xlws.FILTER(PartsDB[Hrs_ShopAssy]*N178*O178,PartsDB[Catalog]=I178),"")</f>
        <v/>
      </c>
      <c r="R178" s="92" t="str" cm="1">
        <f t="array" ref="R178">IF(ISNUMBER(O178),_xlfn._xlws.FILTER(PartsDB[Hrs_Eng]*O178,PartsDB[Catalog]=I178),"")</f>
        <v/>
      </c>
      <c r="S178" s="92" t="str" cm="1">
        <f t="array" ref="S178">IF(ISNUMBER(O178),_xlfn._xlws.FILTER(PartsDB[Hrs_PanelAssy]*M178*O178,PartsDB[Catalog]=I178),"")</f>
        <v/>
      </c>
    </row>
    <row r="179" spans="1:19" ht="16.5" thickTop="1" thickBot="1" x14ac:dyDescent="0.3">
      <c r="A179" s="96" t="str">
        <f>IF(B179="","",MAX(A$4:A178)+1)</f>
        <v/>
      </c>
      <c r="B179" s="99" t="str">
        <f t="shared" si="6"/>
        <v/>
      </c>
      <c r="C179" s="35"/>
      <c r="D179" s="35"/>
      <c r="E179" s="35"/>
      <c r="F179" s="35"/>
      <c r="G179" s="36"/>
      <c r="O179" s="19"/>
      <c r="P179" s="3"/>
      <c r="Q179" s="93" t="str" cm="1">
        <f t="array" ref="Q179">IF(ISNUMBER(O179),_xlfn._xlws.FILTER(PartsDB[Hrs_ShopAssy]*N179*O179,PartsDB[Catalog]=I179),"")</f>
        <v/>
      </c>
      <c r="R179" s="92" t="str" cm="1">
        <f t="array" ref="R179">IF(ISNUMBER(O179),_xlfn._xlws.FILTER(PartsDB[Hrs_Eng]*O179,PartsDB[Catalog]=I179),"")</f>
        <v/>
      </c>
      <c r="S179" s="92" t="str" cm="1">
        <f t="array" ref="S179">IF(ISNUMBER(O179),_xlfn._xlws.FILTER(PartsDB[Hrs_PanelAssy]*M179*O179,PartsDB[Catalog]=I179),"")</f>
        <v/>
      </c>
    </row>
    <row r="180" spans="1:19" ht="16.5" thickTop="1" thickBot="1" x14ac:dyDescent="0.3">
      <c r="A180" s="96" t="str">
        <f>IF(B180="","",MAX(A$4:A179)+1)</f>
        <v/>
      </c>
      <c r="B180" s="99" t="str">
        <f t="shared" si="6"/>
        <v/>
      </c>
      <c r="C180" s="35"/>
      <c r="D180" s="35"/>
      <c r="E180" s="35"/>
      <c r="F180" s="35"/>
      <c r="G180" s="36"/>
      <c r="O180" s="19"/>
      <c r="P180" s="3"/>
      <c r="Q180" s="93" t="str" cm="1">
        <f t="array" ref="Q180">IF(ISNUMBER(O180),_xlfn._xlws.FILTER(PartsDB[Hrs_ShopAssy]*N180*O180,PartsDB[Catalog]=I180),"")</f>
        <v/>
      </c>
      <c r="R180" s="92" t="str" cm="1">
        <f t="array" ref="R180">IF(ISNUMBER(O180),_xlfn._xlws.FILTER(PartsDB[Hrs_Eng]*O180,PartsDB[Catalog]=I180),"")</f>
        <v/>
      </c>
      <c r="S180" s="92" t="str" cm="1">
        <f t="array" ref="S180">IF(ISNUMBER(O180),_xlfn._xlws.FILTER(PartsDB[Hrs_PanelAssy]*M180*O180,PartsDB[Catalog]=I180),"")</f>
        <v/>
      </c>
    </row>
    <row r="181" spans="1:19" ht="16.5" thickTop="1" thickBot="1" x14ac:dyDescent="0.3">
      <c r="A181" s="96" t="str">
        <f>IF(B181="","",MAX(A$4:A180)+1)</f>
        <v/>
      </c>
      <c r="B181" s="99" t="str">
        <f t="shared" si="6"/>
        <v/>
      </c>
      <c r="C181" s="35"/>
      <c r="D181" s="35"/>
      <c r="E181" s="35"/>
      <c r="F181" s="35"/>
      <c r="G181" s="36"/>
      <c r="O181" s="19" t="str">
        <f t="shared" ref="O181:O201" si="9">IF(ISNUMBER(J181),J181,"")</f>
        <v/>
      </c>
      <c r="P181" s="3" t="str">
        <f t="shared" ref="P181:P199" si="10">IF(ISNUMBER(O181),O181*K181,"")</f>
        <v/>
      </c>
      <c r="Q181" s="93" t="str" cm="1">
        <f t="array" ref="Q181">IF(ISNUMBER(O181),_xlfn._xlws.FILTER(PartsDB[Hrs_ShopAssy]*N181*O181,PartsDB[Catalog]=I181),"")</f>
        <v/>
      </c>
      <c r="R181" s="92" t="str" cm="1">
        <f t="array" ref="R181">IF(ISNUMBER(O181),_xlfn._xlws.FILTER(PartsDB[Hrs_Eng]*O181,PartsDB[Catalog]=I181),"")</f>
        <v/>
      </c>
      <c r="S181" s="92" t="str" cm="1">
        <f t="array" ref="S181">IF(ISNUMBER(O181),_xlfn._xlws.FILTER(PartsDB[Hrs_PanelAssy]*M181*O181,PartsDB[Catalog]=I181),"")</f>
        <v/>
      </c>
    </row>
    <row r="182" spans="1:19" ht="16.5" thickTop="1" thickBot="1" x14ac:dyDescent="0.3">
      <c r="A182" s="96" t="str">
        <f>IF(B182="","",MAX(A$4:A181)+1)</f>
        <v/>
      </c>
      <c r="B182" s="99" t="str">
        <f t="shared" si="6"/>
        <v/>
      </c>
      <c r="C182" s="35"/>
      <c r="D182" s="35"/>
      <c r="E182" s="35"/>
      <c r="F182" s="35"/>
      <c r="G182" s="36"/>
      <c r="O182" s="19" t="str">
        <f t="shared" si="9"/>
        <v/>
      </c>
      <c r="P182" s="3" t="str">
        <f t="shared" si="10"/>
        <v/>
      </c>
      <c r="Q182" s="93" t="str" cm="1">
        <f t="array" ref="Q182">IF(ISNUMBER(O182),_xlfn._xlws.FILTER(PartsDB[Hrs_ShopAssy]*N182*O182,PartsDB[Catalog]=I182),"")</f>
        <v/>
      </c>
      <c r="R182" s="92" t="str" cm="1">
        <f t="array" ref="R182">IF(ISNUMBER(O182),_xlfn._xlws.FILTER(PartsDB[Hrs_Eng]*O182,PartsDB[Catalog]=I182),"")</f>
        <v/>
      </c>
      <c r="S182" s="92" t="str" cm="1">
        <f t="array" ref="S182">IF(ISNUMBER(O182),_xlfn._xlws.FILTER(PartsDB[Hrs_PanelAssy]*M182*O182,PartsDB[Catalog]=I182),"")</f>
        <v/>
      </c>
    </row>
    <row r="183" spans="1:19" ht="16.5" thickTop="1" thickBot="1" x14ac:dyDescent="0.3">
      <c r="A183" s="96" t="str">
        <f>IF(B183="","",MAX(A$4:A182)+1)</f>
        <v/>
      </c>
      <c r="B183" s="99" t="str">
        <f t="shared" si="6"/>
        <v/>
      </c>
      <c r="C183" s="35"/>
      <c r="D183" s="35"/>
      <c r="E183" s="35"/>
      <c r="F183" s="35"/>
      <c r="G183" s="36"/>
      <c r="O183" s="19" t="str">
        <f t="shared" si="9"/>
        <v/>
      </c>
      <c r="P183" s="3" t="str">
        <f t="shared" si="10"/>
        <v/>
      </c>
      <c r="Q183" s="93" t="str" cm="1">
        <f t="array" ref="Q183">IF(ISNUMBER(O183),_xlfn._xlws.FILTER(PartsDB[Hrs_ShopAssy]*N183*O183,PartsDB[Catalog]=I183),"")</f>
        <v/>
      </c>
      <c r="R183" s="92" t="str" cm="1">
        <f t="array" ref="R183">IF(ISNUMBER(O183),_xlfn._xlws.FILTER(PartsDB[Hrs_Eng]*O183,PartsDB[Catalog]=I183),"")</f>
        <v/>
      </c>
      <c r="S183" s="92" t="str" cm="1">
        <f t="array" ref="S183">IF(ISNUMBER(O183),_xlfn._xlws.FILTER(PartsDB[Hrs_PanelAssy]*M183*O183,PartsDB[Catalog]=I183),"")</f>
        <v/>
      </c>
    </row>
    <row r="184" spans="1:19" ht="16.5" thickTop="1" thickBot="1" x14ac:dyDescent="0.3">
      <c r="A184" s="96" t="str">
        <f>IF(B184="","",MAX(A$4:A183)+1)</f>
        <v/>
      </c>
      <c r="B184" s="99" t="str">
        <f t="shared" si="6"/>
        <v/>
      </c>
      <c r="C184" s="35"/>
      <c r="D184" s="35"/>
      <c r="E184" s="35"/>
      <c r="F184" s="35"/>
      <c r="G184" s="36"/>
      <c r="O184" s="19" t="str">
        <f t="shared" si="9"/>
        <v/>
      </c>
      <c r="P184" s="3" t="str">
        <f t="shared" si="10"/>
        <v/>
      </c>
      <c r="Q184" s="93" t="str" cm="1">
        <f t="array" ref="Q184">IF(ISNUMBER(O184),_xlfn._xlws.FILTER(PartsDB[Hrs_ShopAssy]*N184*O184,PartsDB[Catalog]=I184),"")</f>
        <v/>
      </c>
      <c r="R184" s="92" t="str" cm="1">
        <f t="array" ref="R184">IF(ISNUMBER(O184),_xlfn._xlws.FILTER(PartsDB[Hrs_Eng]*O184,PartsDB[Catalog]=I184),"")</f>
        <v/>
      </c>
      <c r="S184" s="92" t="str" cm="1">
        <f t="array" ref="S184">IF(ISNUMBER(O184),_xlfn._xlws.FILTER(PartsDB[Hrs_PanelAssy]*M184*O184,PartsDB[Catalog]=I184),"")</f>
        <v/>
      </c>
    </row>
    <row r="185" spans="1:19" ht="16.5" thickTop="1" thickBot="1" x14ac:dyDescent="0.3">
      <c r="A185" s="96" t="str">
        <f>IF(B185="","",MAX(A$4:A184)+1)</f>
        <v/>
      </c>
      <c r="B185" s="99" t="str">
        <f t="shared" si="6"/>
        <v/>
      </c>
      <c r="C185" s="35"/>
      <c r="D185" s="35"/>
      <c r="E185" s="35"/>
      <c r="F185" s="35"/>
      <c r="G185" s="36"/>
      <c r="O185" s="19" t="str">
        <f t="shared" si="9"/>
        <v/>
      </c>
      <c r="P185" s="3" t="str">
        <f t="shared" si="10"/>
        <v/>
      </c>
      <c r="Q185" s="93" t="str" cm="1">
        <f t="array" ref="Q185">IF(ISNUMBER(O185),_xlfn._xlws.FILTER(PartsDB[Hrs_ShopAssy]*N185*O185,PartsDB[Catalog]=I185),"")</f>
        <v/>
      </c>
      <c r="R185" s="92" t="str" cm="1">
        <f t="array" ref="R185">IF(ISNUMBER(O185),_xlfn._xlws.FILTER(PartsDB[Hrs_Eng]*O185,PartsDB[Catalog]=I185),"")</f>
        <v/>
      </c>
      <c r="S185" s="92" t="str" cm="1">
        <f t="array" ref="S185">IF(ISNUMBER(O185),_xlfn._xlws.FILTER(PartsDB[Hrs_PanelAssy]*M185*O185,PartsDB[Catalog]=I185),"")</f>
        <v/>
      </c>
    </row>
    <row r="186" spans="1:19" ht="16.5" thickTop="1" thickBot="1" x14ac:dyDescent="0.3">
      <c r="A186" s="96" t="str">
        <f>IF(B186="","",MAX(A$4:A185)+1)</f>
        <v/>
      </c>
      <c r="B186" s="99" t="str">
        <f t="shared" si="6"/>
        <v/>
      </c>
      <c r="C186" s="35"/>
      <c r="D186" s="35"/>
      <c r="E186" s="35"/>
      <c r="F186" s="35"/>
      <c r="G186" s="36"/>
      <c r="O186" s="19" t="str">
        <f t="shared" si="9"/>
        <v/>
      </c>
      <c r="P186" s="3" t="str">
        <f t="shared" si="10"/>
        <v/>
      </c>
      <c r="Q186" s="93" t="str" cm="1">
        <f t="array" ref="Q186">IF(ISNUMBER(O186),_xlfn._xlws.FILTER(PartsDB[Hrs_ShopAssy]*N186*O186,PartsDB[Catalog]=I186),"")</f>
        <v/>
      </c>
      <c r="R186" s="92" t="str" cm="1">
        <f t="array" ref="R186">IF(ISNUMBER(O186),_xlfn._xlws.FILTER(PartsDB[Hrs_Eng]*O186,PartsDB[Catalog]=I186),"")</f>
        <v/>
      </c>
      <c r="S186" s="92" t="str" cm="1">
        <f t="array" ref="S186">IF(ISNUMBER(O186),_xlfn._xlws.FILTER(PartsDB[Hrs_PanelAssy]*M186*O186,PartsDB[Catalog]=I186),"")</f>
        <v/>
      </c>
    </row>
    <row r="187" spans="1:19" ht="16.5" thickTop="1" thickBot="1" x14ac:dyDescent="0.3">
      <c r="A187" s="96" t="str">
        <f>IF(B187="","",MAX(A$4:A186)+1)</f>
        <v/>
      </c>
      <c r="B187" s="99" t="str">
        <f t="shared" si="6"/>
        <v/>
      </c>
      <c r="C187" s="35"/>
      <c r="D187" s="35"/>
      <c r="E187" s="35"/>
      <c r="F187" s="35"/>
      <c r="G187" s="36"/>
      <c r="O187" s="19" t="str">
        <f t="shared" si="9"/>
        <v/>
      </c>
      <c r="P187" s="3" t="str">
        <f t="shared" si="10"/>
        <v/>
      </c>
      <c r="Q187" s="93" t="str" cm="1">
        <f t="array" ref="Q187">IF(ISNUMBER(O187),_xlfn._xlws.FILTER(PartsDB[Hrs_ShopAssy]*N187*O187,PartsDB[Catalog]=I187),"")</f>
        <v/>
      </c>
      <c r="R187" s="92" t="str" cm="1">
        <f t="array" ref="R187">IF(ISNUMBER(O187),_xlfn._xlws.FILTER(PartsDB[Hrs_Eng]*O187,PartsDB[Catalog]=I187),"")</f>
        <v/>
      </c>
      <c r="S187" s="92" t="str" cm="1">
        <f t="array" ref="S187">IF(ISNUMBER(O187),_xlfn._xlws.FILTER(PartsDB[Hrs_PanelAssy]*M187*O187,PartsDB[Catalog]=I187),"")</f>
        <v/>
      </c>
    </row>
    <row r="188" spans="1:19" ht="16.5" thickTop="1" thickBot="1" x14ac:dyDescent="0.3">
      <c r="A188" s="96" t="str">
        <f>IF(B188="","",MAX(A$4:A187)+1)</f>
        <v/>
      </c>
      <c r="B188" s="99" t="str">
        <f t="shared" si="6"/>
        <v/>
      </c>
      <c r="C188" s="35"/>
      <c r="D188" s="35"/>
      <c r="E188" s="35"/>
      <c r="F188" s="35"/>
      <c r="G188" s="36"/>
      <c r="O188" s="19" t="str">
        <f t="shared" si="9"/>
        <v/>
      </c>
      <c r="P188" s="3" t="str">
        <f t="shared" si="10"/>
        <v/>
      </c>
      <c r="Q188" s="93" t="str" cm="1">
        <f t="array" ref="Q188">IF(ISNUMBER(O188),_xlfn._xlws.FILTER(PartsDB[Hrs_ShopAssy]*N188*O188,PartsDB[Catalog]=I188),"")</f>
        <v/>
      </c>
      <c r="R188" s="92" t="str" cm="1">
        <f t="array" ref="R188">IF(ISNUMBER(O188),_xlfn._xlws.FILTER(PartsDB[Hrs_Eng]*O188,PartsDB[Catalog]=I188),"")</f>
        <v/>
      </c>
      <c r="S188" s="92" t="str" cm="1">
        <f t="array" ref="S188">IF(ISNUMBER(O188),_xlfn._xlws.FILTER(PartsDB[Hrs_PanelAssy]*M188*O188,PartsDB[Catalog]=I188),"")</f>
        <v/>
      </c>
    </row>
    <row r="189" spans="1:19" ht="16.5" thickTop="1" thickBot="1" x14ac:dyDescent="0.3">
      <c r="A189" s="96" t="str">
        <f>IF(B189="","",MAX(A$4:A188)+1)</f>
        <v/>
      </c>
      <c r="B189" s="99" t="str">
        <f t="shared" si="6"/>
        <v/>
      </c>
      <c r="C189" s="35"/>
      <c r="D189" s="35"/>
      <c r="E189" s="35"/>
      <c r="F189" s="35"/>
      <c r="G189" s="36"/>
      <c r="O189" s="19" t="str">
        <f t="shared" si="9"/>
        <v/>
      </c>
      <c r="P189" s="3" t="str">
        <f t="shared" si="10"/>
        <v/>
      </c>
      <c r="Q189" s="93" t="str" cm="1">
        <f t="array" ref="Q189">IF(ISNUMBER(O189),_xlfn._xlws.FILTER(PartsDB[Hrs_ShopAssy]*N189*O189,PartsDB[Catalog]=I189),"")</f>
        <v/>
      </c>
      <c r="R189" s="92" t="str" cm="1">
        <f t="array" ref="R189">IF(ISNUMBER(O189),_xlfn._xlws.FILTER(PartsDB[Hrs_Eng]*O189,PartsDB[Catalog]=I189),"")</f>
        <v/>
      </c>
      <c r="S189" s="92" t="str" cm="1">
        <f t="array" ref="S189">IF(ISNUMBER(O189),_xlfn._xlws.FILTER(PartsDB[Hrs_PanelAssy]*M189*O189,PartsDB[Catalog]=I189),"")</f>
        <v/>
      </c>
    </row>
    <row r="190" spans="1:19" ht="16.5" thickTop="1" thickBot="1" x14ac:dyDescent="0.3">
      <c r="A190" s="96" t="str">
        <f>IF(B190="","",MAX(A$4:A189)+1)</f>
        <v/>
      </c>
      <c r="B190" s="99" t="str">
        <f t="shared" si="6"/>
        <v/>
      </c>
      <c r="C190" s="35"/>
      <c r="D190" s="35"/>
      <c r="E190" s="35"/>
      <c r="F190" s="35"/>
      <c r="G190" s="36"/>
      <c r="O190" s="19" t="str">
        <f t="shared" si="9"/>
        <v/>
      </c>
      <c r="P190" s="3" t="str">
        <f t="shared" si="10"/>
        <v/>
      </c>
      <c r="Q190" s="93" t="str" cm="1">
        <f t="array" ref="Q190">IF(ISNUMBER(O190),_xlfn._xlws.FILTER(PartsDB[Hrs_ShopAssy]*N190*O190,PartsDB[Catalog]=I190),"")</f>
        <v/>
      </c>
      <c r="R190" s="92" t="str" cm="1">
        <f t="array" ref="R190">IF(ISNUMBER(O190),_xlfn._xlws.FILTER(PartsDB[Hrs_Eng]*O190,PartsDB[Catalog]=I190),"")</f>
        <v/>
      </c>
      <c r="S190" s="92" t="str" cm="1">
        <f t="array" ref="S190">IF(ISNUMBER(O190),_xlfn._xlws.FILTER(PartsDB[Hrs_PanelAssy]*M190*O190,PartsDB[Catalog]=I190),"")</f>
        <v/>
      </c>
    </row>
    <row r="191" spans="1:19" ht="16.5" thickTop="1" thickBot="1" x14ac:dyDescent="0.3">
      <c r="A191" s="96" t="str">
        <f>IF(B191="","",MAX(A$4:A190)+1)</f>
        <v/>
      </c>
      <c r="B191" s="99" t="str">
        <f t="shared" si="6"/>
        <v/>
      </c>
      <c r="C191" s="35"/>
      <c r="D191" s="35"/>
      <c r="E191" s="35"/>
      <c r="F191" s="35"/>
      <c r="G191" s="36"/>
      <c r="O191" s="19" t="str">
        <f t="shared" si="9"/>
        <v/>
      </c>
      <c r="P191" s="3" t="str">
        <f t="shared" si="10"/>
        <v/>
      </c>
      <c r="Q191" s="93" t="str" cm="1">
        <f t="array" ref="Q191">IF(ISNUMBER(O191),_xlfn._xlws.FILTER(PartsDB[Hrs_ShopAssy]*N191*O191,PartsDB[Catalog]=I191),"")</f>
        <v/>
      </c>
      <c r="R191" s="92" t="str" cm="1">
        <f t="array" ref="R191">IF(ISNUMBER(O191),_xlfn._xlws.FILTER(PartsDB[Hrs_Eng]*O191,PartsDB[Catalog]=I191),"")</f>
        <v/>
      </c>
      <c r="S191" s="92" t="str" cm="1">
        <f t="array" ref="S191">IF(ISNUMBER(O191),_xlfn._xlws.FILTER(PartsDB[Hrs_PanelAssy]*M191*O191,PartsDB[Catalog]=I191),"")</f>
        <v/>
      </c>
    </row>
    <row r="192" spans="1:19" ht="16.5" thickTop="1" thickBot="1" x14ac:dyDescent="0.3">
      <c r="A192" s="96" t="str">
        <f>IF(B192="","",MAX(A$4:A191)+1)</f>
        <v/>
      </c>
      <c r="B192" s="99" t="str">
        <f t="shared" si="6"/>
        <v/>
      </c>
      <c r="C192" s="35"/>
      <c r="D192" s="35"/>
      <c r="E192" s="35"/>
      <c r="F192" s="35"/>
      <c r="G192" s="36"/>
      <c r="O192" s="19" t="str">
        <f t="shared" si="9"/>
        <v/>
      </c>
      <c r="P192" s="3" t="str">
        <f t="shared" si="10"/>
        <v/>
      </c>
      <c r="Q192" s="93" t="str" cm="1">
        <f t="array" ref="Q192">IF(ISNUMBER(O192),_xlfn._xlws.FILTER(PartsDB[Hrs_ShopAssy]*N192*O192,PartsDB[Catalog]=I192),"")</f>
        <v/>
      </c>
      <c r="R192" s="92" t="str" cm="1">
        <f t="array" ref="R192">IF(ISNUMBER(O192),_xlfn._xlws.FILTER(PartsDB[Hrs_Eng]*O192,PartsDB[Catalog]=I192),"")</f>
        <v/>
      </c>
      <c r="S192" s="92" t="str" cm="1">
        <f t="array" ref="S192">IF(ISNUMBER(O192),_xlfn._xlws.FILTER(PartsDB[Hrs_PanelAssy]*M192*O192,PartsDB[Catalog]=I192),"")</f>
        <v/>
      </c>
    </row>
    <row r="193" spans="1:19" ht="16.5" thickTop="1" thickBot="1" x14ac:dyDescent="0.3">
      <c r="A193" s="96" t="str">
        <f>IF(B193="","",MAX(A$4:A192)+1)</f>
        <v/>
      </c>
      <c r="B193" s="99" t="str">
        <f t="shared" si="6"/>
        <v/>
      </c>
      <c r="C193" s="35"/>
      <c r="D193" s="35"/>
      <c r="E193" s="35"/>
      <c r="F193" s="35"/>
      <c r="G193" s="36"/>
      <c r="O193" s="19" t="str">
        <f t="shared" si="9"/>
        <v/>
      </c>
      <c r="P193" s="3" t="str">
        <f t="shared" si="10"/>
        <v/>
      </c>
      <c r="Q193" s="93" t="str" cm="1">
        <f t="array" ref="Q193">IF(ISNUMBER(O193),_xlfn._xlws.FILTER(PartsDB[Hrs_ShopAssy]*N193*O193,PartsDB[Catalog]=I193),"")</f>
        <v/>
      </c>
      <c r="R193" s="92" t="str" cm="1">
        <f t="array" ref="R193">IF(ISNUMBER(O193),_xlfn._xlws.FILTER(PartsDB[Hrs_Eng]*O193,PartsDB[Catalog]=I193),"")</f>
        <v/>
      </c>
      <c r="S193" s="92" t="str" cm="1">
        <f t="array" ref="S193">IF(ISNUMBER(O193),_xlfn._xlws.FILTER(PartsDB[Hrs_PanelAssy]*M193*O193,PartsDB[Catalog]=I193),"")</f>
        <v/>
      </c>
    </row>
    <row r="194" spans="1:19" ht="16.5" thickTop="1" thickBot="1" x14ac:dyDescent="0.3">
      <c r="A194" s="96" t="str">
        <f>IF(B194="","",MAX(A$4:A193)+1)</f>
        <v/>
      </c>
      <c r="B194" s="99" t="str">
        <f t="shared" si="6"/>
        <v/>
      </c>
      <c r="C194" s="35"/>
      <c r="D194" s="35"/>
      <c r="E194" s="35"/>
      <c r="F194" s="35"/>
      <c r="G194" s="36"/>
      <c r="O194" s="19" t="str">
        <f t="shared" si="9"/>
        <v/>
      </c>
      <c r="P194" s="3" t="str">
        <f t="shared" si="10"/>
        <v/>
      </c>
      <c r="Q194" s="93" t="str" cm="1">
        <f t="array" ref="Q194">IF(ISNUMBER(O194),_xlfn._xlws.FILTER(PartsDB[Hrs_ShopAssy]*N194*O194,PartsDB[Catalog]=I194),"")</f>
        <v/>
      </c>
      <c r="R194" s="92" t="str" cm="1">
        <f t="array" ref="R194">IF(ISNUMBER(O194),_xlfn._xlws.FILTER(PartsDB[Hrs_Eng]*O194,PartsDB[Catalog]=I194),"")</f>
        <v/>
      </c>
      <c r="S194" s="92" t="str" cm="1">
        <f t="array" ref="S194">IF(ISNUMBER(O194),_xlfn._xlws.FILTER(PartsDB[Hrs_PanelAssy]*M194*O194,PartsDB[Catalog]=I194),"")</f>
        <v/>
      </c>
    </row>
    <row r="195" spans="1:19" ht="16.5" thickTop="1" thickBot="1" x14ac:dyDescent="0.3">
      <c r="A195" s="96" t="str">
        <f>IF(B195="","",MAX(A$4:A194)+1)</f>
        <v/>
      </c>
      <c r="B195" s="99" t="str">
        <f t="shared" si="6"/>
        <v/>
      </c>
      <c r="C195" s="35"/>
      <c r="D195" s="35"/>
      <c r="E195" s="35"/>
      <c r="F195" s="35"/>
      <c r="G195" s="36"/>
      <c r="O195" s="19" t="str">
        <f t="shared" si="9"/>
        <v/>
      </c>
      <c r="P195" s="3" t="str">
        <f t="shared" si="10"/>
        <v/>
      </c>
      <c r="Q195" s="93" t="str" cm="1">
        <f t="array" ref="Q195">IF(ISNUMBER(O195),_xlfn._xlws.FILTER(PartsDB[Hrs_ShopAssy]*N195*O195,PartsDB[Catalog]=I195),"")</f>
        <v/>
      </c>
      <c r="R195" s="92" t="str" cm="1">
        <f t="array" ref="R195">IF(ISNUMBER(O195),_xlfn._xlws.FILTER(PartsDB[Hrs_Eng]*O195,PartsDB[Catalog]=I195),"")</f>
        <v/>
      </c>
      <c r="S195" s="92" t="str" cm="1">
        <f t="array" ref="S195">IF(ISNUMBER(O195),_xlfn._xlws.FILTER(PartsDB[Hrs_PanelAssy]*M195*O195,PartsDB[Catalog]=I195),"")</f>
        <v/>
      </c>
    </row>
    <row r="196" spans="1:19" ht="16.5" thickTop="1" thickBot="1" x14ac:dyDescent="0.3">
      <c r="A196" s="96" t="str">
        <f>IF(B196="","",MAX(A$4:A195)+1)</f>
        <v/>
      </c>
      <c r="B196" s="99" t="str">
        <f t="shared" si="6"/>
        <v/>
      </c>
      <c r="C196" s="35"/>
      <c r="D196" s="35"/>
      <c r="E196" s="35"/>
      <c r="F196" s="35"/>
      <c r="G196" s="36"/>
      <c r="O196" s="19" t="str">
        <f t="shared" si="9"/>
        <v/>
      </c>
      <c r="P196" s="3" t="str">
        <f t="shared" si="10"/>
        <v/>
      </c>
      <c r="Q196" s="93" t="str" cm="1">
        <f t="array" ref="Q196">IF(ISNUMBER(O196),_xlfn._xlws.FILTER(PartsDB[Hrs_ShopAssy]*N196*O196,PartsDB[Catalog]=I196),"")</f>
        <v/>
      </c>
      <c r="R196" s="92" t="str" cm="1">
        <f t="array" ref="R196">IF(ISNUMBER(O196),_xlfn._xlws.FILTER(PartsDB[Hrs_Eng]*O196,PartsDB[Catalog]=I196),"")</f>
        <v/>
      </c>
      <c r="S196" s="92" t="str" cm="1">
        <f t="array" ref="S196">IF(ISNUMBER(O196),_xlfn._xlws.FILTER(PartsDB[Hrs_PanelAssy]*M196*O196,PartsDB[Catalog]=I196),"")</f>
        <v/>
      </c>
    </row>
    <row r="197" spans="1:19" ht="16.5" thickTop="1" thickBot="1" x14ac:dyDescent="0.3">
      <c r="A197" s="96" t="str">
        <f>IF(B197="","",MAX(A$4:A196)+1)</f>
        <v/>
      </c>
      <c r="B197" s="99" t="str">
        <f t="shared" ref="B197:B200" si="11">IF(OR(ISBLANK($B$2),ISBLANK(D197)),"",$B$2)</f>
        <v/>
      </c>
      <c r="C197" s="35"/>
      <c r="D197" s="35"/>
      <c r="E197" s="35"/>
      <c r="F197" s="35"/>
      <c r="G197" s="36"/>
      <c r="O197" s="19" t="str">
        <f t="shared" si="9"/>
        <v/>
      </c>
      <c r="P197" s="3" t="str">
        <f t="shared" si="10"/>
        <v/>
      </c>
      <c r="Q197" s="93" t="str" cm="1">
        <f t="array" ref="Q197">IF(ISNUMBER(O197),_xlfn._xlws.FILTER(PartsDB[Hrs_ShopAssy]*N197*O197,PartsDB[Catalog]=I197),"")</f>
        <v/>
      </c>
      <c r="R197" s="92" t="str" cm="1">
        <f t="array" ref="R197">IF(ISNUMBER(O197),_xlfn._xlws.FILTER(PartsDB[Hrs_Eng]*O197,PartsDB[Catalog]=I197),"")</f>
        <v/>
      </c>
      <c r="S197" s="92" t="str" cm="1">
        <f t="array" ref="S197">IF(ISNUMBER(O197),_xlfn._xlws.FILTER(PartsDB[Hrs_PanelAssy]*M197*O197,PartsDB[Catalog]=I197),"")</f>
        <v/>
      </c>
    </row>
    <row r="198" spans="1:19" ht="16.5" thickTop="1" thickBot="1" x14ac:dyDescent="0.3">
      <c r="A198" s="96" t="str">
        <f>IF(B198="","",MAX(A$4:A197)+1)</f>
        <v/>
      </c>
      <c r="B198" s="99" t="str">
        <f t="shared" si="11"/>
        <v/>
      </c>
      <c r="C198" s="35"/>
      <c r="D198" s="35"/>
      <c r="E198" s="35"/>
      <c r="F198" s="35"/>
      <c r="G198" s="36"/>
      <c r="O198" s="19" t="str">
        <f t="shared" si="9"/>
        <v/>
      </c>
      <c r="P198" s="3" t="str">
        <f t="shared" si="10"/>
        <v/>
      </c>
      <c r="Q198" s="93" t="str" cm="1">
        <f t="array" ref="Q198">IF(ISNUMBER(O198),_xlfn._xlws.FILTER(PartsDB[Hrs_ShopAssy]*N198*O198,PartsDB[Catalog]=I198),"")</f>
        <v/>
      </c>
      <c r="R198" s="92" t="str" cm="1">
        <f t="array" ref="R198">IF(ISNUMBER(O198),_xlfn._xlws.FILTER(PartsDB[Hrs_Eng]*O198,PartsDB[Catalog]=I198),"")</f>
        <v/>
      </c>
      <c r="S198" s="92" t="str" cm="1">
        <f t="array" ref="S198">IF(ISNUMBER(O198),_xlfn._xlws.FILTER(PartsDB[Hrs_PanelAssy]*M198*O198,PartsDB[Catalog]=I198),"")</f>
        <v/>
      </c>
    </row>
    <row r="199" spans="1:19" ht="16.5" thickTop="1" thickBot="1" x14ac:dyDescent="0.3">
      <c r="A199" s="96" t="str">
        <f>IF(B199="","",MAX(A$4:A198)+1)</f>
        <v/>
      </c>
      <c r="B199" s="99" t="str">
        <f t="shared" si="11"/>
        <v/>
      </c>
      <c r="C199" s="35"/>
      <c r="D199" s="35"/>
      <c r="E199" s="35"/>
      <c r="F199" s="35"/>
      <c r="G199" s="36"/>
      <c r="O199" s="19" t="str">
        <f t="shared" si="9"/>
        <v/>
      </c>
      <c r="P199" s="3" t="str">
        <f t="shared" si="10"/>
        <v/>
      </c>
      <c r="Q199" s="93" t="str" cm="1">
        <f t="array" ref="Q199">IF(ISNUMBER(O199),_xlfn._xlws.FILTER(PartsDB[Hrs_ShopAssy]*N199*O199,PartsDB[Catalog]=I199),"")</f>
        <v/>
      </c>
      <c r="R199" s="92" t="str" cm="1">
        <f t="array" ref="R199">IF(ISNUMBER(O199),_xlfn._xlws.FILTER(PartsDB[Hrs_Eng]*O199,PartsDB[Catalog]=I199),"")</f>
        <v/>
      </c>
      <c r="S199" s="92" t="str" cm="1">
        <f t="array" ref="S199">IF(ISNUMBER(O199),_xlfn._xlws.FILTER(PartsDB[Hrs_PanelAssy]*M199*O199,PartsDB[Catalog]=I199),"")</f>
        <v/>
      </c>
    </row>
    <row r="200" spans="1:19" ht="16.5" thickTop="1" thickBot="1" x14ac:dyDescent="0.3">
      <c r="A200" s="96" t="str">
        <f>IF(B200="","",MAX(A$4:A199)+1)</f>
        <v/>
      </c>
      <c r="B200" s="99" t="str">
        <f t="shared" si="11"/>
        <v/>
      </c>
      <c r="C200" s="35"/>
      <c r="D200" s="35"/>
      <c r="E200" s="35"/>
      <c r="F200" s="35"/>
      <c r="G200" s="36"/>
      <c r="O200" s="19" t="str">
        <f t="shared" si="9"/>
        <v/>
      </c>
      <c r="P200" s="22">
        <f>SUM(P4:P199)</f>
        <v>0</v>
      </c>
      <c r="Q200" s="92">
        <f t="shared" ref="Q200:S200" si="12">SUM(Q4:Q199)</f>
        <v>0</v>
      </c>
      <c r="R200" s="92">
        <f t="shared" si="12"/>
        <v>0</v>
      </c>
      <c r="S200" s="92">
        <f t="shared" si="12"/>
        <v>0</v>
      </c>
    </row>
    <row r="201" spans="1:19" ht="15.75" thickTop="1" x14ac:dyDescent="0.25">
      <c r="A201" s="97"/>
      <c r="B201" s="95"/>
      <c r="C201" s="86"/>
      <c r="D201" s="86"/>
      <c r="E201" s="86"/>
      <c r="F201" s="86"/>
      <c r="G201" s="95"/>
      <c r="H201" s="127"/>
      <c r="I201" s="86"/>
      <c r="J201" s="86"/>
      <c r="K201" s="88"/>
      <c r="L201" s="86"/>
      <c r="M201" s="86"/>
      <c r="N201" s="86"/>
      <c r="O201" s="87" t="str">
        <f t="shared" si="9"/>
        <v/>
      </c>
      <c r="P201" s="88" t="str">
        <f t="shared" ref="P201" si="13">IF(ISNUMBER(O201),O201*K201,"")</f>
        <v/>
      </c>
      <c r="Q201" s="94"/>
      <c r="R201" s="94"/>
      <c r="S201" s="94"/>
    </row>
  </sheetData>
  <protectedRanges>
    <protectedRange sqref="T4:U200" name="Range4"/>
    <protectedRange sqref="O4:O199" name="Range3"/>
    <protectedRange sqref="C4:H199" name="Range2"/>
    <protectedRange sqref="A2:D2" name="Range1"/>
  </protectedRanges>
  <conditionalFormatting sqref="O3:O201">
    <cfRule type="expression" dxfId="45" priority="1">
      <formula>J3&lt;&gt;O3</formula>
    </cfRule>
  </conditionalFormatting>
  <hyperlinks>
    <hyperlink ref="H1" location="Est_Summary!A1" display="Est_Summary!A1" xr:uid="{F7C187EB-B99B-4427-ABA7-6883FB5CE09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80" r:id="rId3" name="Button 12">
              <controlPr defaultSize="0" print="0" autoFill="0" autoPict="0" macro="[0]!ToggleSheetProtection">
                <anchor moveWithCells="1" sizeWithCells="1">
                  <from>
                    <xdr:col>4</xdr:col>
                    <xdr:colOff>447675</xdr:colOff>
                    <xdr:row>0</xdr:row>
                    <xdr:rowOff>85725</xdr:rowOff>
                  </from>
                  <to>
                    <xdr:col>5</xdr:col>
                    <xdr:colOff>895350</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EC225-B7EB-46E4-9372-4364E7240A50}">
  <sheetPr codeName="Sheet11"/>
  <dimension ref="A1:A4"/>
  <sheetViews>
    <sheetView workbookViewId="0">
      <selection activeCell="A2" sqref="A2:A4"/>
    </sheetView>
    <sheetView workbookViewId="1"/>
  </sheetViews>
  <sheetFormatPr defaultRowHeight="15" x14ac:dyDescent="0.25"/>
  <cols>
    <col min="1" max="1" width="12.28515625" customWidth="1"/>
  </cols>
  <sheetData>
    <row r="1" spans="1:1" x14ac:dyDescent="0.25">
      <c r="A1" s="15" t="s">
        <v>1316</v>
      </c>
    </row>
    <row r="2" spans="1:1" x14ac:dyDescent="0.25">
      <c r="A2" s="79"/>
    </row>
    <row r="3" spans="1:1" x14ac:dyDescent="0.25">
      <c r="A3" s="79"/>
    </row>
    <row r="4" spans="1:1" x14ac:dyDescent="0.25">
      <c r="A4" s="79"/>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E2ADA-2BEC-4E37-9D62-F644BB0CC949}">
  <sheetPr codeName="Sheet4"/>
  <dimension ref="A1:I32"/>
  <sheetViews>
    <sheetView workbookViewId="0">
      <selection sqref="A1:I1"/>
    </sheetView>
    <sheetView workbookViewId="1">
      <selection sqref="A1:I1"/>
    </sheetView>
  </sheetViews>
  <sheetFormatPr defaultRowHeight="15" x14ac:dyDescent="0.25"/>
  <cols>
    <col min="1" max="1" width="17.7109375" customWidth="1"/>
    <col min="2" max="9" width="13.7109375" customWidth="1"/>
  </cols>
  <sheetData>
    <row r="1" spans="1:9" ht="19.5" x14ac:dyDescent="0.25">
      <c r="A1" s="181" t="s">
        <v>1358</v>
      </c>
      <c r="B1" s="181"/>
      <c r="C1" s="181"/>
      <c r="D1" s="181"/>
      <c r="E1" s="181"/>
      <c r="F1" s="181"/>
      <c r="G1" s="181"/>
      <c r="H1" s="181"/>
      <c r="I1" s="181"/>
    </row>
    <row r="2" spans="1:9" ht="27" customHeight="1" thickBot="1" x14ac:dyDescent="0.35">
      <c r="A2" s="185" t="s">
        <v>1360</v>
      </c>
      <c r="B2" s="186"/>
      <c r="C2" s="186"/>
      <c r="D2" s="186"/>
      <c r="E2" s="186"/>
      <c r="F2" s="186"/>
      <c r="G2" s="186"/>
      <c r="H2" s="186"/>
      <c r="I2" s="186"/>
    </row>
    <row r="3" spans="1:9" ht="15.75" customHeight="1" x14ac:dyDescent="0.25">
      <c r="A3" s="182" t="s">
        <v>38</v>
      </c>
      <c r="B3" s="182" t="s">
        <v>1359</v>
      </c>
      <c r="C3" s="182"/>
      <c r="D3" s="182"/>
      <c r="E3" s="182"/>
      <c r="F3" s="182"/>
      <c r="G3" s="182"/>
      <c r="H3" s="182"/>
      <c r="I3" s="182"/>
    </row>
    <row r="4" spans="1:9" ht="15.75" thickBot="1" x14ac:dyDescent="0.3">
      <c r="A4" s="183"/>
      <c r="B4" s="184"/>
      <c r="C4" s="184"/>
      <c r="D4" s="184"/>
      <c r="E4" s="184"/>
      <c r="F4" s="184"/>
      <c r="G4" s="184"/>
      <c r="H4" s="184"/>
      <c r="I4" s="183"/>
    </row>
    <row r="5" spans="1:9" ht="16.5" thickBot="1" x14ac:dyDescent="0.35">
      <c r="A5" s="184"/>
      <c r="B5" s="29">
        <v>115</v>
      </c>
      <c r="C5" s="29">
        <v>200</v>
      </c>
      <c r="D5" s="29">
        <v>208</v>
      </c>
      <c r="E5" s="29">
        <v>230</v>
      </c>
      <c r="F5" s="29">
        <v>460</v>
      </c>
      <c r="G5" s="29">
        <v>575</v>
      </c>
      <c r="H5" s="29">
        <v>2300</v>
      </c>
      <c r="I5" s="29" t="s">
        <v>182</v>
      </c>
    </row>
    <row r="6" spans="1:9" ht="15.75" x14ac:dyDescent="0.25">
      <c r="A6" s="30">
        <v>0.5</v>
      </c>
      <c r="B6" s="30">
        <v>4.4000000000000004</v>
      </c>
      <c r="C6" s="30">
        <v>2.5</v>
      </c>
      <c r="D6" s="30">
        <v>2.4</v>
      </c>
      <c r="E6" s="30">
        <v>2.2000000000000002</v>
      </c>
      <c r="F6" s="30">
        <v>1.1000000000000001</v>
      </c>
      <c r="G6" s="30">
        <v>0.9</v>
      </c>
      <c r="H6" s="31" t="s">
        <v>1357</v>
      </c>
      <c r="I6" s="31"/>
    </row>
    <row r="7" spans="1:9" ht="15.75" x14ac:dyDescent="0.25">
      <c r="A7" s="30">
        <v>0.75</v>
      </c>
      <c r="B7" s="30">
        <v>6.4</v>
      </c>
      <c r="C7" s="30">
        <v>3.7</v>
      </c>
      <c r="D7" s="30">
        <v>3.5</v>
      </c>
      <c r="E7" s="30">
        <v>3.2</v>
      </c>
      <c r="F7" s="30">
        <v>1.6</v>
      </c>
      <c r="G7" s="30">
        <v>1.3</v>
      </c>
      <c r="H7" s="31" t="s">
        <v>1357</v>
      </c>
      <c r="I7" s="31"/>
    </row>
    <row r="8" spans="1:9" ht="15.75" x14ac:dyDescent="0.25">
      <c r="A8" s="30">
        <v>1</v>
      </c>
      <c r="B8" s="30">
        <v>8.4</v>
      </c>
      <c r="C8" s="30">
        <v>4.8</v>
      </c>
      <c r="D8" s="30">
        <v>4.5999999999999996</v>
      </c>
      <c r="E8" s="30">
        <v>4.2</v>
      </c>
      <c r="F8" s="30">
        <v>2.1</v>
      </c>
      <c r="G8" s="30">
        <v>1.7</v>
      </c>
      <c r="H8" s="31" t="s">
        <v>1357</v>
      </c>
      <c r="I8" s="31"/>
    </row>
    <row r="9" spans="1:9" ht="15.75" x14ac:dyDescent="0.25">
      <c r="A9" s="30">
        <v>1.5</v>
      </c>
      <c r="B9" s="30">
        <v>12</v>
      </c>
      <c r="C9" s="30">
        <v>6.9</v>
      </c>
      <c r="D9" s="30">
        <v>6.6</v>
      </c>
      <c r="E9" s="30">
        <v>6</v>
      </c>
      <c r="F9" s="30">
        <v>3</v>
      </c>
      <c r="G9" s="30">
        <v>2.4</v>
      </c>
      <c r="H9" s="31" t="s">
        <v>1357</v>
      </c>
      <c r="I9" s="31"/>
    </row>
    <row r="10" spans="1:9" ht="15.75" x14ac:dyDescent="0.25">
      <c r="A10" s="30">
        <v>2</v>
      </c>
      <c r="B10" s="30">
        <v>13.6</v>
      </c>
      <c r="C10" s="30">
        <v>7.8</v>
      </c>
      <c r="D10" s="30">
        <v>7.5</v>
      </c>
      <c r="E10" s="30">
        <v>6.8</v>
      </c>
      <c r="F10" s="30">
        <v>3.4</v>
      </c>
      <c r="G10" s="30">
        <v>2.7</v>
      </c>
      <c r="H10" s="31" t="s">
        <v>1357</v>
      </c>
      <c r="I10" s="31"/>
    </row>
    <row r="11" spans="1:9" ht="15.75" x14ac:dyDescent="0.25">
      <c r="A11" s="30">
        <v>3</v>
      </c>
      <c r="B11" s="30" t="s">
        <v>1357</v>
      </c>
      <c r="C11" s="30">
        <v>11</v>
      </c>
      <c r="D11" s="30">
        <v>10.6</v>
      </c>
      <c r="E11" s="30">
        <v>9.6</v>
      </c>
      <c r="F11" s="30">
        <v>4.8</v>
      </c>
      <c r="G11" s="30">
        <v>3.9</v>
      </c>
      <c r="H11" s="31" t="s">
        <v>1357</v>
      </c>
      <c r="I11" s="31"/>
    </row>
    <row r="12" spans="1:9" ht="15.75" x14ac:dyDescent="0.25">
      <c r="A12" s="30">
        <v>5</v>
      </c>
      <c r="B12" s="30" t="s">
        <v>1357</v>
      </c>
      <c r="C12" s="30">
        <v>17.5</v>
      </c>
      <c r="D12" s="30">
        <v>16.7</v>
      </c>
      <c r="E12" s="30">
        <v>15.2</v>
      </c>
      <c r="F12" s="30">
        <v>7.6</v>
      </c>
      <c r="G12" s="30">
        <v>6.1</v>
      </c>
      <c r="H12" s="31" t="s">
        <v>1357</v>
      </c>
      <c r="I12" s="31"/>
    </row>
    <row r="13" spans="1:9" ht="16.5" thickBot="1" x14ac:dyDescent="0.3">
      <c r="A13" s="32">
        <v>7.5</v>
      </c>
      <c r="B13" s="32" t="s">
        <v>1357</v>
      </c>
      <c r="C13" s="32">
        <v>25.3</v>
      </c>
      <c r="D13" s="32">
        <v>24.2</v>
      </c>
      <c r="E13" s="32">
        <v>22</v>
      </c>
      <c r="F13" s="32">
        <v>11</v>
      </c>
      <c r="G13" s="32">
        <v>9</v>
      </c>
      <c r="H13" s="33" t="s">
        <v>1357</v>
      </c>
      <c r="I13" s="33"/>
    </row>
    <row r="14" spans="1:9" ht="15.75" x14ac:dyDescent="0.25">
      <c r="A14" s="30">
        <v>10</v>
      </c>
      <c r="B14" s="30" t="s">
        <v>1357</v>
      </c>
      <c r="C14" s="30">
        <v>32.200000000000003</v>
      </c>
      <c r="D14" s="30">
        <v>30.8</v>
      </c>
      <c r="E14" s="30">
        <v>28</v>
      </c>
      <c r="F14" s="30">
        <v>14</v>
      </c>
      <c r="G14" s="30">
        <v>11</v>
      </c>
      <c r="H14" s="31" t="s">
        <v>1357</v>
      </c>
      <c r="I14" s="31"/>
    </row>
    <row r="15" spans="1:9" ht="15.75" x14ac:dyDescent="0.25">
      <c r="A15" s="30">
        <v>15</v>
      </c>
      <c r="B15" s="30" t="s">
        <v>1357</v>
      </c>
      <c r="C15" s="30">
        <v>48.3</v>
      </c>
      <c r="D15" s="30">
        <v>46.2</v>
      </c>
      <c r="E15" s="30">
        <v>42</v>
      </c>
      <c r="F15" s="30">
        <v>21</v>
      </c>
      <c r="G15" s="30">
        <v>17</v>
      </c>
      <c r="H15" s="31" t="s">
        <v>1357</v>
      </c>
      <c r="I15" s="31"/>
    </row>
    <row r="16" spans="1:9" ht="15.75" x14ac:dyDescent="0.25">
      <c r="A16" s="30">
        <v>20</v>
      </c>
      <c r="B16" s="30" t="s">
        <v>1357</v>
      </c>
      <c r="C16" s="30">
        <v>62.1</v>
      </c>
      <c r="D16" s="30">
        <v>59.4</v>
      </c>
      <c r="E16" s="30">
        <v>54</v>
      </c>
      <c r="F16" s="30">
        <v>27</v>
      </c>
      <c r="G16" s="30">
        <v>22</v>
      </c>
      <c r="H16" s="31" t="s">
        <v>1357</v>
      </c>
      <c r="I16" s="31"/>
    </row>
    <row r="17" spans="1:9" ht="15.75" x14ac:dyDescent="0.25">
      <c r="A17" s="30">
        <v>25</v>
      </c>
      <c r="B17" s="30" t="s">
        <v>1357</v>
      </c>
      <c r="C17" s="30">
        <v>78.2</v>
      </c>
      <c r="D17" s="30">
        <v>74.8</v>
      </c>
      <c r="E17" s="30">
        <v>68</v>
      </c>
      <c r="F17" s="30">
        <v>34</v>
      </c>
      <c r="G17" s="30">
        <v>27</v>
      </c>
      <c r="H17" s="31" t="s">
        <v>1357</v>
      </c>
      <c r="I17" s="31"/>
    </row>
    <row r="18" spans="1:9" ht="15.75" x14ac:dyDescent="0.25">
      <c r="A18" s="30">
        <v>30</v>
      </c>
      <c r="B18" s="30" t="s">
        <v>1357</v>
      </c>
      <c r="C18" s="30">
        <v>92</v>
      </c>
      <c r="D18" s="30">
        <v>88</v>
      </c>
      <c r="E18" s="30">
        <v>80</v>
      </c>
      <c r="F18" s="30">
        <v>40</v>
      </c>
      <c r="G18" s="30">
        <v>32</v>
      </c>
      <c r="H18" s="31" t="s">
        <v>1357</v>
      </c>
      <c r="I18" s="31"/>
    </row>
    <row r="19" spans="1:9" ht="16.5" thickBot="1" x14ac:dyDescent="0.3">
      <c r="A19" s="32">
        <v>40</v>
      </c>
      <c r="B19" s="32" t="s">
        <v>1357</v>
      </c>
      <c r="C19" s="32">
        <v>120</v>
      </c>
      <c r="D19" s="32">
        <v>114</v>
      </c>
      <c r="E19" s="32">
        <v>104</v>
      </c>
      <c r="F19" s="32">
        <v>52</v>
      </c>
      <c r="G19" s="32">
        <v>41</v>
      </c>
      <c r="H19" s="33" t="s">
        <v>1357</v>
      </c>
      <c r="I19" s="33"/>
    </row>
    <row r="20" spans="1:9" ht="15.75" x14ac:dyDescent="0.25">
      <c r="A20" s="30">
        <v>50</v>
      </c>
      <c r="B20" s="30" t="s">
        <v>1357</v>
      </c>
      <c r="C20" s="30">
        <v>150</v>
      </c>
      <c r="D20" s="30">
        <v>143</v>
      </c>
      <c r="E20" s="30">
        <v>130</v>
      </c>
      <c r="F20" s="30">
        <v>65</v>
      </c>
      <c r="G20" s="30">
        <v>52</v>
      </c>
      <c r="H20" s="31" t="s">
        <v>1357</v>
      </c>
      <c r="I20" s="31"/>
    </row>
    <row r="21" spans="1:9" ht="15.75" x14ac:dyDescent="0.25">
      <c r="A21" s="30">
        <v>60</v>
      </c>
      <c r="B21" s="30" t="s">
        <v>1357</v>
      </c>
      <c r="C21" s="30">
        <v>177</v>
      </c>
      <c r="D21" s="30">
        <v>169</v>
      </c>
      <c r="E21" s="30">
        <v>154</v>
      </c>
      <c r="F21" s="30">
        <v>77</v>
      </c>
      <c r="G21" s="30">
        <v>62</v>
      </c>
      <c r="H21" s="30">
        <v>16</v>
      </c>
      <c r="I21" s="30"/>
    </row>
    <row r="22" spans="1:9" ht="15.75" x14ac:dyDescent="0.25">
      <c r="A22" s="30">
        <v>75</v>
      </c>
      <c r="B22" s="30" t="s">
        <v>1357</v>
      </c>
      <c r="C22" s="30">
        <v>221</v>
      </c>
      <c r="D22" s="30">
        <v>211</v>
      </c>
      <c r="E22" s="30">
        <v>192</v>
      </c>
      <c r="F22" s="30">
        <v>96</v>
      </c>
      <c r="G22" s="30">
        <v>77</v>
      </c>
      <c r="H22" s="30">
        <v>20</v>
      </c>
      <c r="I22" s="30"/>
    </row>
    <row r="23" spans="1:9" ht="15.75" x14ac:dyDescent="0.25">
      <c r="A23" s="30">
        <v>100</v>
      </c>
      <c r="B23" s="30" t="s">
        <v>1357</v>
      </c>
      <c r="C23" s="30">
        <v>285</v>
      </c>
      <c r="D23" s="30">
        <v>273</v>
      </c>
      <c r="E23" s="30">
        <v>248</v>
      </c>
      <c r="F23" s="30">
        <v>124</v>
      </c>
      <c r="G23" s="30">
        <v>99</v>
      </c>
      <c r="H23" s="30">
        <v>26</v>
      </c>
      <c r="I23" s="30"/>
    </row>
    <row r="24" spans="1:9" ht="15.75" x14ac:dyDescent="0.25">
      <c r="A24" s="30">
        <v>125</v>
      </c>
      <c r="B24" s="30" t="s">
        <v>1357</v>
      </c>
      <c r="C24" s="30">
        <v>359</v>
      </c>
      <c r="D24" s="30">
        <v>343</v>
      </c>
      <c r="E24" s="30">
        <v>312</v>
      </c>
      <c r="F24" s="30">
        <v>156</v>
      </c>
      <c r="G24" s="30">
        <v>125</v>
      </c>
      <c r="H24" s="30">
        <v>31</v>
      </c>
      <c r="I24" s="30"/>
    </row>
    <row r="25" spans="1:9" ht="15.75" x14ac:dyDescent="0.25">
      <c r="A25" s="30">
        <v>150</v>
      </c>
      <c r="B25" s="30" t="s">
        <v>1357</v>
      </c>
      <c r="C25" s="30">
        <v>414</v>
      </c>
      <c r="D25" s="30">
        <v>396</v>
      </c>
      <c r="E25" s="30">
        <v>360</v>
      </c>
      <c r="F25" s="30">
        <v>180</v>
      </c>
      <c r="G25" s="30">
        <v>144</v>
      </c>
      <c r="H25" s="30">
        <v>37</v>
      </c>
      <c r="I25" s="30"/>
    </row>
    <row r="26" spans="1:9" ht="16.5" thickBot="1" x14ac:dyDescent="0.3">
      <c r="A26" s="32">
        <v>200</v>
      </c>
      <c r="B26" s="32"/>
      <c r="C26" s="32">
        <v>552</v>
      </c>
      <c r="D26" s="32">
        <v>528</v>
      </c>
      <c r="E26" s="32">
        <v>480</v>
      </c>
      <c r="F26" s="32">
        <v>240</v>
      </c>
      <c r="G26" s="32">
        <v>192</v>
      </c>
      <c r="H26" s="32">
        <v>49</v>
      </c>
      <c r="I26" s="32"/>
    </row>
    <row r="27" spans="1:9" ht="15.75" x14ac:dyDescent="0.25">
      <c r="A27" s="30">
        <v>250</v>
      </c>
      <c r="B27" s="30" t="s">
        <v>1357</v>
      </c>
      <c r="C27" s="30" t="s">
        <v>1357</v>
      </c>
      <c r="D27" s="30" t="s">
        <v>1357</v>
      </c>
      <c r="E27" s="30" t="s">
        <v>1357</v>
      </c>
      <c r="F27" s="30">
        <v>302</v>
      </c>
      <c r="G27" s="30">
        <v>242</v>
      </c>
      <c r="H27" s="30">
        <v>60</v>
      </c>
      <c r="I27" s="31"/>
    </row>
    <row r="28" spans="1:9" ht="15.75" x14ac:dyDescent="0.25">
      <c r="A28" s="30">
        <v>300</v>
      </c>
      <c r="B28" s="30" t="s">
        <v>1357</v>
      </c>
      <c r="C28" s="30" t="s">
        <v>1357</v>
      </c>
      <c r="D28" s="30" t="s">
        <v>1357</v>
      </c>
      <c r="E28" s="30" t="s">
        <v>1357</v>
      </c>
      <c r="F28" s="30">
        <v>361</v>
      </c>
      <c r="G28" s="30">
        <v>289</v>
      </c>
      <c r="H28" s="30">
        <v>72</v>
      </c>
      <c r="I28" s="31"/>
    </row>
    <row r="29" spans="1:9" ht="15.75" x14ac:dyDescent="0.25">
      <c r="A29" s="30">
        <v>350</v>
      </c>
      <c r="B29" s="30" t="s">
        <v>1357</v>
      </c>
      <c r="C29" s="30" t="s">
        <v>1357</v>
      </c>
      <c r="D29" s="30" t="s">
        <v>1357</v>
      </c>
      <c r="E29" s="30" t="s">
        <v>1357</v>
      </c>
      <c r="F29" s="30">
        <v>414</v>
      </c>
      <c r="G29" s="30">
        <v>336</v>
      </c>
      <c r="H29" s="30">
        <v>83</v>
      </c>
      <c r="I29" s="31"/>
    </row>
    <row r="30" spans="1:9" ht="15.75" x14ac:dyDescent="0.25">
      <c r="A30" s="30">
        <v>400</v>
      </c>
      <c r="B30" s="30" t="s">
        <v>1357</v>
      </c>
      <c r="C30" s="30" t="s">
        <v>1357</v>
      </c>
      <c r="D30" s="30" t="s">
        <v>1357</v>
      </c>
      <c r="E30" s="30" t="s">
        <v>1357</v>
      </c>
      <c r="F30" s="30">
        <v>477</v>
      </c>
      <c r="G30" s="30">
        <v>382</v>
      </c>
      <c r="H30" s="30">
        <v>95</v>
      </c>
      <c r="I30" s="31"/>
    </row>
    <row r="31" spans="1:9" ht="15.75" x14ac:dyDescent="0.25">
      <c r="A31" s="30">
        <v>450</v>
      </c>
      <c r="B31" s="30" t="s">
        <v>1357</v>
      </c>
      <c r="C31" s="30" t="s">
        <v>1357</v>
      </c>
      <c r="D31" s="30" t="s">
        <v>1357</v>
      </c>
      <c r="E31" s="30" t="s">
        <v>1357</v>
      </c>
      <c r="F31" s="30">
        <v>515</v>
      </c>
      <c r="G31" s="30">
        <v>412</v>
      </c>
      <c r="H31" s="30">
        <v>103</v>
      </c>
      <c r="I31" s="31"/>
    </row>
    <row r="32" spans="1:9" ht="16.5" thickBot="1" x14ac:dyDescent="0.3">
      <c r="A32" s="32">
        <v>500</v>
      </c>
      <c r="B32" s="32" t="s">
        <v>1357</v>
      </c>
      <c r="C32" s="32" t="s">
        <v>1357</v>
      </c>
      <c r="D32" s="32" t="s">
        <v>1357</v>
      </c>
      <c r="E32" s="32" t="s">
        <v>1357</v>
      </c>
      <c r="F32" s="32">
        <v>590</v>
      </c>
      <c r="G32" s="32">
        <v>472</v>
      </c>
      <c r="H32" s="32">
        <v>118</v>
      </c>
      <c r="I32" s="33"/>
    </row>
  </sheetData>
  <mergeCells count="5">
    <mergeCell ref="A1:I1"/>
    <mergeCell ref="A3:A5"/>
    <mergeCell ref="B3:H4"/>
    <mergeCell ref="I3:I4"/>
    <mergeCell ref="A2:I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7DAEB-0F64-4408-A5BF-DBBA533C681E}">
  <sheetPr codeName="Sheet6"/>
  <dimension ref="A1:DF796"/>
  <sheetViews>
    <sheetView workbookViewId="0"/>
    <sheetView workbookViewId="1"/>
  </sheetViews>
  <sheetFormatPr defaultRowHeight="12.75" x14ac:dyDescent="0.2"/>
  <cols>
    <col min="1" max="1" width="9.7109375" style="6" bestFit="1" customWidth="1"/>
    <col min="2" max="2" width="41.140625" style="6" bestFit="1" customWidth="1"/>
    <col min="3" max="3" width="24.85546875" style="6" bestFit="1" customWidth="1"/>
    <col min="4" max="4" width="10.7109375" style="6" bestFit="1" customWidth="1"/>
    <col min="5" max="5" width="12.7109375" style="6" bestFit="1" customWidth="1"/>
    <col min="6" max="6" width="11.5703125" style="6" bestFit="1" customWidth="1"/>
    <col min="7" max="7" width="27.42578125" style="6" bestFit="1" customWidth="1"/>
    <col min="8" max="8" width="11.5703125" style="6" bestFit="1" customWidth="1"/>
    <col min="9" max="9" width="11" style="6" bestFit="1" customWidth="1"/>
    <col min="10" max="10" width="11" style="6" customWidth="1"/>
    <col min="11" max="11" width="12.85546875" style="6" bestFit="1" customWidth="1"/>
    <col min="12" max="12" width="26.7109375" style="6" bestFit="1" customWidth="1"/>
    <col min="13" max="13" width="18.5703125" style="6" bestFit="1" customWidth="1"/>
    <col min="14" max="14" width="31.5703125" style="6" bestFit="1" customWidth="1"/>
    <col min="15" max="15" width="40.28515625" style="6" bestFit="1" customWidth="1"/>
    <col min="16" max="16" width="24.5703125" style="6" bestFit="1" customWidth="1"/>
    <col min="17" max="17" width="17.7109375" style="6" bestFit="1" customWidth="1"/>
    <col min="18" max="18" width="23.5703125" style="6" bestFit="1" customWidth="1"/>
    <col min="19" max="16384" width="9.140625" style="6"/>
  </cols>
  <sheetData>
    <row r="1" spans="1:110" x14ac:dyDescent="0.2">
      <c r="A1" s="6" t="s">
        <v>898</v>
      </c>
      <c r="B1" s="6" t="s">
        <v>323</v>
      </c>
      <c r="C1" s="6" t="s">
        <v>324</v>
      </c>
      <c r="D1" s="6" t="s">
        <v>325</v>
      </c>
      <c r="E1" s="6" t="s">
        <v>429</v>
      </c>
      <c r="F1" s="6" t="s">
        <v>322</v>
      </c>
      <c r="G1" s="6" t="s">
        <v>899</v>
      </c>
      <c r="H1" s="6" t="s">
        <v>1456</v>
      </c>
      <c r="I1" s="6" t="s">
        <v>1457</v>
      </c>
      <c r="K1" s="8" t="s">
        <v>264</v>
      </c>
      <c r="L1" s="8" t="str" cm="1">
        <f t="array" ref="L1:DF1">TRANSPOSE(_xlfn.TOCOL(K2:K100))</f>
        <v>CAB</v>
      </c>
      <c r="M1" s="8" t="str">
        <v>COOLING</v>
      </c>
      <c r="N1" s="8" t="str">
        <v>FVNR</v>
      </c>
      <c r="O1" s="8" t="str">
        <v>HS</v>
      </c>
      <c r="P1" s="8" t="str">
        <v>INST-LAS</v>
      </c>
      <c r="Q1" s="8" t="str">
        <v>INST-PRS</v>
      </c>
      <c r="R1" s="8" t="str">
        <v>LVM</v>
      </c>
      <c r="S1" s="8" t="str">
        <v>LVST</v>
      </c>
      <c r="T1" s="8" t="str">
        <v>MCCB</v>
      </c>
      <c r="U1" s="8" t="str">
        <v>OS</v>
      </c>
      <c r="V1" s="8" t="str">
        <v>PDB</v>
      </c>
      <c r="W1" s="8" t="str">
        <v>PDB-FU</v>
      </c>
      <c r="X1" s="8" t="str">
        <v>PLC</v>
      </c>
      <c r="Y1" s="8" t="str">
        <v>RIO</v>
      </c>
      <c r="Z1" s="8" t="str">
        <v>SG</v>
      </c>
      <c r="AA1" s="8" t="str">
        <v>VFD</v>
      </c>
      <c r="AB1" s="8" t="str">
        <v>WW</v>
      </c>
      <c r="AC1" s="8" t="str">
        <v>XFMR-CTRL</v>
      </c>
      <c r="AD1" s="8">
        <v>0</v>
      </c>
      <c r="AE1" s="8">
        <v>0</v>
      </c>
      <c r="AF1" s="8">
        <v>0</v>
      </c>
      <c r="AG1" s="8">
        <v>0</v>
      </c>
      <c r="AH1" s="8">
        <v>0</v>
      </c>
      <c r="AI1" s="8">
        <v>0</v>
      </c>
      <c r="AJ1" s="8">
        <v>0</v>
      </c>
      <c r="AK1" s="8">
        <v>0</v>
      </c>
      <c r="AL1" s="8">
        <v>0</v>
      </c>
      <c r="AM1" s="8">
        <v>0</v>
      </c>
      <c r="AN1" s="8">
        <v>0</v>
      </c>
      <c r="AO1" s="8">
        <v>0</v>
      </c>
      <c r="AP1" s="8">
        <v>0</v>
      </c>
      <c r="AQ1" s="8">
        <v>0</v>
      </c>
      <c r="AR1" s="8">
        <v>0</v>
      </c>
      <c r="AS1" s="8">
        <v>0</v>
      </c>
      <c r="AT1" s="8">
        <v>0</v>
      </c>
      <c r="AU1" s="8">
        <v>0</v>
      </c>
      <c r="AV1" s="8">
        <v>0</v>
      </c>
      <c r="AW1" s="8">
        <v>0</v>
      </c>
      <c r="AX1" s="8">
        <v>0</v>
      </c>
      <c r="AY1" s="8">
        <v>0</v>
      </c>
      <c r="AZ1" s="8">
        <v>0</v>
      </c>
      <c r="BA1" s="8">
        <v>0</v>
      </c>
      <c r="BB1" s="8">
        <v>0</v>
      </c>
      <c r="BC1" s="8">
        <v>0</v>
      </c>
      <c r="BD1" s="8">
        <v>0</v>
      </c>
      <c r="BE1" s="6">
        <v>0</v>
      </c>
      <c r="BF1" s="6">
        <v>0</v>
      </c>
      <c r="BG1" s="6">
        <v>0</v>
      </c>
      <c r="BH1" s="6">
        <v>0</v>
      </c>
      <c r="BI1" s="6">
        <v>0</v>
      </c>
      <c r="BJ1" s="6">
        <v>0</v>
      </c>
      <c r="BK1" s="6">
        <v>0</v>
      </c>
      <c r="BL1" s="6">
        <v>0</v>
      </c>
      <c r="BM1" s="6">
        <v>0</v>
      </c>
      <c r="BN1" s="6">
        <v>0</v>
      </c>
      <c r="BO1" s="6">
        <v>0</v>
      </c>
      <c r="BP1" s="6">
        <v>0</v>
      </c>
      <c r="BQ1" s="6">
        <v>0</v>
      </c>
      <c r="BR1" s="6">
        <v>0</v>
      </c>
      <c r="BS1" s="6">
        <v>0</v>
      </c>
      <c r="BT1" s="6">
        <v>0</v>
      </c>
      <c r="BU1" s="6">
        <v>0</v>
      </c>
      <c r="BV1" s="6">
        <v>0</v>
      </c>
      <c r="BW1" s="6">
        <v>0</v>
      </c>
      <c r="BX1" s="6">
        <v>0</v>
      </c>
      <c r="BY1" s="6">
        <v>0</v>
      </c>
      <c r="BZ1" s="6">
        <v>0</v>
      </c>
      <c r="CA1" s="6">
        <v>0</v>
      </c>
      <c r="CB1" s="6">
        <v>0</v>
      </c>
      <c r="CC1" s="6">
        <v>0</v>
      </c>
      <c r="CD1" s="6">
        <v>0</v>
      </c>
      <c r="CE1" s="6">
        <v>0</v>
      </c>
      <c r="CF1" s="6">
        <v>0</v>
      </c>
      <c r="CG1" s="6">
        <v>0</v>
      </c>
      <c r="CH1" s="6">
        <v>0</v>
      </c>
      <c r="CI1" s="6">
        <v>0</v>
      </c>
      <c r="CJ1" s="6">
        <v>0</v>
      </c>
      <c r="CK1" s="6">
        <v>0</v>
      </c>
      <c r="CL1" s="6">
        <v>0</v>
      </c>
      <c r="CM1" s="6">
        <v>0</v>
      </c>
      <c r="CN1" s="6">
        <v>0</v>
      </c>
      <c r="CO1" s="6">
        <v>0</v>
      </c>
      <c r="CP1" s="6">
        <v>0</v>
      </c>
      <c r="CQ1" s="6">
        <v>0</v>
      </c>
      <c r="CR1" s="6">
        <v>0</v>
      </c>
      <c r="CS1" s="6">
        <v>0</v>
      </c>
      <c r="CT1" s="6">
        <v>0</v>
      </c>
      <c r="CU1" s="6">
        <v>0</v>
      </c>
      <c r="CV1" s="6">
        <v>0</v>
      </c>
      <c r="CW1" s="6">
        <v>0</v>
      </c>
      <c r="CX1" s="6">
        <v>0</v>
      </c>
      <c r="CY1" s="6">
        <v>0</v>
      </c>
      <c r="CZ1" s="6">
        <v>0</v>
      </c>
      <c r="DA1" s="6">
        <v>0</v>
      </c>
      <c r="DB1" s="6">
        <v>0</v>
      </c>
      <c r="DC1" s="6">
        <v>0</v>
      </c>
      <c r="DD1" s="6">
        <v>0</v>
      </c>
      <c r="DE1" s="6">
        <v>0</v>
      </c>
      <c r="DF1" s="6">
        <v>0</v>
      </c>
    </row>
    <row r="2" spans="1:110" hidden="1" x14ac:dyDescent="0.2">
      <c r="A2" s="11" t="s">
        <v>117</v>
      </c>
      <c r="B2" s="11" t="s">
        <v>441</v>
      </c>
      <c r="C2" s="11" t="s">
        <v>44</v>
      </c>
      <c r="D2" s="6">
        <v>1</v>
      </c>
      <c r="E2" s="11" t="s">
        <v>430</v>
      </c>
      <c r="F2" s="11" t="s">
        <v>901</v>
      </c>
      <c r="G2" s="11" t="s">
        <v>900</v>
      </c>
      <c r="H2" s="11">
        <v>1</v>
      </c>
      <c r="I2" s="11"/>
      <c r="J2" s="11"/>
      <c r="K2" s="6" t="str" cm="1">
        <f t="array" ref="K2:K20">_xlfn._xlws.SORT(_xlfn.UNIQUE(AssembliesDB[Title],FALSE,FALSE),1,1)</f>
        <v>CAB</v>
      </c>
      <c r="L2" s="6" t="str" cm="1">
        <f t="array" ref="L2:L12">IF(L1&lt;&gt; 0,_xlfn._xlws.SORT(_xlfn.UNIQUE(_xlfn._xlws.FILTER(AssembliesDB[[Assembly_ID]:[Assembly_ID]],AssembliesDB[[Title]:[Title]]=L1),FALSE,FALSE),1,1),"")</f>
        <v>1Dr, 84x40x24 BothSideOpen</v>
      </c>
      <c r="M2" s="6" t="str" cm="1">
        <f t="array" ref="M2">IF(M1&lt;&gt; 0,_xlfn._xlws.SORT(_xlfn.UNIQUE(_xlfn._xlws.FILTER(AssembliesDB[[Assembly_ID]:[Assembly_ID]],AssembliesDB[[Title]:[Title]]=M1),FALSE,FALSE),1,1),"")</f>
        <v>HF13-484CFM-120V</v>
      </c>
      <c r="N2" s="6" t="str" cm="1">
        <f t="array" ref="N2:N19">IF(N1&lt;&gt; 0,_xlfn._xlws.SORT(_xlfn.UNIQUE(_xlfn._xlws.FILTER(AssembliesDB[[Assembly_ID]:[Assembly_ID]],AssembliesDB[[Title]:[Title]]=N1),FALSE,FALSE),1,1),"")</f>
        <v>01HP_140MG+100C+E300+Eth/IP</v>
      </c>
      <c r="O2" s="6" t="str" cm="1">
        <f t="array" ref="O2:O3">IF(O1&lt;&gt; 0,_xlfn._xlws.SORT(_xlfn.UNIQUE(_xlfn._xlws.FILTER(AssembliesDB[[Assembly_ID]:[Assembly_ID]],AssembliesDB[[Title]:[Title]]=O1),FALSE,FALSE),1,1),"")</f>
        <v>Hyd_Sys_Inst+Cbl</v>
      </c>
      <c r="P2" s="6" t="str" cm="1">
        <f t="array" ref="P2:P3">IF(P1&lt;&gt; 0,_xlfn._xlws.SORT(_xlfn.UNIQUE(_xlfn._xlws.FILTER(AssembliesDB[[Assembly_ID]:[Assembly_ID]],AssembliesDB[[Title]:[Title]]=P1),FALSE,FALSE),1,1),"")</f>
        <v>IFM-TimeOfFlightLaser</v>
      </c>
      <c r="Q2" s="6" t="str" cm="1">
        <f t="array" ref="Q2">IF(Q1&lt;&gt; 0,_xlfn._xlws.SORT(_xlfn.UNIQUE(_xlfn._xlws.FILTER(AssembliesDB[[Assembly_ID]:[Assembly_ID]],AssembliesDB[[Title]:[Title]]=Q1),FALSE,FALSE),1,1),"")</f>
        <v>IFM-ProxSwtich</v>
      </c>
      <c r="R2" s="6" t="str" cm="1">
        <f t="array" ref="R2:R3">IF(R1&lt;&gt; 0,_xlfn._xlws.SORT(_xlfn.UNIQUE(_xlfn._xlws.FILTER(AssembliesDB[[Assembly_ID]:[Assembly_ID]],AssembliesDB[[Title]:[Title]]=R1),FALSE,FALSE),1,1),"")</f>
        <v>LVM-Entry-Inst+Cbl</v>
      </c>
      <c r="S2" s="6" t="str" cm="1">
        <f t="array" ref="S2">IF(S1&lt;&gt; 0,_xlfn._xlws.SORT(_xlfn.UNIQUE(_xlfn._xlws.FILTER(AssembliesDB[[Assembly_ID]:[Assembly_ID]],AssembliesDB[[Title]:[Title]]=S1),FALSE,FALSE),1,1),"")</f>
        <v>LVST-Entry-Inst+Cbl</v>
      </c>
      <c r="T2" s="6" t="str" cm="1">
        <f t="array" ref="T2:T4">IF(T1&lt;&gt; 0,_xlfn._xlws.SORT(_xlfn.UNIQUE(_xlfn._xlws.FILTER(AssembliesDB[[Assembly_ID]:[Assembly_ID]],AssembliesDB[[Title]:[Title]]=T1),FALSE,FALSE),1,1),"")</f>
        <v>1000-2000A Adj.-MoldedCaseCB-65kA-480V</v>
      </c>
      <c r="U2" s="6" t="str" cm="1">
        <f t="array" ref="U2:U6">IF(U1&lt;&gt; 0,_xlfn._xlws.SORT(_xlfn.UNIQUE(_xlfn._xlws.FILTER(AssembliesDB[[Assembly_ID]:[Assembly_ID]],AssembliesDB[[Title]:[Title]]=U1),FALSE,FALSE),1,1),"")</f>
        <v>CRV.OS-HMI</v>
      </c>
      <c r="V2" s="6" t="str" cm="1">
        <f t="array" ref="V2">IF(V1&lt;&gt; 0,_xlfn._xlws.SORT(_xlfn.UNIQUE(_xlfn._xlws.FILTER(AssembliesDB[[Assembly_ID]:[Assembly_ID]],AssembliesDB[[Title]:[Title]]=V1),FALSE,FALSE),1,1),"")</f>
        <v>PowerDist. 760A - 2In/8Out</v>
      </c>
      <c r="W2" s="6" t="str" cm="1">
        <f t="array" ref="W2:W5">IF(W1&lt;&gt; 0,_xlfn._xlws.SORT(_xlfn.UNIQUE(_xlfn._xlws.FILTER(AssembliesDB[[Assembly_ID]:[Assembly_ID]],AssembliesDB[[Title]:[Title]]=W1),FALSE,FALSE),1,1),"")</f>
        <v>100A-ClassJ PowerDist.</v>
      </c>
      <c r="X2" s="6" t="str" cm="1">
        <f t="array" ref="X2:X4">IF(X1&lt;&gt; 0,_xlfn._xlws.SORT(_xlfn.UNIQUE(_xlfn._xlws.FILTER(AssembliesDB[[Assembly_ID]:[Assembly_ID]],AssembliesDB[[Title]:[Title]]=X1),FALSE,FALSE),1,1),"")</f>
        <v>1492-IFM-Config</v>
      </c>
      <c r="Y2" s="6" t="str" cm="1">
        <f t="array" ref="Y2:Y7">IF(Y1&lt;&gt; 0,_xlfn._xlws.SORT(_xlfn.UNIQUE(_xlfn._xlws.FILTER(AssembliesDB[[Assembly_ID]:[Assembly_ID]],AssembliesDB[[Title]:[Title]]=Y1),FALSE,FALSE),1,1),"")</f>
        <v>CCL-Panel - CONFIG</v>
      </c>
      <c r="Z2" s="6" t="str" cm="1">
        <f t="array" ref="Z2">IF(Z1&lt;&gt; 0,_xlfn._xlws.SORT(_xlfn.UNIQUE(_xlfn._xlws.FILTER(AssembliesDB[[Assembly_ID]:[Assembly_ID]],AssembliesDB[[Title]:[Title]]=Z1),FALSE,FALSE),1,1),"")</f>
        <v>SG-Inst+CBL</v>
      </c>
      <c r="AA2" s="6" t="str" cm="1">
        <f t="array" ref="AA2:AA17">IF(AA1&lt;&gt; 0,_xlfn._xlws.SORT(_xlfn.UNIQUE(_xlfn._xlws.FILTER(AssembliesDB[[Assembly_ID]:[Assembly_ID]],AssembliesDB[[Title]:[Title]]=AA1),FALSE,FALSE),1,1),"")</f>
        <v>PF755TS-005HP</v>
      </c>
      <c r="AB2" s="6" t="str" cm="1">
        <f t="array" ref="AB2">IF(AB1&lt;&gt; 0,_xlfn._xlws.SORT(_xlfn.UNIQUE(_xlfn._xlws.FILTER(AssembliesDB[[Assembly_ID]:[Assembly_ID]],AssembliesDB[[Title]:[Title]]=AB1),FALSE,FALSE),1,1),"")</f>
        <v>12 X 6 Lay-in  WireWay Config</v>
      </c>
      <c r="AC2" s="6" t="str" cm="1">
        <f t="array" ref="AC2:AC6">IF(AC1&lt;&gt; 0,_xlfn._xlws.SORT(_xlfn.UNIQUE(_xlfn._xlws.FILTER(AssembliesDB[[Assembly_ID]:[Assembly_ID]],AssembliesDB[[Title]:[Title]]=AC1),FALSE,FALSE),1,1),"")</f>
        <v>1.5kA-120V Control Power</v>
      </c>
      <c r="AD2" s="6" t="str" cm="1">
        <f t="array" ref="AD2">IF(AD1&lt;&gt; 0,_xlfn._xlws.SORT(_xlfn.UNIQUE(_xlfn._xlws.FILTER(AssembliesDB[[Assembly_ID]:[Assembly_ID]],AssembliesDB[[Title]:[Title]]=AD1),FALSE,FALSE),1,1),"")</f>
        <v/>
      </c>
      <c r="AE2" s="6" t="str" cm="1">
        <f t="array" ref="AE2">IF(AE1&lt;&gt; 0,_xlfn._xlws.SORT(_xlfn.UNIQUE(_xlfn._xlws.FILTER(AssembliesDB[[Assembly_ID]:[Assembly_ID]],AssembliesDB[[Title]:[Title]]=AE1),FALSE,FALSE),1,1),"")</f>
        <v/>
      </c>
      <c r="AF2" s="6" t="str" cm="1">
        <f t="array" ref="AF2">IF(AF1&lt;&gt; 0,_xlfn._xlws.SORT(_xlfn.UNIQUE(_xlfn._xlws.FILTER(AssembliesDB[[Assembly_ID]:[Assembly_ID]],AssembliesDB[[Title]:[Title]]=AF1),FALSE,FALSE),1,1),"")</f>
        <v/>
      </c>
      <c r="AG2" s="6" t="str" cm="1">
        <f t="array" ref="AG2">IF(AG1&lt;&gt; 0,_xlfn._xlws.SORT(_xlfn.UNIQUE(_xlfn._xlws.FILTER(AssembliesDB[[Assembly_ID]:[Assembly_ID]],AssembliesDB[[Title]:[Title]]=AG1),FALSE,FALSE),1,1),"")</f>
        <v/>
      </c>
      <c r="AH2" s="6" t="str" cm="1">
        <f t="array" ref="AH2">IF(AH1&lt;&gt; 0,_xlfn._xlws.SORT(_xlfn.UNIQUE(_xlfn._xlws.FILTER(AssembliesDB[[Assembly_ID]:[Assembly_ID]],AssembliesDB[[Title]:[Title]]=AH1),FALSE,FALSE),1,1),"")</f>
        <v/>
      </c>
      <c r="AI2" s="6" t="str" cm="1">
        <f t="array" ref="AI2">IF(AI1&lt;&gt; 0,_xlfn._xlws.SORT(_xlfn.UNIQUE(_xlfn._xlws.FILTER(AssembliesDB[[Assembly_ID]:[Assembly_ID]],AssembliesDB[[Title]:[Title]]=AI1),FALSE,FALSE),1,1),"")</f>
        <v/>
      </c>
      <c r="AJ2" s="6" t="str" cm="1">
        <f t="array" ref="AJ2">IF(AJ1&lt;&gt; 0,_xlfn._xlws.SORT(_xlfn.UNIQUE(_xlfn._xlws.FILTER(AssembliesDB[[Assembly_ID]:[Assembly_ID]],AssembliesDB[[Title]:[Title]]=AJ1),FALSE,FALSE),1,1),"")</f>
        <v/>
      </c>
      <c r="AK2" s="6" t="str" cm="1">
        <f t="array" ref="AK2">IF(AK1&lt;&gt; 0,_xlfn._xlws.SORT(_xlfn.UNIQUE(_xlfn._xlws.FILTER(AssembliesDB[[Assembly_ID]:[Assembly_ID]],AssembliesDB[[Title]:[Title]]=AK1),FALSE,FALSE),1,1),"")</f>
        <v/>
      </c>
      <c r="AL2" s="6" t="str" cm="1">
        <f t="array" ref="AL2">IF(AL1&lt;&gt; 0,_xlfn._xlws.SORT(_xlfn.UNIQUE(_xlfn._xlws.FILTER(AssembliesDB[[Assembly_ID]:[Assembly_ID]],AssembliesDB[[Title]:[Title]]=AL1),FALSE,FALSE),1,1),"")</f>
        <v/>
      </c>
      <c r="AM2" s="6" t="str" cm="1">
        <f t="array" ref="AM2">IF(AM1&lt;&gt; 0,_xlfn._xlws.SORT(_xlfn.UNIQUE(_xlfn._xlws.FILTER(AssembliesDB[[Assembly_ID]:[Assembly_ID]],AssembliesDB[[Title]:[Title]]=AM1),FALSE,FALSE),1,1),"")</f>
        <v/>
      </c>
      <c r="AN2" s="6" t="str" cm="1">
        <f t="array" ref="AN2">IF(AN1&lt;&gt; 0,_xlfn._xlws.SORT(_xlfn.UNIQUE(_xlfn._xlws.FILTER(AssembliesDB[[Assembly_ID]:[Assembly_ID]],AssembliesDB[[Title]:[Title]]=AN1),FALSE,FALSE),1,1),"")</f>
        <v/>
      </c>
      <c r="AO2" s="6" t="str" cm="1">
        <f t="array" ref="AO2">IF(AO1&lt;&gt; 0,_xlfn._xlws.SORT(_xlfn.UNIQUE(_xlfn._xlws.FILTER(AssembliesDB[[Assembly_ID]:[Assembly_ID]],AssembliesDB[[Title]:[Title]]=AO1),FALSE,FALSE),1,1),"")</f>
        <v/>
      </c>
      <c r="AP2" s="6" t="str" cm="1">
        <f t="array" ref="AP2">IF(AP1&lt;&gt; 0,_xlfn._xlws.SORT(_xlfn.UNIQUE(_xlfn._xlws.FILTER(AssembliesDB[[Assembly_ID]:[Assembly_ID]],AssembliesDB[[Title]:[Title]]=AP1),FALSE,FALSE),1,1),"")</f>
        <v/>
      </c>
      <c r="AQ2" s="6" t="str" cm="1">
        <f t="array" ref="AQ2">IF(AQ1&lt;&gt; 0,_xlfn._xlws.SORT(_xlfn.UNIQUE(_xlfn._xlws.FILTER(AssembliesDB[[Assembly_ID]:[Assembly_ID]],AssembliesDB[[Title]:[Title]]=AQ1),FALSE,FALSE),1,1),"")</f>
        <v/>
      </c>
      <c r="AR2" s="6" t="str" cm="1">
        <f t="array" ref="AR2">IF(AR1&lt;&gt; 0,_xlfn._xlws.SORT(_xlfn.UNIQUE(_xlfn._xlws.FILTER(AssembliesDB[[Assembly_ID]:[Assembly_ID]],AssembliesDB[[Title]:[Title]]=AR1),FALSE,FALSE),1,1),"")</f>
        <v/>
      </c>
      <c r="AS2" s="6" t="str" cm="1">
        <f t="array" ref="AS2">IF(AS1&lt;&gt; 0,_xlfn._xlws.SORT(_xlfn.UNIQUE(_xlfn._xlws.FILTER(AssembliesDB[[Assembly_ID]:[Assembly_ID]],AssembliesDB[[Title]:[Title]]=AS1),FALSE,FALSE),1,1),"")</f>
        <v/>
      </c>
      <c r="AT2" s="6" t="str" cm="1">
        <f t="array" ref="AT2">IF(AT1&lt;&gt; 0,_xlfn._xlws.SORT(_xlfn.UNIQUE(_xlfn._xlws.FILTER(AssembliesDB[[Assembly_ID]:[Assembly_ID]],AssembliesDB[[Title]:[Title]]=AT1),FALSE,FALSE),1,1),"")</f>
        <v/>
      </c>
      <c r="AU2" s="6" t="str" cm="1">
        <f t="array" ref="AU2">IF(AU1&lt;&gt; 0,_xlfn._xlws.SORT(_xlfn.UNIQUE(_xlfn._xlws.FILTER(AssembliesDB[[Assembly_ID]:[Assembly_ID]],AssembliesDB[[Title]:[Title]]=AU1),FALSE,FALSE),1,1),"")</f>
        <v/>
      </c>
      <c r="AV2" s="6" t="str" cm="1">
        <f t="array" ref="AV2">IF(AV1&lt;&gt; 0,_xlfn._xlws.SORT(_xlfn.UNIQUE(_xlfn._xlws.FILTER(AssembliesDB[[Assembly_ID]:[Assembly_ID]],AssembliesDB[[Title]:[Title]]=AV1),FALSE,FALSE),1,1),"")</f>
        <v/>
      </c>
      <c r="AW2" s="6" t="str" cm="1">
        <f t="array" ref="AW2">IF(AW1&lt;&gt; 0,_xlfn._xlws.SORT(_xlfn.UNIQUE(_xlfn._xlws.FILTER(AssembliesDB[[Assembly_ID]:[Assembly_ID]],AssembliesDB[[Title]:[Title]]=AW1),FALSE,FALSE),1,1),"")</f>
        <v/>
      </c>
      <c r="AX2" s="6" t="str" cm="1">
        <f t="array" ref="AX2">IF(AX1&lt;&gt; 0,_xlfn._xlws.SORT(_xlfn.UNIQUE(_xlfn._xlws.FILTER(AssembliesDB[[Assembly_ID]:[Assembly_ID]],AssembliesDB[[Title]:[Title]]=AX1),FALSE,FALSE),1,1),"")</f>
        <v/>
      </c>
      <c r="AY2" s="6" t="str" cm="1">
        <f t="array" ref="AY2">IF(AY1&lt;&gt; 0,_xlfn._xlws.SORT(_xlfn.UNIQUE(_xlfn._xlws.FILTER(AssembliesDB[[Assembly_ID]:[Assembly_ID]],AssembliesDB[[Title]:[Title]]=AY1),FALSE,FALSE),1,1),"")</f>
        <v/>
      </c>
      <c r="AZ2" s="6" t="str" cm="1">
        <f t="array" ref="AZ2">IF(AZ1&lt;&gt; 0,_xlfn._xlws.SORT(_xlfn.UNIQUE(_xlfn._xlws.FILTER(AssembliesDB[[Assembly_ID]:[Assembly_ID]],AssembliesDB[[Title]:[Title]]=AZ1),FALSE,FALSE),1,1),"")</f>
        <v/>
      </c>
      <c r="BA2" s="6" t="str" cm="1">
        <f t="array" ref="BA2">IF(BA1&lt;&gt; 0,_xlfn._xlws.SORT(_xlfn.UNIQUE(_xlfn._xlws.FILTER(AssembliesDB[[Assembly_ID]:[Assembly_ID]],AssembliesDB[[Title]:[Title]]=BA1),FALSE,FALSE),1,1),"")</f>
        <v/>
      </c>
      <c r="BB2" s="6" t="str" cm="1">
        <f t="array" ref="BB2">IF(BB1&lt;&gt; 0,_xlfn._xlws.SORT(_xlfn.UNIQUE(_xlfn._xlws.FILTER(AssembliesDB[[Assembly_ID]:[Assembly_ID]],AssembliesDB[[Title]:[Title]]=BB1),FALSE,FALSE),1,1),"")</f>
        <v/>
      </c>
      <c r="BC2" s="6" t="str" cm="1">
        <f t="array" ref="BC2">IF(BC1&lt;&gt; 0,_xlfn._xlws.SORT(_xlfn.UNIQUE(_xlfn._xlws.FILTER(AssembliesDB[[Assembly_ID]:[Assembly_ID]],AssembliesDB[[Title]:[Title]]=BC1),FALSE,FALSE),1,1),"")</f>
        <v/>
      </c>
      <c r="BD2" s="6" t="str" cm="1">
        <f t="array" ref="BD2">IF(BD1&lt;&gt; 0,_xlfn._xlws.SORT(_xlfn.UNIQUE(_xlfn._xlws.FILTER(AssembliesDB[[Assembly_ID]:[Assembly_ID]],AssembliesDB[[Title]:[Title]]=BD1),FALSE,FALSE),1,1),"")</f>
        <v/>
      </c>
      <c r="BE2" s="6" t="str" cm="1">
        <f t="array" ref="BE2">IF(BE1&lt;&gt; 0,_xlfn._xlws.SORT(_xlfn.UNIQUE(_xlfn._xlws.FILTER(AssembliesDB[[Assembly_ID]:[Assembly_ID]],AssembliesDB[[Title]:[Title]]=BE1),FALSE,FALSE),1,1),"")</f>
        <v/>
      </c>
      <c r="BF2" s="6" t="str" cm="1">
        <f t="array" ref="BF2">IF(BF1&lt;&gt; 0,_xlfn._xlws.SORT(_xlfn.UNIQUE(_xlfn._xlws.FILTER(AssembliesDB[[Assembly_ID]:[Assembly_ID]],AssembliesDB[[Title]:[Title]]=BF1),FALSE,FALSE),1,1),"")</f>
        <v/>
      </c>
      <c r="BG2" s="6" t="str" cm="1">
        <f t="array" ref="BG2">IF(BG1&lt;&gt; 0,_xlfn._xlws.SORT(_xlfn.UNIQUE(_xlfn._xlws.FILTER(AssembliesDB[[Assembly_ID]:[Assembly_ID]],AssembliesDB[[Title]:[Title]]=BG1),FALSE,FALSE),1,1),"")</f>
        <v/>
      </c>
      <c r="BH2" s="6" t="str" cm="1">
        <f t="array" ref="BH2">IF(BH1&lt;&gt; 0,_xlfn._xlws.SORT(_xlfn.UNIQUE(_xlfn._xlws.FILTER(AssembliesDB[[Assembly_ID]:[Assembly_ID]],AssembliesDB[[Title]:[Title]]=BH1),FALSE,FALSE),1,1),"")</f>
        <v/>
      </c>
      <c r="BI2" s="6" t="str" cm="1">
        <f t="array" ref="BI2">IF(BI1&lt;&gt; 0,_xlfn._xlws.SORT(_xlfn.UNIQUE(_xlfn._xlws.FILTER(AssembliesDB[[Assembly_ID]:[Assembly_ID]],AssembliesDB[[Title]:[Title]]=BI1),FALSE,FALSE),1,1),"")</f>
        <v/>
      </c>
      <c r="BJ2" s="6" t="str" cm="1">
        <f t="array" ref="BJ2">IF(BJ1&lt;&gt; 0,_xlfn._xlws.SORT(_xlfn.UNIQUE(_xlfn._xlws.FILTER(AssembliesDB[[Assembly_ID]:[Assembly_ID]],AssembliesDB[[Title]:[Title]]=BJ1),FALSE,FALSE),1,1),"")</f>
        <v/>
      </c>
      <c r="BK2" s="6" t="str" cm="1">
        <f t="array" ref="BK2">IF(BK1&lt;&gt; 0,_xlfn._xlws.SORT(_xlfn.UNIQUE(_xlfn._xlws.FILTER(AssembliesDB[[Assembly_ID]:[Assembly_ID]],AssembliesDB[[Title]:[Title]]=BK1),FALSE,FALSE),1,1),"")</f>
        <v/>
      </c>
      <c r="BL2" s="6" t="str" cm="1">
        <f t="array" ref="BL2">IF(BL1&lt;&gt; 0,_xlfn._xlws.SORT(_xlfn.UNIQUE(_xlfn._xlws.FILTER(AssembliesDB[[Assembly_ID]:[Assembly_ID]],AssembliesDB[[Title]:[Title]]=BL1),FALSE,FALSE),1,1),"")</f>
        <v/>
      </c>
      <c r="BM2" s="6" t="str" cm="1">
        <f t="array" ref="BM2">IF(BM1&lt;&gt; 0,_xlfn._xlws.SORT(_xlfn.UNIQUE(_xlfn._xlws.FILTER(AssembliesDB[[Assembly_ID]:[Assembly_ID]],AssembliesDB[[Title]:[Title]]=BM1),FALSE,FALSE),1,1),"")</f>
        <v/>
      </c>
      <c r="BN2" s="6" t="str" cm="1">
        <f t="array" ref="BN2">IF(BN1&lt;&gt; 0,_xlfn._xlws.SORT(_xlfn.UNIQUE(_xlfn._xlws.FILTER(AssembliesDB[[Assembly_ID]:[Assembly_ID]],AssembliesDB[[Title]:[Title]]=BN1),FALSE,FALSE),1,1),"")</f>
        <v/>
      </c>
      <c r="BO2" s="6" t="str" cm="1">
        <f t="array" ref="BO2">IF(BO1&lt;&gt; 0,_xlfn._xlws.SORT(_xlfn.UNIQUE(_xlfn._xlws.FILTER(AssembliesDB[[Assembly_ID]:[Assembly_ID]],AssembliesDB[[Title]:[Title]]=BO1),FALSE,FALSE),1,1),"")</f>
        <v/>
      </c>
      <c r="BP2" s="6" t="str" cm="1">
        <f t="array" ref="BP2">IF(BP1&lt;&gt; 0,_xlfn._xlws.SORT(_xlfn.UNIQUE(_xlfn._xlws.FILTER(AssembliesDB[[Assembly_ID]:[Assembly_ID]],AssembliesDB[[Title]:[Title]]=BP1),FALSE,FALSE),1,1),"")</f>
        <v/>
      </c>
      <c r="BQ2" s="6" t="str" cm="1">
        <f t="array" ref="BQ2">IF(BQ1&lt;&gt; 0,_xlfn._xlws.SORT(_xlfn.UNIQUE(_xlfn._xlws.FILTER(AssembliesDB[[Assembly_ID]:[Assembly_ID]],AssembliesDB[[Title]:[Title]]=BQ1),FALSE,FALSE),1,1),"")</f>
        <v/>
      </c>
      <c r="BR2" s="6" t="str" cm="1">
        <f t="array" ref="BR2">IF(BR1&lt;&gt; 0,_xlfn._xlws.SORT(_xlfn.UNIQUE(_xlfn._xlws.FILTER(AssembliesDB[[Assembly_ID]:[Assembly_ID]],AssembliesDB[[Title]:[Title]]=BR1),FALSE,FALSE),1,1),"")</f>
        <v/>
      </c>
      <c r="BS2" s="6" t="str" cm="1">
        <f t="array" ref="BS2">IF(BS1&lt;&gt; 0,_xlfn._xlws.SORT(_xlfn.UNIQUE(_xlfn._xlws.FILTER(AssembliesDB[[Assembly_ID]:[Assembly_ID]],AssembliesDB[[Title]:[Title]]=BS1),FALSE,FALSE),1,1),"")</f>
        <v/>
      </c>
      <c r="BT2" s="6" t="str" cm="1">
        <f t="array" ref="BT2">IF(BT1&lt;&gt; 0,_xlfn._xlws.SORT(_xlfn.UNIQUE(_xlfn._xlws.FILTER(AssembliesDB[[Assembly_ID]:[Assembly_ID]],AssembliesDB[[Title]:[Title]]=BT1),FALSE,FALSE),1,1),"")</f>
        <v/>
      </c>
      <c r="BU2" s="6" t="str" cm="1">
        <f t="array" ref="BU2">IF(BU1&lt;&gt; 0,_xlfn._xlws.SORT(_xlfn.UNIQUE(_xlfn._xlws.FILTER(AssembliesDB[[Assembly_ID]:[Assembly_ID]],AssembliesDB[[Title]:[Title]]=BU1),FALSE,FALSE),1,1),"")</f>
        <v/>
      </c>
      <c r="BV2" s="6" t="str" cm="1">
        <f t="array" ref="BV2">IF(BV1&lt;&gt; 0,_xlfn._xlws.SORT(_xlfn.UNIQUE(_xlfn._xlws.FILTER(AssembliesDB[[Assembly_ID]:[Assembly_ID]],AssembliesDB[[Title]:[Title]]=BV1),FALSE,FALSE),1,1),"")</f>
        <v/>
      </c>
      <c r="BW2" s="6" t="str" cm="1">
        <f t="array" ref="BW2">IF(BW1&lt;&gt; 0,_xlfn._xlws.SORT(_xlfn.UNIQUE(_xlfn._xlws.FILTER(AssembliesDB[[Assembly_ID]:[Assembly_ID]],AssembliesDB[[Title]:[Title]]=BW1),FALSE,FALSE),1,1),"")</f>
        <v/>
      </c>
      <c r="BX2" s="6" t="str" cm="1">
        <f t="array" ref="BX2">IF(BX1&lt;&gt; 0,_xlfn._xlws.SORT(_xlfn.UNIQUE(_xlfn._xlws.FILTER(AssembliesDB[[Assembly_ID]:[Assembly_ID]],AssembliesDB[[Title]:[Title]]=BX1),FALSE,FALSE),1,1),"")</f>
        <v/>
      </c>
      <c r="BY2" s="6" t="str" cm="1">
        <f t="array" ref="BY2">IF(BY1&lt;&gt; 0,_xlfn._xlws.SORT(_xlfn.UNIQUE(_xlfn._xlws.FILTER(AssembliesDB[[Assembly_ID]:[Assembly_ID]],AssembliesDB[[Title]:[Title]]=BY1),FALSE,FALSE),1,1),"")</f>
        <v/>
      </c>
      <c r="BZ2" s="6" t="str" cm="1">
        <f t="array" ref="BZ2">IF(BZ1&lt;&gt; 0,_xlfn._xlws.SORT(_xlfn.UNIQUE(_xlfn._xlws.FILTER(AssembliesDB[[Assembly_ID]:[Assembly_ID]],AssembliesDB[[Title]:[Title]]=BZ1),FALSE,FALSE),1,1),"")</f>
        <v/>
      </c>
      <c r="CA2" s="6" t="str" cm="1">
        <f t="array" ref="CA2">IF(CA1&lt;&gt; 0,_xlfn._xlws.SORT(_xlfn.UNIQUE(_xlfn._xlws.FILTER(AssembliesDB[[Assembly_ID]:[Assembly_ID]],AssembliesDB[[Title]:[Title]]=CA1),FALSE,FALSE),1,1),"")</f>
        <v/>
      </c>
      <c r="CB2" s="6" t="str" cm="1">
        <f t="array" ref="CB2">IF(CB1&lt;&gt; 0,_xlfn._xlws.SORT(_xlfn.UNIQUE(_xlfn._xlws.FILTER(AssembliesDB[[Assembly_ID]:[Assembly_ID]],AssembliesDB[[Title]:[Title]]=CB1),FALSE,FALSE),1,1),"")</f>
        <v/>
      </c>
      <c r="CC2" s="6" t="str" cm="1">
        <f t="array" ref="CC2">IF(CC1&lt;&gt; 0,_xlfn._xlws.SORT(_xlfn.UNIQUE(_xlfn._xlws.FILTER(AssembliesDB[[Assembly_ID]:[Assembly_ID]],AssembliesDB[[Title]:[Title]]=CC1),FALSE,FALSE),1,1),"")</f>
        <v/>
      </c>
      <c r="CD2" s="6" t="str" cm="1">
        <f t="array" ref="CD2">IF(CD1&lt;&gt; 0,_xlfn._xlws.SORT(_xlfn.UNIQUE(_xlfn._xlws.FILTER(AssembliesDB[[Assembly_ID]:[Assembly_ID]],AssembliesDB[[Title]:[Title]]=CD1),FALSE,FALSE),1,1),"")</f>
        <v/>
      </c>
      <c r="CE2" s="6" t="str" cm="1">
        <f t="array" ref="CE2">IF(CE1&lt;&gt; 0,_xlfn._xlws.SORT(_xlfn.UNIQUE(_xlfn._xlws.FILTER(AssembliesDB[[Assembly_ID]:[Assembly_ID]],AssembliesDB[[Title]:[Title]]=CE1),FALSE,FALSE),1,1),"")</f>
        <v/>
      </c>
      <c r="CF2" s="6" t="str" cm="1">
        <f t="array" ref="CF2">IF(CF1&lt;&gt; 0,_xlfn._xlws.SORT(_xlfn.UNIQUE(_xlfn._xlws.FILTER(AssembliesDB[[Assembly_ID]:[Assembly_ID]],AssembliesDB[[Title]:[Title]]=CF1),FALSE,FALSE),1,1),"")</f>
        <v/>
      </c>
      <c r="CG2" s="6" t="str" cm="1">
        <f t="array" ref="CG2">IF(CG1&lt;&gt; 0,_xlfn._xlws.SORT(_xlfn.UNIQUE(_xlfn._xlws.FILTER(AssembliesDB[[Assembly_ID]:[Assembly_ID]],AssembliesDB[[Title]:[Title]]=CG1),FALSE,FALSE),1,1),"")</f>
        <v/>
      </c>
      <c r="CH2" s="6" t="str" cm="1">
        <f t="array" ref="CH2">IF(CH1&lt;&gt; 0,_xlfn._xlws.SORT(_xlfn.UNIQUE(_xlfn._xlws.FILTER(AssembliesDB[[Assembly_ID]:[Assembly_ID]],AssembliesDB[[Title]:[Title]]=CH1),FALSE,FALSE),1,1),"")</f>
        <v/>
      </c>
      <c r="CI2" s="6" t="str" cm="1">
        <f t="array" ref="CI2">IF(CI1&lt;&gt; 0,_xlfn._xlws.SORT(_xlfn.UNIQUE(_xlfn._xlws.FILTER(AssembliesDB[[Assembly_ID]:[Assembly_ID]],AssembliesDB[[Title]:[Title]]=CI1),FALSE,FALSE),1,1),"")</f>
        <v/>
      </c>
      <c r="CJ2" s="6" t="str" cm="1">
        <f t="array" ref="CJ2">IF(CJ1&lt;&gt; 0,_xlfn._xlws.SORT(_xlfn.UNIQUE(_xlfn._xlws.FILTER(AssembliesDB[[Assembly_ID]:[Assembly_ID]],AssembliesDB[[Title]:[Title]]=CJ1),FALSE,FALSE),1,1),"")</f>
        <v/>
      </c>
      <c r="CK2" s="6" t="str" cm="1">
        <f t="array" ref="CK2">IF(CK1&lt;&gt; 0,_xlfn._xlws.SORT(_xlfn.UNIQUE(_xlfn._xlws.FILTER(AssembliesDB[[Assembly_ID]:[Assembly_ID]],AssembliesDB[[Title]:[Title]]=CK1),FALSE,FALSE),1,1),"")</f>
        <v/>
      </c>
      <c r="CL2" s="6" t="str" cm="1">
        <f t="array" ref="CL2">IF(CL1&lt;&gt; 0,_xlfn._xlws.SORT(_xlfn.UNIQUE(_xlfn._xlws.FILTER(AssembliesDB[[Assembly_ID]:[Assembly_ID]],AssembliesDB[[Title]:[Title]]=CL1),FALSE,FALSE),1,1),"")</f>
        <v/>
      </c>
      <c r="CM2" s="6" t="str" cm="1">
        <f t="array" ref="CM2">IF(CM1&lt;&gt; 0,_xlfn._xlws.SORT(_xlfn.UNIQUE(_xlfn._xlws.FILTER(AssembliesDB[[Assembly_ID]:[Assembly_ID]],AssembliesDB[[Title]:[Title]]=CM1),FALSE,FALSE),1,1),"")</f>
        <v/>
      </c>
      <c r="CN2" s="6" t="str" cm="1">
        <f t="array" ref="CN2">IF(CN1&lt;&gt; 0,_xlfn._xlws.SORT(_xlfn.UNIQUE(_xlfn._xlws.FILTER(AssembliesDB[[Assembly_ID]:[Assembly_ID]],AssembliesDB[[Title]:[Title]]=CN1),FALSE,FALSE),1,1),"")</f>
        <v/>
      </c>
      <c r="CO2" s="6" t="str" cm="1">
        <f t="array" ref="CO2">IF(CO1&lt;&gt; 0,_xlfn._xlws.SORT(_xlfn.UNIQUE(_xlfn._xlws.FILTER(AssembliesDB[[Assembly_ID]:[Assembly_ID]],AssembliesDB[[Title]:[Title]]=CO1),FALSE,FALSE),1,1),"")</f>
        <v/>
      </c>
      <c r="CP2" s="6" t="str" cm="1">
        <f t="array" ref="CP2">IF(CP1&lt;&gt; 0,_xlfn._xlws.SORT(_xlfn.UNIQUE(_xlfn._xlws.FILTER(AssembliesDB[[Assembly_ID]:[Assembly_ID]],AssembliesDB[[Title]:[Title]]=CP1),FALSE,FALSE),1,1),"")</f>
        <v/>
      </c>
      <c r="CQ2" s="6" t="str" cm="1">
        <f t="array" ref="CQ2">IF(CQ1&lt;&gt; 0,_xlfn._xlws.SORT(_xlfn.UNIQUE(_xlfn._xlws.FILTER(AssembliesDB[[Assembly_ID]:[Assembly_ID]],AssembliesDB[[Title]:[Title]]=CQ1),FALSE,FALSE),1,1),"")</f>
        <v/>
      </c>
      <c r="CR2" s="6" t="str" cm="1">
        <f t="array" ref="CR2">IF(CR1&lt;&gt; 0,_xlfn._xlws.SORT(_xlfn.UNIQUE(_xlfn._xlws.FILTER(AssembliesDB[[Assembly_ID]:[Assembly_ID]],AssembliesDB[[Title]:[Title]]=CR1),FALSE,FALSE),1,1),"")</f>
        <v/>
      </c>
      <c r="CS2" s="6" t="str" cm="1">
        <f t="array" ref="CS2">IF(CS1&lt;&gt; 0,_xlfn._xlws.SORT(_xlfn.UNIQUE(_xlfn._xlws.FILTER(AssembliesDB[[Assembly_ID]:[Assembly_ID]],AssembliesDB[[Title]:[Title]]=CS1),FALSE,FALSE),1,1),"")</f>
        <v/>
      </c>
      <c r="CT2" s="6" t="str" cm="1">
        <f t="array" ref="CT2">IF(CT1&lt;&gt; 0,_xlfn._xlws.SORT(_xlfn.UNIQUE(_xlfn._xlws.FILTER(AssembliesDB[[Assembly_ID]:[Assembly_ID]],AssembliesDB[[Title]:[Title]]=CT1),FALSE,FALSE),1,1),"")</f>
        <v/>
      </c>
      <c r="CU2" s="6" t="str" cm="1">
        <f t="array" ref="CU2">IF(CU1&lt;&gt; 0,_xlfn._xlws.SORT(_xlfn.UNIQUE(_xlfn._xlws.FILTER(AssembliesDB[[Assembly_ID]:[Assembly_ID]],AssembliesDB[[Title]:[Title]]=CU1),FALSE,FALSE),1,1),"")</f>
        <v/>
      </c>
      <c r="CV2" s="6" t="str" cm="1">
        <f t="array" ref="CV2">IF(CV1&lt;&gt; 0,_xlfn._xlws.SORT(_xlfn.UNIQUE(_xlfn._xlws.FILTER(AssembliesDB[[Assembly_ID]:[Assembly_ID]],AssembliesDB[[Title]:[Title]]=CV1),FALSE,FALSE),1,1),"")</f>
        <v/>
      </c>
      <c r="CW2" s="6" t="str" cm="1">
        <f t="array" ref="CW2">IF(CW1&lt;&gt; 0,_xlfn._xlws.SORT(_xlfn.UNIQUE(_xlfn._xlws.FILTER(AssembliesDB[[Assembly_ID]:[Assembly_ID]],AssembliesDB[[Title]:[Title]]=CW1),FALSE,FALSE),1,1),"")</f>
        <v/>
      </c>
      <c r="CX2" s="6" t="str" cm="1">
        <f t="array" ref="CX2">IF(CX1&lt;&gt; 0,_xlfn._xlws.SORT(_xlfn.UNIQUE(_xlfn._xlws.FILTER(AssembliesDB[[Assembly_ID]:[Assembly_ID]],AssembliesDB[[Title]:[Title]]=CX1),FALSE,FALSE),1,1),"")</f>
        <v/>
      </c>
      <c r="CY2" s="6" t="str" cm="1">
        <f t="array" ref="CY2">IF(CY1&lt;&gt; 0,_xlfn._xlws.SORT(_xlfn.UNIQUE(_xlfn._xlws.FILTER(AssembliesDB[[Assembly_ID]:[Assembly_ID]],AssembliesDB[[Title]:[Title]]=CY1),FALSE,FALSE),1,1),"")</f>
        <v/>
      </c>
      <c r="CZ2" s="6" t="str" cm="1">
        <f t="array" ref="CZ2">IF(CZ1&lt;&gt; 0,_xlfn._xlws.SORT(_xlfn.UNIQUE(_xlfn._xlws.FILTER(AssembliesDB[[Assembly_ID]:[Assembly_ID]],AssembliesDB[[Title]:[Title]]=CZ1),FALSE,FALSE),1,1),"")</f>
        <v/>
      </c>
      <c r="DA2" s="6" t="str" cm="1">
        <f t="array" ref="DA2">IF(DA1&lt;&gt; 0,_xlfn._xlws.SORT(_xlfn.UNIQUE(_xlfn._xlws.FILTER(AssembliesDB[[Assembly_ID]:[Assembly_ID]],AssembliesDB[[Title]:[Title]]=DA1),FALSE,FALSE),1,1),"")</f>
        <v/>
      </c>
      <c r="DB2" s="6" t="str" cm="1">
        <f t="array" ref="DB2">IF(DB1&lt;&gt; 0,_xlfn._xlws.SORT(_xlfn.UNIQUE(_xlfn._xlws.FILTER(AssembliesDB[[Assembly_ID]:[Assembly_ID]],AssembliesDB[[Title]:[Title]]=DB1),FALSE,FALSE),1,1),"")</f>
        <v/>
      </c>
      <c r="DC2" s="6" t="str" cm="1">
        <f t="array" ref="DC2">IF(DC1&lt;&gt; 0,_xlfn._xlws.SORT(_xlfn.UNIQUE(_xlfn._xlws.FILTER(AssembliesDB[[Assembly_ID]:[Assembly_ID]],AssembliesDB[[Title]:[Title]]=DC1),FALSE,FALSE),1,1),"")</f>
        <v/>
      </c>
      <c r="DD2" s="6" t="str" cm="1">
        <f t="array" ref="DD2">IF(DD1&lt;&gt; 0,_xlfn._xlws.SORT(_xlfn.UNIQUE(_xlfn._xlws.FILTER(AssembliesDB[[Assembly_ID]:[Assembly_ID]],AssembliesDB[[Title]:[Title]]=DD1),FALSE,FALSE),1,1),"")</f>
        <v/>
      </c>
      <c r="DE2" s="6" t="str" cm="1">
        <f t="array" ref="DE2">IF(DE1&lt;&gt; 0,_xlfn._xlws.SORT(_xlfn.UNIQUE(_xlfn._xlws.FILTER(AssembliesDB[[Assembly_ID]:[Assembly_ID]],AssembliesDB[[Title]:[Title]]=DE1),FALSE,FALSE),1,1),"")</f>
        <v/>
      </c>
      <c r="DF2" s="6" t="str" cm="1">
        <f t="array" ref="DF2">IF(DF1&lt;&gt; 0,_xlfn._xlws.SORT(_xlfn.UNIQUE(_xlfn._xlws.FILTER(AssembliesDB[[Assembly_ID]:[Assembly_ID]],AssembliesDB[[Title]:[Title]]=DF1),FALSE,FALSE),1,1),"")</f>
        <v/>
      </c>
    </row>
    <row r="3" spans="1:110" hidden="1" x14ac:dyDescent="0.2">
      <c r="A3" s="11" t="s">
        <v>117</v>
      </c>
      <c r="B3" s="11" t="s">
        <v>441</v>
      </c>
      <c r="C3" s="11" t="s">
        <v>118</v>
      </c>
      <c r="D3" s="6">
        <v>3</v>
      </c>
      <c r="E3" s="11" t="s">
        <v>430</v>
      </c>
      <c r="F3" s="11" t="s">
        <v>901</v>
      </c>
      <c r="G3" s="11" t="s">
        <v>900</v>
      </c>
      <c r="H3" s="11">
        <v>1</v>
      </c>
      <c r="I3" s="11"/>
      <c r="J3" s="11"/>
      <c r="K3" s="6" t="str">
        <v>COOLING</v>
      </c>
      <c r="L3" s="6" t="str">
        <v>1Dr, 84x40x24 LeftSideOpen</v>
      </c>
      <c r="M3" s="9"/>
      <c r="N3" s="6" t="str">
        <v>02HP_140MG+100C+E300+Eth/IP</v>
      </c>
      <c r="O3" s="6" t="str">
        <v>Hyd_Sys_Panel</v>
      </c>
      <c r="P3" s="6" t="str">
        <v>WENGLOR-TimeOfFlightLaser</v>
      </c>
      <c r="R3" s="9" t="str">
        <v>LVM-Exit-Inst+Cbl</v>
      </c>
      <c r="T3" s="6" t="str">
        <v>100A Therm. Mag. MCCB w/4'Cbl + Lugs</v>
      </c>
      <c r="U3" s="6" t="str">
        <v>LVM.OS</v>
      </c>
      <c r="W3" s="9" t="str">
        <v>200A-ClassJ PowerDist.</v>
      </c>
      <c r="X3" s="6" t="str">
        <v>1734-PointIO-Config</v>
      </c>
      <c r="Y3" s="6" t="str">
        <v>IOLM</v>
      </c>
      <c r="AA3" s="6" t="str">
        <v>PF755TS-007.5HP</v>
      </c>
      <c r="AB3" s="9"/>
      <c r="AC3" s="6" t="str">
        <v>1kA-120V Control Power</v>
      </c>
      <c r="AG3" s="9"/>
      <c r="AL3" s="9"/>
      <c r="AQ3" s="9"/>
      <c r="AV3" s="9"/>
      <c r="BA3" s="9"/>
      <c r="BF3" s="9"/>
      <c r="BK3" s="9"/>
      <c r="BP3" s="9"/>
      <c r="BU3" s="9"/>
      <c r="BZ3" s="9"/>
      <c r="CE3" s="9"/>
      <c r="CJ3" s="9"/>
      <c r="CO3" s="9"/>
      <c r="CT3" s="9"/>
      <c r="CY3" s="9"/>
      <c r="DD3" s="9"/>
    </row>
    <row r="4" spans="1:110" hidden="1" x14ac:dyDescent="0.2">
      <c r="A4" s="11" t="s">
        <v>117</v>
      </c>
      <c r="B4" s="11" t="s">
        <v>441</v>
      </c>
      <c r="C4" s="11" t="s">
        <v>78</v>
      </c>
      <c r="D4" s="6">
        <v>1</v>
      </c>
      <c r="E4" s="11" t="s">
        <v>430</v>
      </c>
      <c r="F4" s="11" t="s">
        <v>901</v>
      </c>
      <c r="G4" s="11" t="s">
        <v>900</v>
      </c>
      <c r="H4" s="11">
        <v>1</v>
      </c>
      <c r="I4" s="11"/>
      <c r="J4" s="11"/>
      <c r="K4" s="6" t="str">
        <v>FVNR</v>
      </c>
      <c r="L4" s="6" t="str">
        <v>1Dr, 84x40x24 RightSideOpen</v>
      </c>
      <c r="M4" s="9"/>
      <c r="N4" s="6" t="str">
        <v>03HP_140MG+100C+E300+Eth/IP</v>
      </c>
      <c r="R4" s="9"/>
      <c r="T4" s="6" t="str">
        <v>600A Therm. Mag, Adj.-MoldedCaseCB-65kA-480V</v>
      </c>
      <c r="U4" s="6" t="str">
        <v>MAIN.OS - Lg.2 HMI</v>
      </c>
      <c r="W4" s="9" t="str">
        <v>400A-ClassJ PowerDist.</v>
      </c>
      <c r="X4" s="6" t="str">
        <v>1756-Chassis-Config</v>
      </c>
      <c r="Y4" s="6" t="str">
        <v>IOLS</v>
      </c>
      <c r="AA4" s="6" t="str">
        <v>PF755TS-010HP</v>
      </c>
      <c r="AB4" s="9"/>
      <c r="AC4" s="6" t="str">
        <v>2kA-120V Control Power</v>
      </c>
      <c r="AG4" s="9"/>
      <c r="AL4" s="9"/>
      <c r="AQ4" s="9"/>
      <c r="AV4" s="9"/>
      <c r="BA4" s="9"/>
      <c r="BF4" s="9"/>
      <c r="BK4" s="9"/>
      <c r="BP4" s="9"/>
      <c r="BU4" s="9"/>
      <c r="BZ4" s="9"/>
      <c r="CE4" s="9"/>
      <c r="CJ4" s="9"/>
      <c r="CO4" s="9"/>
      <c r="CT4" s="9"/>
      <c r="CY4" s="9"/>
      <c r="DD4" s="9"/>
    </row>
    <row r="5" spans="1:110" hidden="1" x14ac:dyDescent="0.2">
      <c r="A5" s="11" t="s">
        <v>117</v>
      </c>
      <c r="B5" s="11" t="s">
        <v>441</v>
      </c>
      <c r="C5" s="11" t="s">
        <v>76</v>
      </c>
      <c r="D5" s="6">
        <v>1</v>
      </c>
      <c r="E5" s="11" t="s">
        <v>430</v>
      </c>
      <c r="F5" s="11" t="s">
        <v>901</v>
      </c>
      <c r="G5" s="11" t="s">
        <v>900</v>
      </c>
      <c r="H5" s="11">
        <v>1</v>
      </c>
      <c r="I5" s="11"/>
      <c r="J5" s="11"/>
      <c r="K5" s="6" t="str">
        <v>HS</v>
      </c>
      <c r="L5" s="6" t="str">
        <v>1Dr, 90x40x24 - PLC_Closed</v>
      </c>
      <c r="M5" s="9"/>
      <c r="N5" s="6" t="str">
        <v>05HP_140MG+100C+E300+Eth/IP</v>
      </c>
      <c r="R5" s="9"/>
      <c r="U5" s="6" t="str">
        <v>MAIN.OS - Small 1 HMI</v>
      </c>
      <c r="W5" s="9" t="str">
        <v>600A-ClassJ PowerDist.</v>
      </c>
      <c r="Y5" s="6" t="str">
        <v>LVM01-RIO</v>
      </c>
      <c r="AA5" s="6" t="str">
        <v>PF755TS-015HP</v>
      </c>
      <c r="AB5" s="9"/>
      <c r="AC5" s="6" t="str">
        <v>3kA-120V Control Power</v>
      </c>
      <c r="AG5" s="9"/>
      <c r="AL5" s="9"/>
      <c r="AQ5" s="9"/>
      <c r="AV5" s="9"/>
      <c r="BA5" s="9"/>
      <c r="BF5" s="9"/>
      <c r="BK5" s="9"/>
      <c r="BP5" s="9"/>
      <c r="BU5" s="9"/>
      <c r="BZ5" s="9"/>
      <c r="CE5" s="9"/>
      <c r="CJ5" s="9"/>
      <c r="CO5" s="9"/>
      <c r="CT5" s="9"/>
      <c r="CY5" s="9"/>
      <c r="DD5" s="9"/>
    </row>
    <row r="6" spans="1:110" hidden="1" x14ac:dyDescent="0.2">
      <c r="A6" s="11" t="s">
        <v>117</v>
      </c>
      <c r="B6" s="11" t="s">
        <v>441</v>
      </c>
      <c r="C6" s="11" t="s">
        <v>70</v>
      </c>
      <c r="D6" s="6">
        <v>1</v>
      </c>
      <c r="E6" s="11" t="s">
        <v>430</v>
      </c>
      <c r="F6" s="11" t="s">
        <v>901</v>
      </c>
      <c r="G6" s="11" t="s">
        <v>900</v>
      </c>
      <c r="H6" s="11">
        <v>1</v>
      </c>
      <c r="I6" s="11"/>
      <c r="J6" s="11"/>
      <c r="K6" s="6" t="str">
        <v>INST-LAS</v>
      </c>
      <c r="L6" s="6" t="str">
        <v>2Dr, 84x78x24 BothSideOpen</v>
      </c>
      <c r="M6" s="9"/>
      <c r="N6" s="6" t="str">
        <v>07.5HP_140MG+100C+E300+Eth/IP</v>
      </c>
      <c r="R6" s="9"/>
      <c r="U6" s="6" t="str">
        <v>SwingArmMount</v>
      </c>
      <c r="W6" s="9"/>
      <c r="Y6" s="6" t="str">
        <v>LVST01-RIO</v>
      </c>
      <c r="AA6" s="6" t="str">
        <v>PF755TS-020HP</v>
      </c>
      <c r="AB6" s="9"/>
      <c r="AC6" s="6" t="str">
        <v>5kA-120V Control Power</v>
      </c>
      <c r="AG6" s="9"/>
      <c r="AL6" s="9"/>
      <c r="AQ6" s="9"/>
      <c r="AV6" s="9"/>
      <c r="BA6" s="9"/>
      <c r="BF6" s="9"/>
      <c r="BK6" s="9"/>
      <c r="BP6" s="9"/>
      <c r="BU6" s="9"/>
      <c r="BZ6" s="9"/>
      <c r="CE6" s="9"/>
      <c r="CJ6" s="9"/>
      <c r="CO6" s="9"/>
      <c r="CT6" s="9"/>
      <c r="CY6" s="9"/>
      <c r="DD6" s="9"/>
    </row>
    <row r="7" spans="1:110" hidden="1" x14ac:dyDescent="0.2">
      <c r="A7" s="11" t="s">
        <v>117</v>
      </c>
      <c r="B7" s="11" t="s">
        <v>441</v>
      </c>
      <c r="C7" s="11" t="s">
        <v>103</v>
      </c>
      <c r="D7" s="6">
        <v>1</v>
      </c>
      <c r="E7" s="11" t="s">
        <v>430</v>
      </c>
      <c r="F7" s="11" t="s">
        <v>901</v>
      </c>
      <c r="G7" s="11" t="s">
        <v>900</v>
      </c>
      <c r="H7" s="11">
        <v>1</v>
      </c>
      <c r="I7" s="11"/>
      <c r="J7" s="11"/>
      <c r="K7" s="6" t="str">
        <v>INST-PRS</v>
      </c>
      <c r="L7" s="6" t="str">
        <v>2Dr, 84x78x24 LeftSideOpen</v>
      </c>
      <c r="M7" s="9"/>
      <c r="N7" s="6" t="str">
        <v>100HP_140MG+100C+E300+Eth/IP</v>
      </c>
      <c r="R7" s="9"/>
      <c r="W7" s="9"/>
      <c r="Y7" s="6" t="str">
        <v>LVST02-RIO</v>
      </c>
      <c r="AA7" s="6" t="str">
        <v>PF755TS-025HP</v>
      </c>
      <c r="AB7" s="9"/>
      <c r="AG7" s="9"/>
      <c r="AL7" s="9"/>
      <c r="AQ7" s="9"/>
      <c r="AV7" s="9"/>
      <c r="BA7" s="9"/>
      <c r="BF7" s="9"/>
      <c r="BK7" s="9"/>
      <c r="BP7" s="9"/>
      <c r="BU7" s="9"/>
      <c r="BZ7" s="9"/>
      <c r="CE7" s="9"/>
      <c r="CJ7" s="9"/>
      <c r="CO7" s="9"/>
      <c r="CT7" s="9"/>
      <c r="CY7" s="9"/>
      <c r="DD7" s="9"/>
    </row>
    <row r="8" spans="1:110" hidden="1" x14ac:dyDescent="0.2">
      <c r="A8" s="11" t="s">
        <v>117</v>
      </c>
      <c r="B8" s="11" t="s">
        <v>441</v>
      </c>
      <c r="C8" s="11" t="s">
        <v>109</v>
      </c>
      <c r="D8" s="6">
        <v>3</v>
      </c>
      <c r="E8" s="11" t="s">
        <v>430</v>
      </c>
      <c r="F8" s="11" t="s">
        <v>901</v>
      </c>
      <c r="G8" s="11" t="s">
        <v>900</v>
      </c>
      <c r="H8" s="11">
        <v>1</v>
      </c>
      <c r="I8" s="11"/>
      <c r="J8" s="11"/>
      <c r="K8" s="6" t="str">
        <v>LVM</v>
      </c>
      <c r="L8" s="6" t="str">
        <v>2Dr, 84x78x24 RightSideOpen</v>
      </c>
      <c r="M8" s="9"/>
      <c r="N8" s="6" t="str">
        <v>10HP_140MG+100C+E300+Eth/IP</v>
      </c>
      <c r="R8" s="9"/>
      <c r="W8" s="9"/>
      <c r="AA8" s="6" t="str">
        <v>PF755TS-030HP</v>
      </c>
      <c r="AB8" s="9"/>
      <c r="AG8" s="9"/>
      <c r="AL8" s="9"/>
      <c r="AQ8" s="9"/>
      <c r="AV8" s="9"/>
      <c r="BA8" s="9"/>
      <c r="BF8" s="9"/>
      <c r="BK8" s="9"/>
      <c r="BP8" s="9"/>
      <c r="BU8" s="9"/>
      <c r="BZ8" s="9"/>
      <c r="CE8" s="9"/>
      <c r="CJ8" s="9"/>
      <c r="CO8" s="9"/>
      <c r="CT8" s="9"/>
      <c r="CY8" s="9"/>
      <c r="DD8" s="9"/>
    </row>
    <row r="9" spans="1:110" hidden="1" x14ac:dyDescent="0.2">
      <c r="A9" s="11" t="s">
        <v>117</v>
      </c>
      <c r="B9" s="11" t="s">
        <v>441</v>
      </c>
      <c r="C9" s="11" t="s">
        <v>317</v>
      </c>
      <c r="D9" s="6">
        <v>1</v>
      </c>
      <c r="E9" s="11" t="s">
        <v>430</v>
      </c>
      <c r="F9" s="11" t="s">
        <v>901</v>
      </c>
      <c r="G9" s="11" t="s">
        <v>900</v>
      </c>
      <c r="H9" s="11">
        <v>1</v>
      </c>
      <c r="I9" s="11"/>
      <c r="J9" s="11"/>
      <c r="K9" s="6" t="str">
        <v>LVST</v>
      </c>
      <c r="L9" s="6" t="str">
        <v>2Dr, 90x78x24 - PLC_Closed</v>
      </c>
      <c r="M9" s="9"/>
      <c r="N9" s="6" t="str">
        <v>125HP_140MG+100C+E300+Eth/IP</v>
      </c>
      <c r="R9" s="9"/>
      <c r="W9" s="9"/>
      <c r="AA9" s="6" t="str">
        <v>PF755TS-040HP</v>
      </c>
      <c r="AB9" s="9"/>
      <c r="AG9" s="9"/>
      <c r="AL9" s="9"/>
      <c r="AQ9" s="9"/>
      <c r="AV9" s="9"/>
      <c r="BA9" s="9"/>
      <c r="BF9" s="9"/>
      <c r="BK9" s="9"/>
      <c r="BP9" s="9"/>
      <c r="BU9" s="9"/>
      <c r="BZ9" s="9"/>
      <c r="CE9" s="9"/>
      <c r="CJ9" s="9"/>
      <c r="CO9" s="9"/>
      <c r="CT9" s="9"/>
      <c r="CY9" s="9"/>
      <c r="DD9" s="9"/>
    </row>
    <row r="10" spans="1:110" hidden="1" x14ac:dyDescent="0.2">
      <c r="A10" s="11" t="s">
        <v>117</v>
      </c>
      <c r="B10" s="11" t="s">
        <v>441</v>
      </c>
      <c r="C10" s="11" t="s">
        <v>318</v>
      </c>
      <c r="D10" s="6">
        <v>1</v>
      </c>
      <c r="E10" s="11" t="s">
        <v>430</v>
      </c>
      <c r="F10" s="11" t="s">
        <v>901</v>
      </c>
      <c r="G10" s="11" t="s">
        <v>900</v>
      </c>
      <c r="H10" s="11">
        <v>1</v>
      </c>
      <c r="I10" s="11"/>
      <c r="J10" s="11"/>
      <c r="K10" s="6" t="str">
        <v>MCCB</v>
      </c>
      <c r="L10" s="6" t="str">
        <v>2Dr, 90x78x24 BothSideOpen</v>
      </c>
      <c r="M10" s="9"/>
      <c r="N10" s="6" t="str">
        <v>15HP_140MG+100C+E300+Eth/IP</v>
      </c>
      <c r="R10" s="9"/>
      <c r="W10" s="9"/>
      <c r="AA10" s="6" t="str">
        <v>PF755TS-050HP</v>
      </c>
      <c r="AB10" s="9"/>
      <c r="AG10" s="9"/>
      <c r="AL10" s="9"/>
      <c r="AQ10" s="9"/>
      <c r="AV10" s="9"/>
      <c r="BA10" s="9"/>
      <c r="BF10" s="9"/>
      <c r="BK10" s="9"/>
      <c r="BP10" s="9"/>
      <c r="BU10" s="9"/>
      <c r="BZ10" s="9"/>
      <c r="CE10" s="9"/>
      <c r="CJ10" s="9"/>
      <c r="CO10" s="9"/>
      <c r="CT10" s="9"/>
      <c r="CY10" s="9"/>
      <c r="DD10" s="9"/>
    </row>
    <row r="11" spans="1:110" hidden="1" x14ac:dyDescent="0.2">
      <c r="A11" s="11" t="s">
        <v>117</v>
      </c>
      <c r="B11" s="11" t="s">
        <v>441</v>
      </c>
      <c r="C11" s="11" t="s">
        <v>368</v>
      </c>
      <c r="D11" s="6">
        <v>2</v>
      </c>
      <c r="E11" s="11" t="s">
        <v>430</v>
      </c>
      <c r="F11" s="11" t="s">
        <v>901</v>
      </c>
      <c r="G11" s="11" t="s">
        <v>900</v>
      </c>
      <c r="H11" s="11">
        <v>1</v>
      </c>
      <c r="I11" s="11"/>
      <c r="J11" s="11"/>
      <c r="K11" s="6" t="str">
        <v>OS</v>
      </c>
      <c r="L11" s="6" t="str">
        <v>2Dr, 90x78x24 LeftSideOpenDisc</v>
      </c>
      <c r="M11" s="9"/>
      <c r="N11" s="6" t="str">
        <v>20HP_140MG+100C+E300+Eth/IP</v>
      </c>
      <c r="R11" s="9"/>
      <c r="W11" s="9"/>
      <c r="AA11" s="6" t="str">
        <v>PF755TS-060HP</v>
      </c>
      <c r="AB11" s="9"/>
      <c r="AG11" s="9"/>
      <c r="AL11" s="9"/>
      <c r="AQ11" s="9"/>
      <c r="AV11" s="9"/>
      <c r="BA11" s="9"/>
      <c r="BF11" s="9"/>
      <c r="BK11" s="9"/>
      <c r="BP11" s="9"/>
      <c r="BU11" s="9"/>
      <c r="BZ11" s="9"/>
      <c r="CE11" s="9"/>
      <c r="CJ11" s="9"/>
      <c r="CO11" s="9"/>
      <c r="CT11" s="9"/>
      <c r="CY11" s="9"/>
      <c r="DD11" s="9"/>
    </row>
    <row r="12" spans="1:110" hidden="1" x14ac:dyDescent="0.2">
      <c r="A12" s="11" t="s">
        <v>117</v>
      </c>
      <c r="B12" s="11" t="s">
        <v>441</v>
      </c>
      <c r="C12" s="11" t="s">
        <v>370</v>
      </c>
      <c r="D12" s="6">
        <v>50</v>
      </c>
      <c r="E12" s="11" t="s">
        <v>430</v>
      </c>
      <c r="F12" s="11" t="s">
        <v>901</v>
      </c>
      <c r="G12" s="11" t="s">
        <v>900</v>
      </c>
      <c r="H12" s="11">
        <v>1</v>
      </c>
      <c r="I12" s="11"/>
      <c r="J12" s="11"/>
      <c r="K12" s="6" t="str">
        <v>PDB</v>
      </c>
      <c r="L12" s="6" t="str">
        <v>2Dr, 90x78x24 RightSideOpen</v>
      </c>
      <c r="M12" s="9"/>
      <c r="N12" s="6" t="str">
        <v>25HP_140MG+100C+E300+Eth/IP</v>
      </c>
      <c r="R12" s="9"/>
      <c r="W12" s="9"/>
      <c r="AA12" s="6" t="str">
        <v>PF755TS-075HP</v>
      </c>
      <c r="AB12" s="9"/>
      <c r="AG12" s="9"/>
      <c r="AL12" s="9"/>
      <c r="AQ12" s="9"/>
      <c r="AV12" s="9"/>
      <c r="BA12" s="9"/>
      <c r="BF12" s="9"/>
      <c r="BK12" s="9"/>
      <c r="BP12" s="9"/>
      <c r="BU12" s="9"/>
      <c r="BZ12" s="9"/>
      <c r="CE12" s="9"/>
      <c r="CJ12" s="9"/>
      <c r="CO12" s="9"/>
      <c r="CT12" s="9"/>
      <c r="CY12" s="9"/>
      <c r="DD12" s="9"/>
    </row>
    <row r="13" spans="1:110" hidden="1" x14ac:dyDescent="0.2">
      <c r="A13" s="11" t="s">
        <v>117</v>
      </c>
      <c r="B13" s="11" t="s">
        <v>442</v>
      </c>
      <c r="C13" s="11" t="s">
        <v>47</v>
      </c>
      <c r="D13" s="6">
        <v>1</v>
      </c>
      <c r="E13" s="11" t="s">
        <v>431</v>
      </c>
      <c r="F13" s="11" t="s">
        <v>901</v>
      </c>
      <c r="G13" s="11" t="s">
        <v>900</v>
      </c>
      <c r="H13" s="11">
        <v>1</v>
      </c>
      <c r="I13" s="11"/>
      <c r="J13" s="11"/>
      <c r="K13" s="6" t="str">
        <v>PDB-FU</v>
      </c>
      <c r="M13" s="9"/>
      <c r="N13" s="6" t="str">
        <v>30HP_140MG+100C+E300+Eth/IP</v>
      </c>
      <c r="R13" s="9"/>
      <c r="W13" s="9"/>
      <c r="AA13" s="6" t="str">
        <v>PF755TS-100HP</v>
      </c>
      <c r="AB13" s="9"/>
      <c r="AG13" s="9"/>
      <c r="AL13" s="9"/>
      <c r="AQ13" s="9"/>
      <c r="AV13" s="9"/>
      <c r="BA13" s="9"/>
      <c r="BF13" s="9"/>
      <c r="BK13" s="9"/>
      <c r="BP13" s="9"/>
      <c r="BU13" s="9"/>
      <c r="BZ13" s="9"/>
      <c r="CE13" s="9"/>
      <c r="CJ13" s="9"/>
      <c r="CO13" s="9"/>
      <c r="CT13" s="9"/>
      <c r="CY13" s="9"/>
      <c r="DD13" s="9"/>
    </row>
    <row r="14" spans="1:110" hidden="1" x14ac:dyDescent="0.2">
      <c r="A14" s="11" t="s">
        <v>117</v>
      </c>
      <c r="B14" s="11" t="s">
        <v>442</v>
      </c>
      <c r="C14" s="11" t="s">
        <v>358</v>
      </c>
      <c r="D14" s="6">
        <v>3</v>
      </c>
      <c r="E14" s="11" t="s">
        <v>431</v>
      </c>
      <c r="F14" s="11" t="s">
        <v>901</v>
      </c>
      <c r="G14" s="11" t="s">
        <v>900</v>
      </c>
      <c r="H14" s="11">
        <v>1</v>
      </c>
      <c r="I14" s="11"/>
      <c r="J14" s="11"/>
      <c r="K14" s="6" t="str">
        <v>PLC</v>
      </c>
      <c r="M14" s="9"/>
      <c r="N14" s="6" t="str">
        <v>40HP_140MG+100C+E300+Eth/IP</v>
      </c>
      <c r="R14" s="9"/>
      <c r="W14" s="9"/>
      <c r="AA14" s="6" t="str">
        <v>PF755TS-125HP</v>
      </c>
      <c r="AB14" s="9"/>
      <c r="AG14" s="9"/>
      <c r="AL14" s="9"/>
      <c r="AQ14" s="9"/>
      <c r="AV14" s="9"/>
      <c r="BA14" s="9"/>
      <c r="BF14" s="9"/>
      <c r="BK14" s="9"/>
      <c r="BP14" s="9"/>
      <c r="BU14" s="9"/>
      <c r="BZ14" s="9"/>
      <c r="CE14" s="9"/>
      <c r="CJ14" s="9"/>
      <c r="CO14" s="9"/>
      <c r="CT14" s="9"/>
      <c r="CY14" s="9"/>
      <c r="DD14" s="9"/>
    </row>
    <row r="15" spans="1:110" hidden="1" x14ac:dyDescent="0.2">
      <c r="A15" s="11" t="s">
        <v>117</v>
      </c>
      <c r="B15" s="11" t="s">
        <v>442</v>
      </c>
      <c r="C15" s="11" t="s">
        <v>78</v>
      </c>
      <c r="D15" s="6">
        <v>1</v>
      </c>
      <c r="E15" s="11" t="s">
        <v>431</v>
      </c>
      <c r="F15" s="11" t="s">
        <v>901</v>
      </c>
      <c r="G15" s="11" t="s">
        <v>900</v>
      </c>
      <c r="H15" s="11">
        <v>1</v>
      </c>
      <c r="I15" s="11"/>
      <c r="J15" s="11"/>
      <c r="K15" s="6" t="str">
        <v>RIO</v>
      </c>
      <c r="M15" s="9"/>
      <c r="N15" s="6" t="str">
        <v>50HP_140MG+100C+E300+Eth/IP</v>
      </c>
      <c r="R15" s="9"/>
      <c r="W15" s="9"/>
      <c r="AA15" s="6" t="str">
        <v>PF755TS-150HP</v>
      </c>
      <c r="AB15" s="9"/>
      <c r="AG15" s="9"/>
      <c r="AL15" s="9"/>
      <c r="AQ15" s="9"/>
      <c r="AV15" s="9"/>
      <c r="BA15" s="9"/>
      <c r="BF15" s="9"/>
      <c r="BK15" s="9"/>
      <c r="BP15" s="9"/>
      <c r="BU15" s="9"/>
      <c r="BZ15" s="9"/>
      <c r="CE15" s="9"/>
      <c r="CJ15" s="9"/>
      <c r="CO15" s="9"/>
      <c r="CT15" s="9"/>
      <c r="CY15" s="9"/>
      <c r="DD15" s="9"/>
    </row>
    <row r="16" spans="1:110" hidden="1" x14ac:dyDescent="0.2">
      <c r="A16" s="11" t="s">
        <v>117</v>
      </c>
      <c r="B16" s="11" t="s">
        <v>442</v>
      </c>
      <c r="C16" s="11" t="s">
        <v>76</v>
      </c>
      <c r="D16" s="6">
        <v>1</v>
      </c>
      <c r="E16" s="11" t="s">
        <v>431</v>
      </c>
      <c r="F16" s="11" t="s">
        <v>901</v>
      </c>
      <c r="G16" s="11" t="s">
        <v>900</v>
      </c>
      <c r="H16" s="11">
        <v>1</v>
      </c>
      <c r="I16" s="11"/>
      <c r="J16" s="11"/>
      <c r="K16" s="6" t="str">
        <v>SG</v>
      </c>
      <c r="M16" s="9"/>
      <c r="N16" s="6" t="str">
        <v>60HP_140MG+100C+E300+Eth/IP</v>
      </c>
      <c r="R16" s="9"/>
      <c r="W16" s="9"/>
      <c r="AA16" s="6" t="str">
        <v>PF755TS-200HP</v>
      </c>
      <c r="AB16" s="9"/>
      <c r="AG16" s="9"/>
      <c r="AL16" s="9"/>
      <c r="AQ16" s="9"/>
      <c r="AV16" s="9"/>
      <c r="BA16" s="9"/>
      <c r="BF16" s="9"/>
      <c r="BK16" s="9"/>
      <c r="BP16" s="9"/>
      <c r="BU16" s="9"/>
      <c r="BZ16" s="9"/>
      <c r="CE16" s="9"/>
      <c r="CJ16" s="9"/>
      <c r="CO16" s="9"/>
      <c r="CT16" s="9"/>
      <c r="CY16" s="9"/>
      <c r="DD16" s="9"/>
    </row>
    <row r="17" spans="1:108" hidden="1" x14ac:dyDescent="0.2">
      <c r="A17" s="11" t="s">
        <v>117</v>
      </c>
      <c r="B17" s="11" t="s">
        <v>442</v>
      </c>
      <c r="C17" s="11" t="s">
        <v>70</v>
      </c>
      <c r="D17" s="6">
        <v>1</v>
      </c>
      <c r="E17" s="11" t="s">
        <v>431</v>
      </c>
      <c r="F17" s="11" t="s">
        <v>901</v>
      </c>
      <c r="G17" s="11" t="s">
        <v>900</v>
      </c>
      <c r="H17" s="11">
        <v>1</v>
      </c>
      <c r="I17" s="11"/>
      <c r="J17" s="11"/>
      <c r="K17" s="6" t="str">
        <v>VFD</v>
      </c>
      <c r="M17" s="9"/>
      <c r="N17" s="6" t="str">
        <v>75HP_140MG+100C+E300+Eth/IP</v>
      </c>
      <c r="R17" s="9"/>
      <c r="W17" s="9"/>
      <c r="AA17" s="6" t="str">
        <v>PF755TS-250HP</v>
      </c>
      <c r="AB17" s="9"/>
      <c r="AG17" s="9"/>
      <c r="AL17" s="9"/>
      <c r="AQ17" s="9"/>
      <c r="AV17" s="9"/>
      <c r="BA17" s="9"/>
      <c r="BF17" s="9"/>
      <c r="BK17" s="9"/>
      <c r="BP17" s="9"/>
      <c r="BU17" s="9"/>
      <c r="BZ17" s="9"/>
      <c r="CE17" s="9"/>
      <c r="CJ17" s="9"/>
      <c r="CO17" s="9"/>
      <c r="CT17" s="9"/>
      <c r="CY17" s="9"/>
      <c r="DD17" s="9"/>
    </row>
    <row r="18" spans="1:108" hidden="1" x14ac:dyDescent="0.2">
      <c r="A18" s="11" t="s">
        <v>117</v>
      </c>
      <c r="B18" s="11" t="s">
        <v>442</v>
      </c>
      <c r="C18" s="11" t="s">
        <v>103</v>
      </c>
      <c r="D18" s="6">
        <v>1</v>
      </c>
      <c r="E18" s="11" t="s">
        <v>431</v>
      </c>
      <c r="F18" s="11" t="s">
        <v>901</v>
      </c>
      <c r="G18" s="11" t="s">
        <v>900</v>
      </c>
      <c r="H18" s="11">
        <v>1</v>
      </c>
      <c r="I18" s="11"/>
      <c r="J18" s="11"/>
      <c r="K18" s="6" t="str">
        <v>WW</v>
      </c>
      <c r="M18" s="9"/>
      <c r="N18" s="6" t="str">
        <v>NEMA-100HP_140G+300+E300+Eth/IP</v>
      </c>
      <c r="R18" s="9"/>
      <c r="W18" s="9"/>
      <c r="AB18" s="9"/>
      <c r="AG18" s="9"/>
      <c r="AL18" s="9"/>
      <c r="AQ18" s="9"/>
      <c r="AV18" s="9"/>
      <c r="BA18" s="9"/>
      <c r="BF18" s="9"/>
      <c r="BK18" s="9"/>
      <c r="BP18" s="9"/>
      <c r="BU18" s="9"/>
      <c r="BZ18" s="9"/>
      <c r="CE18" s="9"/>
      <c r="CJ18" s="9"/>
      <c r="CO18" s="9"/>
      <c r="CT18" s="9"/>
      <c r="CY18" s="9"/>
      <c r="DD18" s="9"/>
    </row>
    <row r="19" spans="1:108" hidden="1" x14ac:dyDescent="0.2">
      <c r="A19" s="11" t="s">
        <v>117</v>
      </c>
      <c r="B19" s="11" t="s">
        <v>442</v>
      </c>
      <c r="C19" s="11" t="s">
        <v>109</v>
      </c>
      <c r="D19" s="6">
        <v>3</v>
      </c>
      <c r="E19" s="11" t="s">
        <v>431</v>
      </c>
      <c r="F19" s="11" t="s">
        <v>901</v>
      </c>
      <c r="G19" s="11" t="s">
        <v>900</v>
      </c>
      <c r="H19" s="11">
        <v>1</v>
      </c>
      <c r="I19" s="11"/>
      <c r="J19" s="11"/>
      <c r="K19" s="6" t="str">
        <v>XFMR-CTRL</v>
      </c>
      <c r="M19" s="9"/>
      <c r="N19" s="6" t="str">
        <v>NEMA-50HP_140G+300+E300+Eth/IP</v>
      </c>
      <c r="R19" s="9"/>
      <c r="W19" s="9"/>
      <c r="AB19" s="9"/>
      <c r="AG19" s="9"/>
      <c r="AL19" s="9"/>
      <c r="AQ19" s="9"/>
      <c r="AV19" s="9"/>
      <c r="BA19" s="9"/>
      <c r="BF19" s="9"/>
      <c r="BK19" s="9"/>
      <c r="BP19" s="9"/>
      <c r="BU19" s="9"/>
      <c r="BZ19" s="9"/>
      <c r="CE19" s="9"/>
      <c r="CJ19" s="9"/>
      <c r="CO19" s="9"/>
      <c r="CT19" s="9"/>
      <c r="CY19" s="9"/>
      <c r="DD19" s="9"/>
    </row>
    <row r="20" spans="1:108" hidden="1" x14ac:dyDescent="0.2">
      <c r="A20" s="11" t="s">
        <v>117</v>
      </c>
      <c r="B20" s="11" t="s">
        <v>442</v>
      </c>
      <c r="C20" s="11" t="s">
        <v>359</v>
      </c>
      <c r="D20" s="6">
        <v>1</v>
      </c>
      <c r="E20" s="11" t="s">
        <v>431</v>
      </c>
      <c r="F20" s="11" t="s">
        <v>901</v>
      </c>
      <c r="G20" s="11" t="s">
        <v>900</v>
      </c>
      <c r="H20" s="11">
        <v>1</v>
      </c>
      <c r="I20" s="11"/>
      <c r="J20" s="11"/>
      <c r="K20" s="6">
        <v>0</v>
      </c>
      <c r="M20" s="9"/>
      <c r="R20" s="9"/>
      <c r="W20" s="9"/>
      <c r="AB20" s="9"/>
      <c r="AG20" s="9"/>
      <c r="AL20" s="9"/>
      <c r="AQ20" s="9"/>
      <c r="AV20" s="9"/>
      <c r="BA20" s="9"/>
      <c r="BF20" s="9"/>
      <c r="BK20" s="9"/>
      <c r="BP20" s="9"/>
      <c r="BU20" s="9"/>
      <c r="BZ20" s="9"/>
      <c r="CE20" s="9"/>
      <c r="CJ20" s="9"/>
      <c r="CO20" s="9"/>
      <c r="CT20" s="9"/>
      <c r="CY20" s="9"/>
      <c r="DD20" s="9"/>
    </row>
    <row r="21" spans="1:108" hidden="1" x14ac:dyDescent="0.2">
      <c r="A21" s="11" t="s">
        <v>117</v>
      </c>
      <c r="B21" s="11" t="s">
        <v>442</v>
      </c>
      <c r="C21" s="11" t="s">
        <v>360</v>
      </c>
      <c r="D21" s="6">
        <v>1</v>
      </c>
      <c r="E21" s="11" t="s">
        <v>431</v>
      </c>
      <c r="F21" s="11" t="s">
        <v>901</v>
      </c>
      <c r="G21" s="11" t="s">
        <v>900</v>
      </c>
      <c r="H21" s="11">
        <v>1</v>
      </c>
      <c r="I21" s="11"/>
      <c r="J21" s="11"/>
      <c r="M21" s="9"/>
      <c r="R21" s="9"/>
      <c r="W21" s="9"/>
      <c r="AB21" s="9"/>
      <c r="AG21" s="9"/>
      <c r="AL21" s="9"/>
      <c r="AQ21" s="9"/>
      <c r="AV21" s="9"/>
      <c r="BA21" s="9"/>
      <c r="BF21" s="9"/>
      <c r="BK21" s="9"/>
      <c r="BP21" s="9"/>
      <c r="BU21" s="9"/>
      <c r="BZ21" s="9"/>
      <c r="CE21" s="9"/>
      <c r="CJ21" s="9"/>
      <c r="CO21" s="9"/>
      <c r="CT21" s="9"/>
      <c r="CY21" s="9"/>
      <c r="DD21" s="9"/>
    </row>
    <row r="22" spans="1:108" hidden="1" x14ac:dyDescent="0.2">
      <c r="A22" s="11" t="s">
        <v>117</v>
      </c>
      <c r="B22" s="11" t="s">
        <v>442</v>
      </c>
      <c r="C22" s="11" t="s">
        <v>368</v>
      </c>
      <c r="D22" s="6">
        <v>2</v>
      </c>
      <c r="E22" s="11" t="s">
        <v>431</v>
      </c>
      <c r="F22" s="11" t="s">
        <v>901</v>
      </c>
      <c r="G22" s="11" t="s">
        <v>900</v>
      </c>
      <c r="H22" s="11">
        <v>1</v>
      </c>
      <c r="I22" s="11"/>
      <c r="J22" s="11"/>
      <c r="M22" s="9"/>
      <c r="R22" s="9"/>
      <c r="W22" s="9"/>
      <c r="AB22" s="9"/>
      <c r="AG22" s="9"/>
      <c r="AL22" s="9"/>
      <c r="AQ22" s="9"/>
      <c r="AV22" s="9"/>
      <c r="BA22" s="9"/>
      <c r="BF22" s="9"/>
      <c r="BK22" s="9"/>
      <c r="BP22" s="9"/>
      <c r="BU22" s="9"/>
      <c r="BZ22" s="9"/>
      <c r="CE22" s="9"/>
      <c r="CJ22" s="9"/>
      <c r="CO22" s="9"/>
      <c r="CT22" s="9"/>
      <c r="CY22" s="9"/>
      <c r="DD22" s="9"/>
    </row>
    <row r="23" spans="1:108" hidden="1" x14ac:dyDescent="0.2">
      <c r="A23" s="11" t="s">
        <v>117</v>
      </c>
      <c r="B23" s="11" t="s">
        <v>442</v>
      </c>
      <c r="C23" s="11" t="s">
        <v>370</v>
      </c>
      <c r="D23" s="6">
        <v>50</v>
      </c>
      <c r="E23" s="11" t="s">
        <v>431</v>
      </c>
      <c r="F23" s="11" t="s">
        <v>901</v>
      </c>
      <c r="G23" s="11" t="s">
        <v>900</v>
      </c>
      <c r="H23" s="11">
        <v>1</v>
      </c>
      <c r="I23" s="11"/>
      <c r="J23" s="11"/>
      <c r="M23" s="9"/>
      <c r="R23" s="9"/>
      <c r="W23" s="9"/>
      <c r="AB23" s="9"/>
      <c r="AG23" s="9"/>
      <c r="AL23" s="9"/>
      <c r="AQ23" s="9"/>
      <c r="AV23" s="9"/>
      <c r="BA23" s="9"/>
      <c r="BF23" s="9"/>
      <c r="BK23" s="9"/>
      <c r="BP23" s="9"/>
      <c r="BU23" s="9"/>
      <c r="BZ23" s="9"/>
      <c r="CE23" s="9"/>
      <c r="CJ23" s="9"/>
      <c r="CO23" s="9"/>
      <c r="CT23" s="9"/>
      <c r="CY23" s="9"/>
      <c r="DD23" s="9"/>
    </row>
    <row r="24" spans="1:108" hidden="1" x14ac:dyDescent="0.2">
      <c r="A24" s="11" t="s">
        <v>117</v>
      </c>
      <c r="B24" s="11" t="s">
        <v>443</v>
      </c>
      <c r="C24" s="11" t="s">
        <v>48</v>
      </c>
      <c r="D24" s="6">
        <v>1</v>
      </c>
      <c r="E24" s="11" t="s">
        <v>432</v>
      </c>
      <c r="F24" s="11" t="s">
        <v>901</v>
      </c>
      <c r="G24" s="11" t="s">
        <v>900</v>
      </c>
      <c r="H24" s="11">
        <v>1</v>
      </c>
      <c r="I24" s="11"/>
      <c r="J24" s="11"/>
      <c r="M24" s="9"/>
      <c r="R24" s="9"/>
      <c r="W24" s="9"/>
      <c r="AB24" s="9"/>
      <c r="AG24" s="9"/>
      <c r="AL24" s="9"/>
      <c r="AQ24" s="9"/>
      <c r="AV24" s="9"/>
      <c r="BA24" s="9"/>
      <c r="BF24" s="9"/>
      <c r="BK24" s="9"/>
      <c r="BP24" s="9"/>
      <c r="BU24" s="9"/>
      <c r="BZ24" s="9"/>
      <c r="CE24" s="9"/>
      <c r="CJ24" s="9"/>
      <c r="CO24" s="9"/>
      <c r="CT24" s="9"/>
      <c r="CY24" s="9"/>
      <c r="DD24" s="9"/>
    </row>
    <row r="25" spans="1:108" hidden="1" x14ac:dyDescent="0.2">
      <c r="A25" s="11" t="s">
        <v>117</v>
      </c>
      <c r="B25" s="11" t="s">
        <v>443</v>
      </c>
      <c r="C25" s="11" t="s">
        <v>101</v>
      </c>
      <c r="D25" s="6">
        <v>3</v>
      </c>
      <c r="E25" s="11" t="s">
        <v>432</v>
      </c>
      <c r="F25" s="11" t="s">
        <v>901</v>
      </c>
      <c r="G25" s="11" t="s">
        <v>900</v>
      </c>
      <c r="H25" s="11">
        <v>1</v>
      </c>
      <c r="I25" s="11"/>
      <c r="J25" s="11"/>
      <c r="M25" s="9"/>
      <c r="R25" s="9"/>
      <c r="W25" s="9"/>
      <c r="AB25" s="9"/>
      <c r="AG25" s="9"/>
      <c r="AL25" s="9"/>
      <c r="AQ25" s="9"/>
      <c r="AV25" s="9"/>
      <c r="BA25" s="9"/>
      <c r="BF25" s="9"/>
      <c r="BK25" s="9"/>
      <c r="BP25" s="9"/>
      <c r="BU25" s="9"/>
      <c r="BZ25" s="9"/>
      <c r="CE25" s="9"/>
      <c r="CJ25" s="9"/>
      <c r="CO25" s="9"/>
      <c r="CT25" s="9"/>
      <c r="CY25" s="9"/>
      <c r="DD25" s="9"/>
    </row>
    <row r="26" spans="1:108" hidden="1" x14ac:dyDescent="0.2">
      <c r="A26" s="11" t="s">
        <v>117</v>
      </c>
      <c r="B26" s="11" t="s">
        <v>443</v>
      </c>
      <c r="C26" s="11" t="s">
        <v>78</v>
      </c>
      <c r="D26" s="6">
        <v>1</v>
      </c>
      <c r="E26" s="11" t="s">
        <v>432</v>
      </c>
      <c r="F26" s="11" t="s">
        <v>901</v>
      </c>
      <c r="G26" s="11" t="s">
        <v>900</v>
      </c>
      <c r="H26" s="11">
        <v>1</v>
      </c>
      <c r="I26" s="11"/>
      <c r="J26" s="11"/>
      <c r="M26" s="9"/>
      <c r="R26" s="9"/>
      <c r="W26" s="9"/>
      <c r="AB26" s="9"/>
      <c r="AG26" s="9"/>
      <c r="AL26" s="9"/>
      <c r="AQ26" s="9"/>
      <c r="AV26" s="9"/>
      <c r="BA26" s="9"/>
      <c r="BF26" s="9"/>
      <c r="BK26" s="9"/>
      <c r="BP26" s="9"/>
      <c r="BU26" s="9"/>
      <c r="BZ26" s="9"/>
      <c r="CE26" s="9"/>
      <c r="CJ26" s="9"/>
      <c r="CO26" s="9"/>
      <c r="CT26" s="9"/>
      <c r="CY26" s="9"/>
      <c r="DD26" s="9"/>
    </row>
    <row r="27" spans="1:108" hidden="1" x14ac:dyDescent="0.2">
      <c r="A27" s="11" t="s">
        <v>117</v>
      </c>
      <c r="B27" s="11" t="s">
        <v>443</v>
      </c>
      <c r="C27" s="11" t="s">
        <v>76</v>
      </c>
      <c r="D27" s="6">
        <v>1</v>
      </c>
      <c r="E27" s="11" t="s">
        <v>432</v>
      </c>
      <c r="F27" s="11" t="s">
        <v>901</v>
      </c>
      <c r="G27" s="11" t="s">
        <v>900</v>
      </c>
      <c r="H27" s="11">
        <v>1</v>
      </c>
      <c r="I27" s="11"/>
      <c r="J27" s="11"/>
      <c r="M27" s="9"/>
      <c r="R27" s="9"/>
      <c r="W27" s="9"/>
      <c r="AB27" s="9"/>
      <c r="AG27" s="9"/>
      <c r="AL27" s="9"/>
      <c r="AQ27" s="9"/>
      <c r="AV27" s="9"/>
      <c r="BA27" s="9"/>
      <c r="BF27" s="9"/>
      <c r="BK27" s="9"/>
      <c r="BP27" s="9"/>
      <c r="BU27" s="9"/>
      <c r="BZ27" s="9"/>
      <c r="CE27" s="9"/>
      <c r="CJ27" s="9"/>
      <c r="CO27" s="9"/>
      <c r="CT27" s="9"/>
      <c r="CY27" s="9"/>
      <c r="DD27" s="9"/>
    </row>
    <row r="28" spans="1:108" hidden="1" x14ac:dyDescent="0.2">
      <c r="A28" s="11" t="s">
        <v>117</v>
      </c>
      <c r="B28" s="11" t="s">
        <v>443</v>
      </c>
      <c r="C28" s="11" t="s">
        <v>70</v>
      </c>
      <c r="D28" s="6">
        <v>1</v>
      </c>
      <c r="E28" s="11" t="s">
        <v>432</v>
      </c>
      <c r="F28" s="11" t="s">
        <v>901</v>
      </c>
      <c r="G28" s="11" t="s">
        <v>900</v>
      </c>
      <c r="H28" s="11">
        <v>1</v>
      </c>
      <c r="I28" s="11"/>
      <c r="J28" s="11"/>
      <c r="M28" s="9"/>
      <c r="R28" s="9"/>
      <c r="W28" s="9"/>
      <c r="AB28" s="9"/>
      <c r="AG28" s="9"/>
      <c r="AL28" s="9"/>
      <c r="AQ28" s="9"/>
      <c r="AV28" s="9"/>
      <c r="BA28" s="9"/>
      <c r="BF28" s="9"/>
      <c r="BK28" s="9"/>
      <c r="BP28" s="9"/>
      <c r="BU28" s="9"/>
      <c r="BZ28" s="9"/>
      <c r="CE28" s="9"/>
      <c r="CJ28" s="9"/>
      <c r="CO28" s="9"/>
      <c r="CT28" s="9"/>
      <c r="CY28" s="9"/>
      <c r="DD28" s="9"/>
    </row>
    <row r="29" spans="1:108" hidden="1" x14ac:dyDescent="0.2">
      <c r="A29" s="11" t="s">
        <v>117</v>
      </c>
      <c r="B29" s="11" t="s">
        <v>443</v>
      </c>
      <c r="C29" s="11" t="s">
        <v>103</v>
      </c>
      <c r="D29" s="6">
        <v>1</v>
      </c>
      <c r="E29" s="11" t="s">
        <v>432</v>
      </c>
      <c r="F29" s="11" t="s">
        <v>901</v>
      </c>
      <c r="G29" s="11" t="s">
        <v>900</v>
      </c>
      <c r="H29" s="11">
        <v>1</v>
      </c>
      <c r="I29" s="11"/>
      <c r="J29" s="11"/>
      <c r="M29" s="9"/>
      <c r="R29" s="9"/>
      <c r="W29" s="9"/>
      <c r="AB29" s="9"/>
      <c r="AG29" s="9"/>
      <c r="AL29" s="9"/>
      <c r="AQ29" s="9"/>
      <c r="AV29" s="9"/>
      <c r="BA29" s="9"/>
      <c r="BF29" s="9"/>
      <c r="BK29" s="9"/>
      <c r="BP29" s="9"/>
      <c r="BU29" s="9"/>
      <c r="BZ29" s="9"/>
      <c r="CE29" s="9"/>
      <c r="CJ29" s="9"/>
      <c r="CO29" s="9"/>
      <c r="CT29" s="9"/>
      <c r="CY29" s="9"/>
      <c r="DD29" s="9"/>
    </row>
    <row r="30" spans="1:108" hidden="1" x14ac:dyDescent="0.2">
      <c r="A30" s="11" t="s">
        <v>117</v>
      </c>
      <c r="B30" s="11" t="s">
        <v>443</v>
      </c>
      <c r="C30" s="11" t="s">
        <v>109</v>
      </c>
      <c r="D30" s="6">
        <v>3</v>
      </c>
      <c r="E30" s="11" t="s">
        <v>432</v>
      </c>
      <c r="F30" s="11" t="s">
        <v>901</v>
      </c>
      <c r="G30" s="11" t="s">
        <v>900</v>
      </c>
      <c r="H30" s="11">
        <v>1</v>
      </c>
      <c r="I30" s="11"/>
      <c r="J30" s="11"/>
      <c r="M30" s="9"/>
      <c r="R30" s="9"/>
      <c r="W30" s="9"/>
      <c r="AB30" s="9"/>
      <c r="AG30" s="9"/>
      <c r="AL30" s="9"/>
      <c r="AQ30" s="9"/>
      <c r="AV30" s="9"/>
      <c r="BA30" s="9"/>
      <c r="BF30" s="9"/>
      <c r="BK30" s="9"/>
      <c r="BP30" s="9"/>
      <c r="BU30" s="9"/>
      <c r="BZ30" s="9"/>
      <c r="CE30" s="9"/>
      <c r="CJ30" s="9"/>
      <c r="CO30" s="9"/>
      <c r="CT30" s="9"/>
      <c r="CY30" s="9"/>
      <c r="DD30" s="9"/>
    </row>
    <row r="31" spans="1:108" hidden="1" x14ac:dyDescent="0.2">
      <c r="A31" s="11" t="s">
        <v>117</v>
      </c>
      <c r="B31" s="11" t="s">
        <v>443</v>
      </c>
      <c r="C31" s="11" t="s">
        <v>104</v>
      </c>
      <c r="D31" s="6">
        <v>1</v>
      </c>
      <c r="E31" s="11" t="s">
        <v>432</v>
      </c>
      <c r="F31" s="11" t="s">
        <v>901</v>
      </c>
      <c r="G31" s="11" t="s">
        <v>900</v>
      </c>
      <c r="H31" s="11">
        <v>1</v>
      </c>
      <c r="I31" s="11"/>
      <c r="J31" s="11"/>
      <c r="M31" s="9"/>
      <c r="R31" s="9"/>
      <c r="W31" s="9"/>
      <c r="AB31" s="9"/>
      <c r="AG31" s="9"/>
      <c r="AL31" s="9"/>
      <c r="AQ31" s="9"/>
      <c r="AV31" s="9"/>
      <c r="BA31" s="9"/>
      <c r="BF31" s="9"/>
      <c r="BK31" s="9"/>
      <c r="BP31" s="9"/>
      <c r="BU31" s="9"/>
      <c r="BZ31" s="9"/>
      <c r="CE31" s="9"/>
      <c r="CJ31" s="9"/>
      <c r="CO31" s="9"/>
      <c r="CT31" s="9"/>
      <c r="CY31" s="9"/>
      <c r="DD31" s="9"/>
    </row>
    <row r="32" spans="1:108" hidden="1" x14ac:dyDescent="0.2">
      <c r="A32" s="11" t="s">
        <v>117</v>
      </c>
      <c r="B32" s="11" t="s">
        <v>443</v>
      </c>
      <c r="C32" s="11" t="s">
        <v>106</v>
      </c>
      <c r="D32" s="6">
        <v>1</v>
      </c>
      <c r="E32" s="11" t="s">
        <v>432</v>
      </c>
      <c r="F32" s="11" t="s">
        <v>901</v>
      </c>
      <c r="G32" s="11" t="s">
        <v>900</v>
      </c>
      <c r="H32" s="11">
        <v>1</v>
      </c>
      <c r="I32" s="11"/>
      <c r="J32" s="11"/>
      <c r="M32" s="9"/>
      <c r="R32" s="9"/>
      <c r="W32" s="9"/>
      <c r="AB32" s="9"/>
      <c r="AG32" s="9"/>
      <c r="AL32" s="9"/>
      <c r="AQ32" s="9"/>
      <c r="AV32" s="9"/>
      <c r="BA32" s="9"/>
      <c r="BF32" s="9"/>
      <c r="BK32" s="9"/>
      <c r="BP32" s="9"/>
      <c r="BU32" s="9"/>
      <c r="BZ32" s="9"/>
      <c r="CE32" s="9"/>
      <c r="CJ32" s="9"/>
      <c r="CO32" s="9"/>
      <c r="CT32" s="9"/>
      <c r="CY32" s="9"/>
      <c r="DD32" s="9"/>
    </row>
    <row r="33" spans="1:10" hidden="1" x14ac:dyDescent="0.2">
      <c r="A33" s="11" t="s">
        <v>117</v>
      </c>
      <c r="B33" s="11" t="s">
        <v>443</v>
      </c>
      <c r="C33" s="11" t="s">
        <v>368</v>
      </c>
      <c r="D33" s="6">
        <v>2</v>
      </c>
      <c r="E33" s="11" t="s">
        <v>432</v>
      </c>
      <c r="F33" s="11" t="s">
        <v>901</v>
      </c>
      <c r="G33" s="11" t="s">
        <v>900</v>
      </c>
      <c r="H33" s="11">
        <v>1</v>
      </c>
      <c r="I33" s="11"/>
      <c r="J33" s="11"/>
    </row>
    <row r="34" spans="1:10" hidden="1" x14ac:dyDescent="0.2">
      <c r="A34" s="11" t="s">
        <v>117</v>
      </c>
      <c r="B34" s="11" t="s">
        <v>443</v>
      </c>
      <c r="C34" s="11" t="s">
        <v>370</v>
      </c>
      <c r="D34" s="6">
        <v>50</v>
      </c>
      <c r="E34" s="11" t="s">
        <v>432</v>
      </c>
      <c r="F34" s="11" t="s">
        <v>901</v>
      </c>
      <c r="G34" s="11" t="s">
        <v>900</v>
      </c>
      <c r="H34" s="11">
        <v>1</v>
      </c>
      <c r="I34" s="11"/>
      <c r="J34" s="11"/>
    </row>
    <row r="35" spans="1:10" hidden="1" x14ac:dyDescent="0.2">
      <c r="A35" s="11" t="s">
        <v>117</v>
      </c>
      <c r="B35" s="11" t="s">
        <v>445</v>
      </c>
      <c r="C35" s="11" t="s">
        <v>49</v>
      </c>
      <c r="D35" s="6">
        <v>1</v>
      </c>
      <c r="E35" s="11" t="s">
        <v>433</v>
      </c>
      <c r="F35" s="11" t="s">
        <v>901</v>
      </c>
      <c r="G35" s="11" t="s">
        <v>900</v>
      </c>
      <c r="H35" s="11">
        <v>1</v>
      </c>
      <c r="I35" s="11"/>
      <c r="J35" s="11"/>
    </row>
    <row r="36" spans="1:10" hidden="1" x14ac:dyDescent="0.2">
      <c r="A36" s="11" t="s">
        <v>117</v>
      </c>
      <c r="B36" s="11" t="s">
        <v>445</v>
      </c>
      <c r="C36" s="11" t="s">
        <v>102</v>
      </c>
      <c r="D36" s="6">
        <v>3</v>
      </c>
      <c r="E36" s="11" t="s">
        <v>433</v>
      </c>
      <c r="F36" s="11" t="s">
        <v>901</v>
      </c>
      <c r="G36" s="11" t="s">
        <v>900</v>
      </c>
      <c r="H36" s="11">
        <v>1</v>
      </c>
      <c r="I36" s="11"/>
      <c r="J36" s="11"/>
    </row>
    <row r="37" spans="1:10" hidden="1" x14ac:dyDescent="0.2">
      <c r="A37" s="11" t="s">
        <v>117</v>
      </c>
      <c r="B37" s="11" t="s">
        <v>445</v>
      </c>
      <c r="C37" s="11" t="s">
        <v>78</v>
      </c>
      <c r="D37" s="6">
        <v>1</v>
      </c>
      <c r="E37" s="11" t="s">
        <v>433</v>
      </c>
      <c r="F37" s="11" t="s">
        <v>901</v>
      </c>
      <c r="G37" s="11" t="s">
        <v>900</v>
      </c>
      <c r="H37" s="11">
        <v>1</v>
      </c>
      <c r="I37" s="11"/>
      <c r="J37" s="11"/>
    </row>
    <row r="38" spans="1:10" hidden="1" x14ac:dyDescent="0.2">
      <c r="A38" s="11" t="s">
        <v>117</v>
      </c>
      <c r="B38" s="11" t="s">
        <v>445</v>
      </c>
      <c r="C38" s="11" t="s">
        <v>76</v>
      </c>
      <c r="D38" s="6">
        <v>1</v>
      </c>
      <c r="E38" s="11" t="s">
        <v>433</v>
      </c>
      <c r="F38" s="11" t="s">
        <v>901</v>
      </c>
      <c r="G38" s="11" t="s">
        <v>900</v>
      </c>
      <c r="H38" s="11">
        <v>1</v>
      </c>
      <c r="I38" s="11"/>
      <c r="J38" s="11"/>
    </row>
    <row r="39" spans="1:10" hidden="1" x14ac:dyDescent="0.2">
      <c r="A39" s="11" t="s">
        <v>117</v>
      </c>
      <c r="B39" s="11" t="s">
        <v>445</v>
      </c>
      <c r="C39" s="11" t="s">
        <v>70</v>
      </c>
      <c r="D39" s="6">
        <v>1</v>
      </c>
      <c r="E39" s="11" t="s">
        <v>433</v>
      </c>
      <c r="F39" s="11" t="s">
        <v>901</v>
      </c>
      <c r="G39" s="11" t="s">
        <v>900</v>
      </c>
      <c r="H39" s="11">
        <v>1</v>
      </c>
      <c r="I39" s="11"/>
      <c r="J39" s="11"/>
    </row>
    <row r="40" spans="1:10" hidden="1" x14ac:dyDescent="0.2">
      <c r="A40" s="11" t="s">
        <v>117</v>
      </c>
      <c r="B40" s="11" t="s">
        <v>445</v>
      </c>
      <c r="C40" s="11" t="s">
        <v>103</v>
      </c>
      <c r="D40" s="6">
        <v>1</v>
      </c>
      <c r="E40" s="11" t="s">
        <v>433</v>
      </c>
      <c r="F40" s="11" t="s">
        <v>901</v>
      </c>
      <c r="G40" s="11" t="s">
        <v>900</v>
      </c>
      <c r="H40" s="11">
        <v>1</v>
      </c>
      <c r="I40" s="11"/>
      <c r="J40" s="11"/>
    </row>
    <row r="41" spans="1:10" hidden="1" x14ac:dyDescent="0.2">
      <c r="A41" s="11" t="s">
        <v>117</v>
      </c>
      <c r="B41" s="11" t="s">
        <v>445</v>
      </c>
      <c r="C41" s="11" t="s">
        <v>109</v>
      </c>
      <c r="D41" s="6">
        <v>3</v>
      </c>
      <c r="E41" s="11" t="s">
        <v>433</v>
      </c>
      <c r="F41" s="11" t="s">
        <v>901</v>
      </c>
      <c r="G41" s="11" t="s">
        <v>900</v>
      </c>
      <c r="H41" s="11">
        <v>1</v>
      </c>
      <c r="I41" s="11"/>
      <c r="J41" s="11"/>
    </row>
    <row r="42" spans="1:10" hidden="1" x14ac:dyDescent="0.2">
      <c r="A42" s="11" t="s">
        <v>117</v>
      </c>
      <c r="B42" s="11" t="s">
        <v>445</v>
      </c>
      <c r="C42" s="11" t="s">
        <v>105</v>
      </c>
      <c r="D42" s="6">
        <v>1</v>
      </c>
      <c r="E42" s="11" t="s">
        <v>433</v>
      </c>
      <c r="F42" s="11" t="s">
        <v>901</v>
      </c>
      <c r="G42" s="11" t="s">
        <v>900</v>
      </c>
      <c r="H42" s="11">
        <v>1</v>
      </c>
      <c r="I42" s="11"/>
      <c r="J42" s="11"/>
    </row>
    <row r="43" spans="1:10" hidden="1" x14ac:dyDescent="0.2">
      <c r="A43" s="11" t="s">
        <v>117</v>
      </c>
      <c r="B43" s="11" t="s">
        <v>445</v>
      </c>
      <c r="C43" s="11" t="s">
        <v>107</v>
      </c>
      <c r="D43" s="6">
        <v>1</v>
      </c>
      <c r="E43" s="11" t="s">
        <v>433</v>
      </c>
      <c r="F43" s="11" t="s">
        <v>901</v>
      </c>
      <c r="G43" s="11" t="s">
        <v>900</v>
      </c>
      <c r="H43" s="11">
        <v>1</v>
      </c>
      <c r="I43" s="11"/>
      <c r="J43" s="11"/>
    </row>
    <row r="44" spans="1:10" hidden="1" x14ac:dyDescent="0.2">
      <c r="A44" s="11" t="s">
        <v>117</v>
      </c>
      <c r="B44" s="11" t="s">
        <v>445</v>
      </c>
      <c r="C44" s="11" t="s">
        <v>368</v>
      </c>
      <c r="D44" s="6">
        <v>2</v>
      </c>
      <c r="E44" s="11" t="s">
        <v>433</v>
      </c>
      <c r="F44" s="11" t="s">
        <v>901</v>
      </c>
      <c r="G44" s="11" t="s">
        <v>900</v>
      </c>
      <c r="H44" s="11">
        <v>1</v>
      </c>
      <c r="I44" s="11"/>
      <c r="J44" s="11"/>
    </row>
    <row r="45" spans="1:10" hidden="1" x14ac:dyDescent="0.2">
      <c r="A45" s="11" t="s">
        <v>117</v>
      </c>
      <c r="B45" s="11" t="s">
        <v>445</v>
      </c>
      <c r="C45" s="11" t="s">
        <v>370</v>
      </c>
      <c r="D45" s="6">
        <v>50</v>
      </c>
      <c r="E45" s="11" t="s">
        <v>433</v>
      </c>
      <c r="F45" s="11" t="s">
        <v>901</v>
      </c>
      <c r="G45" s="11" t="s">
        <v>900</v>
      </c>
      <c r="H45" s="11">
        <v>1</v>
      </c>
      <c r="I45" s="11"/>
      <c r="J45" s="11"/>
    </row>
    <row r="46" spans="1:10" hidden="1" x14ac:dyDescent="0.2">
      <c r="A46" s="11" t="s">
        <v>117</v>
      </c>
      <c r="B46" s="11" t="s">
        <v>444</v>
      </c>
      <c r="C46" s="11" t="s">
        <v>50</v>
      </c>
      <c r="D46" s="6">
        <v>1</v>
      </c>
      <c r="E46" s="11" t="s">
        <v>433</v>
      </c>
      <c r="F46" s="11" t="s">
        <v>901</v>
      </c>
      <c r="G46" s="11" t="s">
        <v>900</v>
      </c>
      <c r="H46" s="11">
        <v>1</v>
      </c>
      <c r="I46" s="11"/>
      <c r="J46" s="11"/>
    </row>
    <row r="47" spans="1:10" hidden="1" x14ac:dyDescent="0.2">
      <c r="A47" s="11" t="s">
        <v>117</v>
      </c>
      <c r="B47" s="11" t="s">
        <v>444</v>
      </c>
      <c r="C47" s="11" t="s">
        <v>119</v>
      </c>
      <c r="D47" s="6">
        <v>3</v>
      </c>
      <c r="E47" s="11" t="s">
        <v>433</v>
      </c>
      <c r="F47" s="11" t="s">
        <v>901</v>
      </c>
      <c r="G47" s="11" t="s">
        <v>900</v>
      </c>
      <c r="H47" s="11">
        <v>1</v>
      </c>
      <c r="I47" s="11"/>
      <c r="J47" s="11"/>
    </row>
    <row r="48" spans="1:10" hidden="1" x14ac:dyDescent="0.2">
      <c r="A48" s="11" t="s">
        <v>117</v>
      </c>
      <c r="B48" s="11" t="s">
        <v>444</v>
      </c>
      <c r="C48" s="11" t="s">
        <v>78</v>
      </c>
      <c r="D48" s="6">
        <v>1</v>
      </c>
      <c r="E48" s="11" t="s">
        <v>433</v>
      </c>
      <c r="F48" s="11" t="s">
        <v>901</v>
      </c>
      <c r="G48" s="11" t="s">
        <v>900</v>
      </c>
      <c r="H48" s="11">
        <v>1</v>
      </c>
      <c r="I48" s="11"/>
      <c r="J48" s="11"/>
    </row>
    <row r="49" spans="1:10" hidden="1" x14ac:dyDescent="0.2">
      <c r="A49" s="11" t="s">
        <v>117</v>
      </c>
      <c r="B49" s="11" t="s">
        <v>444</v>
      </c>
      <c r="C49" s="11" t="s">
        <v>76</v>
      </c>
      <c r="D49" s="6">
        <v>1</v>
      </c>
      <c r="E49" s="11" t="s">
        <v>433</v>
      </c>
      <c r="F49" s="11" t="s">
        <v>901</v>
      </c>
      <c r="G49" s="11" t="s">
        <v>900</v>
      </c>
      <c r="H49" s="11">
        <v>1</v>
      </c>
      <c r="I49" s="11"/>
      <c r="J49" s="11"/>
    </row>
    <row r="50" spans="1:10" hidden="1" x14ac:dyDescent="0.2">
      <c r="A50" s="11" t="s">
        <v>117</v>
      </c>
      <c r="B50" s="11" t="s">
        <v>444</v>
      </c>
      <c r="C50" s="11" t="s">
        <v>70</v>
      </c>
      <c r="D50" s="6">
        <v>1</v>
      </c>
      <c r="E50" s="11" t="s">
        <v>433</v>
      </c>
      <c r="F50" s="11" t="s">
        <v>901</v>
      </c>
      <c r="G50" s="11" t="s">
        <v>900</v>
      </c>
      <c r="H50" s="11">
        <v>1</v>
      </c>
      <c r="I50" s="11"/>
      <c r="J50" s="11"/>
    </row>
    <row r="51" spans="1:10" hidden="1" x14ac:dyDescent="0.2">
      <c r="A51" s="11" t="s">
        <v>117</v>
      </c>
      <c r="B51" s="11" t="s">
        <v>444</v>
      </c>
      <c r="C51" s="11" t="s">
        <v>127</v>
      </c>
      <c r="D51" s="6">
        <v>1</v>
      </c>
      <c r="E51" s="11" t="s">
        <v>433</v>
      </c>
      <c r="F51" s="11" t="s">
        <v>901</v>
      </c>
      <c r="G51" s="11" t="s">
        <v>900</v>
      </c>
      <c r="H51" s="11">
        <v>1</v>
      </c>
      <c r="I51" s="11"/>
      <c r="J51" s="11"/>
    </row>
    <row r="52" spans="1:10" hidden="1" x14ac:dyDescent="0.2">
      <c r="A52" s="11" t="s">
        <v>117</v>
      </c>
      <c r="B52" s="11" t="s">
        <v>444</v>
      </c>
      <c r="C52" s="11" t="s">
        <v>129</v>
      </c>
      <c r="D52" s="6">
        <v>3</v>
      </c>
      <c r="E52" s="11" t="s">
        <v>433</v>
      </c>
      <c r="F52" s="11" t="s">
        <v>901</v>
      </c>
      <c r="G52" s="11" t="s">
        <v>900</v>
      </c>
      <c r="H52" s="11">
        <v>1</v>
      </c>
      <c r="I52" s="11"/>
      <c r="J52" s="11"/>
    </row>
    <row r="53" spans="1:10" hidden="1" x14ac:dyDescent="0.2">
      <c r="A53" s="11" t="s">
        <v>117</v>
      </c>
      <c r="B53" s="11" t="s">
        <v>444</v>
      </c>
      <c r="C53" s="11" t="s">
        <v>130</v>
      </c>
      <c r="D53" s="6">
        <v>1</v>
      </c>
      <c r="E53" s="11" t="s">
        <v>433</v>
      </c>
      <c r="F53" s="11" t="s">
        <v>901</v>
      </c>
      <c r="G53" s="11" t="s">
        <v>900</v>
      </c>
      <c r="H53" s="11">
        <v>1</v>
      </c>
      <c r="I53" s="11"/>
      <c r="J53" s="11"/>
    </row>
    <row r="54" spans="1:10" hidden="1" x14ac:dyDescent="0.2">
      <c r="A54" s="11" t="s">
        <v>117</v>
      </c>
      <c r="B54" s="11" t="s">
        <v>444</v>
      </c>
      <c r="C54" s="11" t="s">
        <v>132</v>
      </c>
      <c r="D54" s="6">
        <v>1</v>
      </c>
      <c r="E54" s="11" t="s">
        <v>433</v>
      </c>
      <c r="F54" s="11" t="s">
        <v>901</v>
      </c>
      <c r="G54" s="11" t="s">
        <v>900</v>
      </c>
      <c r="H54" s="11">
        <v>1</v>
      </c>
      <c r="I54" s="11"/>
      <c r="J54" s="11"/>
    </row>
    <row r="55" spans="1:10" hidden="1" x14ac:dyDescent="0.2">
      <c r="A55" s="11" t="s">
        <v>117</v>
      </c>
      <c r="B55" s="11" t="s">
        <v>444</v>
      </c>
      <c r="C55" s="11" t="s">
        <v>368</v>
      </c>
      <c r="D55" s="6">
        <v>2</v>
      </c>
      <c r="E55" s="11" t="s">
        <v>433</v>
      </c>
      <c r="F55" s="11" t="s">
        <v>901</v>
      </c>
      <c r="G55" s="11" t="s">
        <v>900</v>
      </c>
      <c r="H55" s="11">
        <v>1</v>
      </c>
      <c r="I55" s="11"/>
      <c r="J55" s="11"/>
    </row>
    <row r="56" spans="1:10" hidden="1" x14ac:dyDescent="0.2">
      <c r="A56" s="11" t="s">
        <v>117</v>
      </c>
      <c r="B56" s="11" t="s">
        <v>444</v>
      </c>
      <c r="C56" s="11" t="s">
        <v>370</v>
      </c>
      <c r="D56" s="6">
        <v>50</v>
      </c>
      <c r="E56" s="11" t="s">
        <v>433</v>
      </c>
      <c r="F56" s="11" t="s">
        <v>901</v>
      </c>
      <c r="G56" s="11" t="s">
        <v>900</v>
      </c>
      <c r="H56" s="11">
        <v>1</v>
      </c>
      <c r="I56" s="11"/>
      <c r="J56" s="11"/>
    </row>
    <row r="57" spans="1:10" hidden="1" x14ac:dyDescent="0.2">
      <c r="A57" s="11" t="s">
        <v>117</v>
      </c>
      <c r="B57" s="11" t="s">
        <v>446</v>
      </c>
      <c r="C57" s="11" t="s">
        <v>51</v>
      </c>
      <c r="D57" s="6">
        <v>1</v>
      </c>
      <c r="E57" s="11" t="s">
        <v>434</v>
      </c>
      <c r="F57" s="11" t="s">
        <v>901</v>
      </c>
      <c r="G57" s="11" t="s">
        <v>900</v>
      </c>
      <c r="H57" s="11">
        <v>1</v>
      </c>
      <c r="I57" s="11"/>
      <c r="J57" s="11"/>
    </row>
    <row r="58" spans="1:10" hidden="1" x14ac:dyDescent="0.2">
      <c r="A58" s="11" t="s">
        <v>117</v>
      </c>
      <c r="B58" s="11" t="s">
        <v>446</v>
      </c>
      <c r="C58" s="11" t="s">
        <v>120</v>
      </c>
      <c r="D58" s="6">
        <v>3</v>
      </c>
      <c r="E58" s="11" t="s">
        <v>434</v>
      </c>
      <c r="F58" s="11" t="s">
        <v>901</v>
      </c>
      <c r="G58" s="11" t="s">
        <v>900</v>
      </c>
      <c r="H58" s="11">
        <v>1</v>
      </c>
      <c r="I58" s="11"/>
      <c r="J58" s="11"/>
    </row>
    <row r="59" spans="1:10" hidden="1" x14ac:dyDescent="0.2">
      <c r="A59" s="11" t="s">
        <v>117</v>
      </c>
      <c r="B59" s="11" t="s">
        <v>446</v>
      </c>
      <c r="C59" s="11" t="s">
        <v>78</v>
      </c>
      <c r="D59" s="6">
        <v>1</v>
      </c>
      <c r="E59" s="11" t="s">
        <v>434</v>
      </c>
      <c r="F59" s="11" t="s">
        <v>901</v>
      </c>
      <c r="G59" s="11" t="s">
        <v>900</v>
      </c>
      <c r="H59" s="11">
        <v>1</v>
      </c>
      <c r="I59" s="11"/>
      <c r="J59" s="11"/>
    </row>
    <row r="60" spans="1:10" hidden="1" x14ac:dyDescent="0.2">
      <c r="A60" s="11" t="s">
        <v>117</v>
      </c>
      <c r="B60" s="11" t="s">
        <v>446</v>
      </c>
      <c r="C60" s="11" t="s">
        <v>76</v>
      </c>
      <c r="D60" s="6">
        <v>1</v>
      </c>
      <c r="E60" s="11" t="s">
        <v>434</v>
      </c>
      <c r="F60" s="11" t="s">
        <v>901</v>
      </c>
      <c r="G60" s="11" t="s">
        <v>900</v>
      </c>
      <c r="H60" s="11">
        <v>1</v>
      </c>
      <c r="I60" s="11"/>
      <c r="J60" s="11"/>
    </row>
    <row r="61" spans="1:10" hidden="1" x14ac:dyDescent="0.2">
      <c r="A61" s="11" t="s">
        <v>117</v>
      </c>
      <c r="B61" s="11" t="s">
        <v>446</v>
      </c>
      <c r="C61" s="11" t="s">
        <v>70</v>
      </c>
      <c r="D61" s="6">
        <v>1</v>
      </c>
      <c r="E61" s="11" t="s">
        <v>434</v>
      </c>
      <c r="F61" s="11" t="s">
        <v>901</v>
      </c>
      <c r="G61" s="11" t="s">
        <v>900</v>
      </c>
      <c r="H61" s="11">
        <v>1</v>
      </c>
      <c r="I61" s="11"/>
      <c r="J61" s="11"/>
    </row>
    <row r="62" spans="1:10" hidden="1" x14ac:dyDescent="0.2">
      <c r="A62" s="11" t="s">
        <v>117</v>
      </c>
      <c r="B62" s="11" t="s">
        <v>446</v>
      </c>
      <c r="C62" s="11" t="s">
        <v>127</v>
      </c>
      <c r="D62" s="6">
        <v>1</v>
      </c>
      <c r="E62" s="11" t="s">
        <v>434</v>
      </c>
      <c r="F62" s="11" t="s">
        <v>901</v>
      </c>
      <c r="G62" s="11" t="s">
        <v>900</v>
      </c>
      <c r="H62" s="11">
        <v>1</v>
      </c>
      <c r="I62" s="11"/>
      <c r="J62" s="11"/>
    </row>
    <row r="63" spans="1:10" hidden="1" x14ac:dyDescent="0.2">
      <c r="A63" s="11" t="s">
        <v>117</v>
      </c>
      <c r="B63" s="11" t="s">
        <v>446</v>
      </c>
      <c r="C63" s="11" t="s">
        <v>129</v>
      </c>
      <c r="D63" s="6">
        <v>3</v>
      </c>
      <c r="E63" s="11" t="s">
        <v>434</v>
      </c>
      <c r="F63" s="11" t="s">
        <v>901</v>
      </c>
      <c r="G63" s="11" t="s">
        <v>900</v>
      </c>
      <c r="H63" s="11">
        <v>1</v>
      </c>
      <c r="I63" s="11"/>
      <c r="J63" s="11"/>
    </row>
    <row r="64" spans="1:10" hidden="1" x14ac:dyDescent="0.2">
      <c r="A64" s="11" t="s">
        <v>117</v>
      </c>
      <c r="B64" s="11" t="s">
        <v>446</v>
      </c>
      <c r="C64" s="11" t="s">
        <v>130</v>
      </c>
      <c r="D64" s="6">
        <v>1</v>
      </c>
      <c r="E64" s="11" t="s">
        <v>434</v>
      </c>
      <c r="F64" s="11" t="s">
        <v>901</v>
      </c>
      <c r="G64" s="11" t="s">
        <v>900</v>
      </c>
      <c r="H64" s="11">
        <v>1</v>
      </c>
      <c r="I64" s="11"/>
      <c r="J64" s="11"/>
    </row>
    <row r="65" spans="1:10" hidden="1" x14ac:dyDescent="0.2">
      <c r="A65" s="11" t="s">
        <v>117</v>
      </c>
      <c r="B65" s="11" t="s">
        <v>446</v>
      </c>
      <c r="C65" s="11" t="s">
        <v>133</v>
      </c>
      <c r="D65" s="6">
        <v>1</v>
      </c>
      <c r="E65" s="11" t="s">
        <v>434</v>
      </c>
      <c r="F65" s="11" t="s">
        <v>901</v>
      </c>
      <c r="G65" s="11" t="s">
        <v>900</v>
      </c>
      <c r="H65" s="11">
        <v>1</v>
      </c>
      <c r="I65" s="11"/>
      <c r="J65" s="11"/>
    </row>
    <row r="66" spans="1:10" hidden="1" x14ac:dyDescent="0.2">
      <c r="A66" s="11" t="s">
        <v>117</v>
      </c>
      <c r="B66" s="11" t="s">
        <v>446</v>
      </c>
      <c r="C66" s="11" t="s">
        <v>368</v>
      </c>
      <c r="D66" s="6">
        <v>2</v>
      </c>
      <c r="E66" s="11" t="s">
        <v>434</v>
      </c>
      <c r="F66" s="11" t="s">
        <v>901</v>
      </c>
      <c r="G66" s="11" t="s">
        <v>900</v>
      </c>
      <c r="H66" s="11">
        <v>1</v>
      </c>
      <c r="I66" s="11"/>
      <c r="J66" s="11"/>
    </row>
    <row r="67" spans="1:10" hidden="1" x14ac:dyDescent="0.2">
      <c r="A67" s="11" t="s">
        <v>117</v>
      </c>
      <c r="B67" s="11" t="s">
        <v>446</v>
      </c>
      <c r="C67" s="11" t="s">
        <v>370</v>
      </c>
      <c r="D67" s="6">
        <v>50</v>
      </c>
      <c r="E67" s="11" t="s">
        <v>434</v>
      </c>
      <c r="F67" s="11" t="s">
        <v>901</v>
      </c>
      <c r="G67" s="11" t="s">
        <v>900</v>
      </c>
      <c r="H67" s="11">
        <v>1</v>
      </c>
      <c r="I67" s="11"/>
      <c r="J67" s="11"/>
    </row>
    <row r="68" spans="1:10" hidden="1" x14ac:dyDescent="0.2">
      <c r="A68" s="11" t="s">
        <v>117</v>
      </c>
      <c r="B68" s="11" t="s">
        <v>447</v>
      </c>
      <c r="C68" s="11" t="s">
        <v>52</v>
      </c>
      <c r="D68" s="6">
        <v>1</v>
      </c>
      <c r="E68" s="11" t="s">
        <v>435</v>
      </c>
      <c r="F68" s="11" t="s">
        <v>901</v>
      </c>
      <c r="G68" s="11" t="s">
        <v>900</v>
      </c>
      <c r="H68" s="11">
        <v>1</v>
      </c>
      <c r="I68" s="11"/>
      <c r="J68" s="11"/>
    </row>
    <row r="69" spans="1:10" hidden="1" x14ac:dyDescent="0.2">
      <c r="A69" s="11" t="s">
        <v>117</v>
      </c>
      <c r="B69" s="11" t="s">
        <v>447</v>
      </c>
      <c r="C69" s="11" t="s">
        <v>121</v>
      </c>
      <c r="D69" s="6">
        <v>3</v>
      </c>
      <c r="E69" s="11" t="s">
        <v>435</v>
      </c>
      <c r="F69" s="11" t="s">
        <v>901</v>
      </c>
      <c r="G69" s="11" t="s">
        <v>900</v>
      </c>
      <c r="H69" s="11">
        <v>1</v>
      </c>
      <c r="I69" s="11"/>
      <c r="J69" s="11"/>
    </row>
    <row r="70" spans="1:10" hidden="1" x14ac:dyDescent="0.2">
      <c r="A70" s="11" t="s">
        <v>117</v>
      </c>
      <c r="B70" s="11" t="s">
        <v>447</v>
      </c>
      <c r="C70" s="11" t="s">
        <v>78</v>
      </c>
      <c r="D70" s="6">
        <v>1</v>
      </c>
      <c r="E70" s="11" t="s">
        <v>435</v>
      </c>
      <c r="F70" s="11" t="s">
        <v>901</v>
      </c>
      <c r="G70" s="11" t="s">
        <v>900</v>
      </c>
      <c r="H70" s="11">
        <v>1</v>
      </c>
      <c r="I70" s="11"/>
      <c r="J70" s="11"/>
    </row>
    <row r="71" spans="1:10" hidden="1" x14ac:dyDescent="0.2">
      <c r="A71" s="11" t="s">
        <v>117</v>
      </c>
      <c r="B71" s="11" t="s">
        <v>447</v>
      </c>
      <c r="C71" s="11" t="s">
        <v>76</v>
      </c>
      <c r="D71" s="6">
        <v>1</v>
      </c>
      <c r="E71" s="11" t="s">
        <v>435</v>
      </c>
      <c r="F71" s="11" t="s">
        <v>901</v>
      </c>
      <c r="G71" s="11" t="s">
        <v>900</v>
      </c>
      <c r="H71" s="11">
        <v>1</v>
      </c>
      <c r="I71" s="11"/>
      <c r="J71" s="11"/>
    </row>
    <row r="72" spans="1:10" hidden="1" x14ac:dyDescent="0.2">
      <c r="A72" s="11" t="s">
        <v>117</v>
      </c>
      <c r="B72" s="11" t="s">
        <v>447</v>
      </c>
      <c r="C72" s="11" t="s">
        <v>70</v>
      </c>
      <c r="D72" s="6">
        <v>1</v>
      </c>
      <c r="E72" s="11" t="s">
        <v>435</v>
      </c>
      <c r="F72" s="11" t="s">
        <v>901</v>
      </c>
      <c r="G72" s="11" t="s">
        <v>900</v>
      </c>
      <c r="H72" s="11">
        <v>1</v>
      </c>
      <c r="I72" s="11"/>
      <c r="J72" s="11"/>
    </row>
    <row r="73" spans="1:10" hidden="1" x14ac:dyDescent="0.2">
      <c r="A73" s="11" t="s">
        <v>117</v>
      </c>
      <c r="B73" s="11" t="s">
        <v>447</v>
      </c>
      <c r="C73" s="11" t="s">
        <v>127</v>
      </c>
      <c r="D73" s="6">
        <v>1</v>
      </c>
      <c r="E73" s="11" t="s">
        <v>435</v>
      </c>
      <c r="F73" s="11" t="s">
        <v>901</v>
      </c>
      <c r="G73" s="11" t="s">
        <v>900</v>
      </c>
      <c r="H73" s="11">
        <v>1</v>
      </c>
      <c r="I73" s="11"/>
      <c r="J73" s="11"/>
    </row>
    <row r="74" spans="1:10" hidden="1" x14ac:dyDescent="0.2">
      <c r="A74" s="11" t="s">
        <v>117</v>
      </c>
      <c r="B74" s="11" t="s">
        <v>447</v>
      </c>
      <c r="C74" s="11" t="s">
        <v>129</v>
      </c>
      <c r="D74" s="6">
        <v>3</v>
      </c>
      <c r="E74" s="11" t="s">
        <v>435</v>
      </c>
      <c r="F74" s="11" t="s">
        <v>901</v>
      </c>
      <c r="G74" s="11" t="s">
        <v>900</v>
      </c>
      <c r="H74" s="11">
        <v>1</v>
      </c>
      <c r="I74" s="11"/>
      <c r="J74" s="11"/>
    </row>
    <row r="75" spans="1:10" hidden="1" x14ac:dyDescent="0.2">
      <c r="A75" s="11" t="s">
        <v>117</v>
      </c>
      <c r="B75" s="11" t="s">
        <v>447</v>
      </c>
      <c r="C75" s="11" t="s">
        <v>135</v>
      </c>
      <c r="D75" s="6">
        <v>1</v>
      </c>
      <c r="E75" s="11" t="s">
        <v>435</v>
      </c>
      <c r="F75" s="11" t="s">
        <v>901</v>
      </c>
      <c r="G75" s="11" t="s">
        <v>900</v>
      </c>
      <c r="H75" s="11">
        <v>1</v>
      </c>
      <c r="I75" s="11"/>
      <c r="J75" s="11"/>
    </row>
    <row r="76" spans="1:10" hidden="1" x14ac:dyDescent="0.2">
      <c r="A76" s="11" t="s">
        <v>117</v>
      </c>
      <c r="B76" s="11" t="s">
        <v>447</v>
      </c>
      <c r="C76" s="11" t="s">
        <v>138</v>
      </c>
      <c r="D76" s="6">
        <v>1</v>
      </c>
      <c r="E76" s="11" t="s">
        <v>435</v>
      </c>
      <c r="F76" s="11" t="s">
        <v>901</v>
      </c>
      <c r="G76" s="11" t="s">
        <v>900</v>
      </c>
      <c r="H76" s="11">
        <v>1</v>
      </c>
      <c r="I76" s="11"/>
      <c r="J76" s="11"/>
    </row>
    <row r="77" spans="1:10" hidden="1" x14ac:dyDescent="0.2">
      <c r="A77" s="11" t="s">
        <v>117</v>
      </c>
      <c r="B77" s="11" t="s">
        <v>447</v>
      </c>
      <c r="C77" s="11" t="s">
        <v>368</v>
      </c>
      <c r="D77" s="6">
        <v>2</v>
      </c>
      <c r="E77" s="11" t="s">
        <v>435</v>
      </c>
      <c r="F77" s="11" t="s">
        <v>901</v>
      </c>
      <c r="G77" s="11" t="s">
        <v>900</v>
      </c>
      <c r="H77" s="11">
        <v>1</v>
      </c>
      <c r="I77" s="11"/>
      <c r="J77" s="11"/>
    </row>
    <row r="78" spans="1:10" hidden="1" x14ac:dyDescent="0.2">
      <c r="A78" s="11" t="s">
        <v>117</v>
      </c>
      <c r="B78" s="11" t="s">
        <v>447</v>
      </c>
      <c r="C78" s="11" t="s">
        <v>370</v>
      </c>
      <c r="D78" s="6">
        <v>50</v>
      </c>
      <c r="E78" s="11" t="s">
        <v>435</v>
      </c>
      <c r="F78" s="11" t="s">
        <v>901</v>
      </c>
      <c r="G78" s="11" t="s">
        <v>900</v>
      </c>
      <c r="H78" s="11">
        <v>1</v>
      </c>
      <c r="I78" s="11"/>
      <c r="J78" s="11"/>
    </row>
    <row r="79" spans="1:10" hidden="1" x14ac:dyDescent="0.2">
      <c r="A79" s="11" t="s">
        <v>117</v>
      </c>
      <c r="B79" s="11" t="s">
        <v>448</v>
      </c>
      <c r="C79" s="11" t="s">
        <v>53</v>
      </c>
      <c r="D79" s="6">
        <v>1</v>
      </c>
      <c r="E79" s="11" t="s">
        <v>436</v>
      </c>
      <c r="F79" s="11" t="s">
        <v>901</v>
      </c>
      <c r="G79" s="11" t="s">
        <v>900</v>
      </c>
      <c r="H79" s="11">
        <v>1</v>
      </c>
      <c r="I79" s="11"/>
      <c r="J79" s="11"/>
    </row>
    <row r="80" spans="1:10" hidden="1" x14ac:dyDescent="0.2">
      <c r="A80" s="11" t="s">
        <v>117</v>
      </c>
      <c r="B80" s="11" t="s">
        <v>448</v>
      </c>
      <c r="C80" s="11" t="s">
        <v>91</v>
      </c>
      <c r="D80" s="6">
        <v>3</v>
      </c>
      <c r="E80" s="11" t="s">
        <v>436</v>
      </c>
      <c r="F80" s="11" t="s">
        <v>901</v>
      </c>
      <c r="G80" s="11" t="s">
        <v>900</v>
      </c>
      <c r="H80" s="11">
        <v>1</v>
      </c>
      <c r="I80" s="11"/>
      <c r="J80" s="11"/>
    </row>
    <row r="81" spans="1:10" hidden="1" x14ac:dyDescent="0.2">
      <c r="A81" s="11" t="s">
        <v>117</v>
      </c>
      <c r="B81" s="11" t="s">
        <v>448</v>
      </c>
      <c r="C81" s="11" t="s">
        <v>78</v>
      </c>
      <c r="D81" s="6">
        <v>1</v>
      </c>
      <c r="E81" s="11" t="s">
        <v>436</v>
      </c>
      <c r="F81" s="11" t="s">
        <v>901</v>
      </c>
      <c r="G81" s="11" t="s">
        <v>900</v>
      </c>
      <c r="H81" s="11">
        <v>1</v>
      </c>
      <c r="I81" s="11"/>
      <c r="J81" s="11"/>
    </row>
    <row r="82" spans="1:10" hidden="1" x14ac:dyDescent="0.2">
      <c r="A82" s="11" t="s">
        <v>117</v>
      </c>
      <c r="B82" s="11" t="s">
        <v>448</v>
      </c>
      <c r="C82" s="11" t="s">
        <v>76</v>
      </c>
      <c r="D82" s="6">
        <v>1</v>
      </c>
      <c r="E82" s="11" t="s">
        <v>436</v>
      </c>
      <c r="F82" s="11" t="s">
        <v>901</v>
      </c>
      <c r="G82" s="11" t="s">
        <v>900</v>
      </c>
      <c r="H82" s="11">
        <v>1</v>
      </c>
      <c r="I82" s="11"/>
      <c r="J82" s="11"/>
    </row>
    <row r="83" spans="1:10" hidden="1" x14ac:dyDescent="0.2">
      <c r="A83" s="11" t="s">
        <v>117</v>
      </c>
      <c r="B83" s="11" t="s">
        <v>448</v>
      </c>
      <c r="C83" s="11" t="s">
        <v>70</v>
      </c>
      <c r="D83" s="6">
        <v>1</v>
      </c>
      <c r="E83" s="11" t="s">
        <v>436</v>
      </c>
      <c r="F83" s="11" t="s">
        <v>901</v>
      </c>
      <c r="G83" s="11" t="s">
        <v>900</v>
      </c>
      <c r="H83" s="11">
        <v>1</v>
      </c>
      <c r="I83" s="11"/>
      <c r="J83" s="11"/>
    </row>
    <row r="84" spans="1:10" hidden="1" x14ac:dyDescent="0.2">
      <c r="A84" s="11" t="s">
        <v>117</v>
      </c>
      <c r="B84" s="11" t="s">
        <v>448</v>
      </c>
      <c r="C84" s="11" t="s">
        <v>90</v>
      </c>
      <c r="D84" s="6">
        <v>1</v>
      </c>
      <c r="E84" s="11" t="s">
        <v>436</v>
      </c>
      <c r="F84" s="11" t="s">
        <v>901</v>
      </c>
      <c r="G84" s="11" t="s">
        <v>900</v>
      </c>
      <c r="H84" s="11">
        <v>1</v>
      </c>
      <c r="I84" s="11"/>
      <c r="J84" s="11"/>
    </row>
    <row r="85" spans="1:10" hidden="1" x14ac:dyDescent="0.2">
      <c r="A85" s="11" t="s">
        <v>117</v>
      </c>
      <c r="B85" s="11" t="s">
        <v>448</v>
      </c>
      <c r="C85" s="11" t="s">
        <v>108</v>
      </c>
      <c r="D85" s="6">
        <v>3</v>
      </c>
      <c r="E85" s="11" t="s">
        <v>436</v>
      </c>
      <c r="F85" s="11" t="s">
        <v>901</v>
      </c>
      <c r="G85" s="11" t="s">
        <v>900</v>
      </c>
      <c r="H85" s="11">
        <v>1</v>
      </c>
      <c r="I85" s="11"/>
      <c r="J85" s="11"/>
    </row>
    <row r="86" spans="1:10" hidden="1" x14ac:dyDescent="0.2">
      <c r="A86" s="11" t="s">
        <v>117</v>
      </c>
      <c r="B86" s="11" t="s">
        <v>448</v>
      </c>
      <c r="C86" s="11" t="s">
        <v>92</v>
      </c>
      <c r="D86" s="6">
        <v>1</v>
      </c>
      <c r="E86" s="11" t="s">
        <v>436</v>
      </c>
      <c r="F86" s="11" t="s">
        <v>901</v>
      </c>
      <c r="G86" s="11" t="s">
        <v>900</v>
      </c>
      <c r="H86" s="11">
        <v>1</v>
      </c>
      <c r="I86" s="11"/>
      <c r="J86" s="11"/>
    </row>
    <row r="87" spans="1:10" hidden="1" x14ac:dyDescent="0.2">
      <c r="A87" s="11" t="s">
        <v>117</v>
      </c>
      <c r="B87" s="11" t="s">
        <v>448</v>
      </c>
      <c r="C87" s="11" t="s">
        <v>93</v>
      </c>
      <c r="D87" s="6">
        <v>1</v>
      </c>
      <c r="E87" s="11" t="s">
        <v>436</v>
      </c>
      <c r="F87" s="11" t="s">
        <v>901</v>
      </c>
      <c r="G87" s="11" t="s">
        <v>900</v>
      </c>
      <c r="H87" s="11">
        <v>1</v>
      </c>
      <c r="I87" s="11"/>
      <c r="J87" s="11"/>
    </row>
    <row r="88" spans="1:10" hidden="1" x14ac:dyDescent="0.2">
      <c r="A88" s="11" t="s">
        <v>117</v>
      </c>
      <c r="B88" s="11" t="s">
        <v>448</v>
      </c>
      <c r="C88" s="11" t="s">
        <v>368</v>
      </c>
      <c r="D88" s="6">
        <v>2</v>
      </c>
      <c r="E88" s="11" t="s">
        <v>436</v>
      </c>
      <c r="F88" s="11" t="s">
        <v>901</v>
      </c>
      <c r="G88" s="11" t="s">
        <v>900</v>
      </c>
      <c r="H88" s="11">
        <v>1</v>
      </c>
      <c r="I88" s="11"/>
      <c r="J88" s="11"/>
    </row>
    <row r="89" spans="1:10" hidden="1" x14ac:dyDescent="0.2">
      <c r="A89" s="11" t="s">
        <v>117</v>
      </c>
      <c r="B89" s="11" t="s">
        <v>448</v>
      </c>
      <c r="C89" s="11" t="s">
        <v>370</v>
      </c>
      <c r="D89" s="6">
        <v>50</v>
      </c>
      <c r="E89" s="11" t="s">
        <v>436</v>
      </c>
      <c r="F89" s="11" t="s">
        <v>901</v>
      </c>
      <c r="G89" s="11" t="s">
        <v>900</v>
      </c>
      <c r="H89" s="11">
        <v>1</v>
      </c>
      <c r="I89" s="11"/>
      <c r="J89" s="11"/>
    </row>
    <row r="90" spans="1:10" hidden="1" x14ac:dyDescent="0.2">
      <c r="A90" s="11" t="s">
        <v>117</v>
      </c>
      <c r="B90" s="11" t="s">
        <v>449</v>
      </c>
      <c r="C90" s="11" t="s">
        <v>54</v>
      </c>
      <c r="D90" s="6">
        <v>1</v>
      </c>
      <c r="E90" s="11" t="s">
        <v>437</v>
      </c>
      <c r="F90" s="11" t="s">
        <v>901</v>
      </c>
      <c r="G90" s="11" t="s">
        <v>900</v>
      </c>
      <c r="H90" s="11">
        <v>1</v>
      </c>
      <c r="I90" s="11"/>
      <c r="J90" s="11"/>
    </row>
    <row r="91" spans="1:10" hidden="1" x14ac:dyDescent="0.2">
      <c r="A91" s="11" t="s">
        <v>117</v>
      </c>
      <c r="B91" s="11" t="s">
        <v>449</v>
      </c>
      <c r="C91" s="11" t="s">
        <v>125</v>
      </c>
      <c r="D91" s="6">
        <v>3</v>
      </c>
      <c r="E91" s="11" t="s">
        <v>437</v>
      </c>
      <c r="F91" s="11" t="s">
        <v>901</v>
      </c>
      <c r="G91" s="11" t="s">
        <v>900</v>
      </c>
      <c r="H91" s="11">
        <v>1</v>
      </c>
      <c r="I91" s="11"/>
      <c r="J91" s="11"/>
    </row>
    <row r="92" spans="1:10" hidden="1" x14ac:dyDescent="0.2">
      <c r="A92" s="11" t="s">
        <v>117</v>
      </c>
      <c r="B92" s="11" t="s">
        <v>449</v>
      </c>
      <c r="C92" s="11" t="s">
        <v>78</v>
      </c>
      <c r="D92" s="6">
        <v>1</v>
      </c>
      <c r="E92" s="11" t="s">
        <v>437</v>
      </c>
      <c r="F92" s="11" t="s">
        <v>901</v>
      </c>
      <c r="G92" s="11" t="s">
        <v>900</v>
      </c>
      <c r="H92" s="11">
        <v>1</v>
      </c>
      <c r="I92" s="11"/>
      <c r="J92" s="11"/>
    </row>
    <row r="93" spans="1:10" hidden="1" x14ac:dyDescent="0.2">
      <c r="A93" s="11" t="s">
        <v>117</v>
      </c>
      <c r="B93" s="11" t="s">
        <v>449</v>
      </c>
      <c r="C93" s="11" t="s">
        <v>76</v>
      </c>
      <c r="D93" s="6">
        <v>1</v>
      </c>
      <c r="E93" s="11" t="s">
        <v>437</v>
      </c>
      <c r="F93" s="11" t="s">
        <v>901</v>
      </c>
      <c r="G93" s="11" t="s">
        <v>900</v>
      </c>
      <c r="H93" s="11">
        <v>1</v>
      </c>
      <c r="I93" s="11"/>
      <c r="J93" s="11"/>
    </row>
    <row r="94" spans="1:10" hidden="1" x14ac:dyDescent="0.2">
      <c r="A94" s="11" t="s">
        <v>117</v>
      </c>
      <c r="B94" s="11" t="s">
        <v>449</v>
      </c>
      <c r="C94" s="11" t="s">
        <v>70</v>
      </c>
      <c r="D94" s="6">
        <v>1</v>
      </c>
      <c r="E94" s="11" t="s">
        <v>437</v>
      </c>
      <c r="F94" s="11" t="s">
        <v>901</v>
      </c>
      <c r="G94" s="11" t="s">
        <v>900</v>
      </c>
      <c r="H94" s="11">
        <v>1</v>
      </c>
      <c r="I94" s="11"/>
      <c r="J94" s="11"/>
    </row>
    <row r="95" spans="1:10" hidden="1" x14ac:dyDescent="0.2">
      <c r="A95" s="11" t="s">
        <v>117</v>
      </c>
      <c r="B95" s="11" t="s">
        <v>449</v>
      </c>
      <c r="C95" s="11" t="s">
        <v>90</v>
      </c>
      <c r="D95" s="6">
        <v>1</v>
      </c>
      <c r="E95" s="11" t="s">
        <v>437</v>
      </c>
      <c r="F95" s="11" t="s">
        <v>901</v>
      </c>
      <c r="G95" s="11" t="s">
        <v>900</v>
      </c>
      <c r="H95" s="11">
        <v>1</v>
      </c>
      <c r="I95" s="11"/>
      <c r="J95" s="11"/>
    </row>
    <row r="96" spans="1:10" hidden="1" x14ac:dyDescent="0.2">
      <c r="A96" s="11" t="s">
        <v>117</v>
      </c>
      <c r="B96" s="11" t="s">
        <v>449</v>
      </c>
      <c r="C96" s="11" t="s">
        <v>108</v>
      </c>
      <c r="D96" s="6">
        <v>3</v>
      </c>
      <c r="E96" s="11" t="s">
        <v>437</v>
      </c>
      <c r="F96" s="11" t="s">
        <v>901</v>
      </c>
      <c r="G96" s="11" t="s">
        <v>900</v>
      </c>
      <c r="H96" s="11">
        <v>1</v>
      </c>
      <c r="I96" s="11"/>
      <c r="J96" s="11"/>
    </row>
    <row r="97" spans="1:10" hidden="1" x14ac:dyDescent="0.2">
      <c r="A97" s="11" t="s">
        <v>117</v>
      </c>
      <c r="B97" s="11" t="s">
        <v>449</v>
      </c>
      <c r="C97" s="11" t="s">
        <v>126</v>
      </c>
      <c r="D97" s="6">
        <v>1</v>
      </c>
      <c r="E97" s="11" t="s">
        <v>437</v>
      </c>
      <c r="F97" s="11" t="s">
        <v>901</v>
      </c>
      <c r="G97" s="11" t="s">
        <v>900</v>
      </c>
      <c r="H97" s="11">
        <v>1</v>
      </c>
      <c r="I97" s="11"/>
      <c r="J97" s="11"/>
    </row>
    <row r="98" spans="1:10" hidden="1" x14ac:dyDescent="0.2">
      <c r="A98" s="11" t="s">
        <v>117</v>
      </c>
      <c r="B98" s="11" t="s">
        <v>449</v>
      </c>
      <c r="C98" s="11" t="s">
        <v>93</v>
      </c>
      <c r="D98" s="6">
        <v>1</v>
      </c>
      <c r="E98" s="11" t="s">
        <v>437</v>
      </c>
      <c r="F98" s="11" t="s">
        <v>901</v>
      </c>
      <c r="G98" s="11" t="s">
        <v>900</v>
      </c>
      <c r="H98" s="11">
        <v>1</v>
      </c>
      <c r="I98" s="11"/>
      <c r="J98" s="11"/>
    </row>
    <row r="99" spans="1:10" hidden="1" x14ac:dyDescent="0.2">
      <c r="A99" s="11" t="s">
        <v>117</v>
      </c>
      <c r="B99" s="11" t="s">
        <v>449</v>
      </c>
      <c r="C99" s="11" t="s">
        <v>368</v>
      </c>
      <c r="D99" s="6">
        <v>2</v>
      </c>
      <c r="E99" s="11" t="s">
        <v>437</v>
      </c>
      <c r="F99" s="11" t="s">
        <v>901</v>
      </c>
      <c r="G99" s="11" t="s">
        <v>900</v>
      </c>
      <c r="H99" s="11">
        <v>1</v>
      </c>
      <c r="I99" s="11"/>
      <c r="J99" s="11"/>
    </row>
    <row r="100" spans="1:10" hidden="1" x14ac:dyDescent="0.2">
      <c r="A100" s="11" t="s">
        <v>117</v>
      </c>
      <c r="B100" s="11" t="s">
        <v>449</v>
      </c>
      <c r="C100" s="11" t="s">
        <v>370</v>
      </c>
      <c r="D100" s="6">
        <v>50</v>
      </c>
      <c r="E100" s="11" t="s">
        <v>437</v>
      </c>
      <c r="F100" s="11" t="s">
        <v>901</v>
      </c>
      <c r="G100" s="11" t="s">
        <v>900</v>
      </c>
      <c r="H100" s="11">
        <v>1</v>
      </c>
      <c r="I100" s="11"/>
      <c r="J100" s="11"/>
    </row>
    <row r="101" spans="1:10" hidden="1" x14ac:dyDescent="0.2">
      <c r="A101" s="11" t="s">
        <v>117</v>
      </c>
      <c r="B101" s="11" t="s">
        <v>450</v>
      </c>
      <c r="C101" s="11" t="s">
        <v>55</v>
      </c>
      <c r="D101" s="6">
        <v>1</v>
      </c>
      <c r="E101" s="11" t="s">
        <v>438</v>
      </c>
      <c r="F101" s="11" t="s">
        <v>901</v>
      </c>
      <c r="G101" s="11" t="s">
        <v>900</v>
      </c>
      <c r="H101" s="11">
        <v>1</v>
      </c>
      <c r="I101" s="11"/>
      <c r="J101" s="11"/>
    </row>
    <row r="102" spans="1:10" hidden="1" x14ac:dyDescent="0.2">
      <c r="A102" s="11" t="s">
        <v>117</v>
      </c>
      <c r="B102" s="11" t="s">
        <v>450</v>
      </c>
      <c r="C102" s="11" t="s">
        <v>141</v>
      </c>
      <c r="D102" s="6">
        <v>3</v>
      </c>
      <c r="E102" s="11" t="s">
        <v>438</v>
      </c>
      <c r="F102" s="11" t="s">
        <v>901</v>
      </c>
      <c r="G102" s="11" t="s">
        <v>900</v>
      </c>
      <c r="H102" s="11">
        <v>1</v>
      </c>
      <c r="I102" s="11"/>
      <c r="J102" s="11"/>
    </row>
    <row r="103" spans="1:10" hidden="1" x14ac:dyDescent="0.2">
      <c r="A103" s="11" t="s">
        <v>117</v>
      </c>
      <c r="B103" s="11" t="s">
        <v>450</v>
      </c>
      <c r="C103" s="11" t="s">
        <v>78</v>
      </c>
      <c r="D103" s="6">
        <v>1</v>
      </c>
      <c r="E103" s="11" t="s">
        <v>438</v>
      </c>
      <c r="F103" s="11" t="s">
        <v>901</v>
      </c>
      <c r="G103" s="11" t="s">
        <v>900</v>
      </c>
      <c r="H103" s="11">
        <v>1</v>
      </c>
      <c r="I103" s="11"/>
      <c r="J103" s="11"/>
    </row>
    <row r="104" spans="1:10" hidden="1" x14ac:dyDescent="0.2">
      <c r="A104" s="11" t="s">
        <v>117</v>
      </c>
      <c r="B104" s="11" t="s">
        <v>450</v>
      </c>
      <c r="C104" s="11" t="s">
        <v>76</v>
      </c>
      <c r="D104" s="6">
        <v>1</v>
      </c>
      <c r="E104" s="11" t="s">
        <v>438</v>
      </c>
      <c r="F104" s="11" t="s">
        <v>901</v>
      </c>
      <c r="G104" s="11" t="s">
        <v>900</v>
      </c>
      <c r="H104" s="11">
        <v>1</v>
      </c>
      <c r="I104" s="11"/>
      <c r="J104" s="11"/>
    </row>
    <row r="105" spans="1:10" hidden="1" x14ac:dyDescent="0.2">
      <c r="A105" s="11" t="s">
        <v>117</v>
      </c>
      <c r="B105" s="11" t="s">
        <v>450</v>
      </c>
      <c r="C105" s="11" t="s">
        <v>70</v>
      </c>
      <c r="D105" s="6">
        <v>1</v>
      </c>
      <c r="E105" s="11" t="s">
        <v>438</v>
      </c>
      <c r="F105" s="11" t="s">
        <v>901</v>
      </c>
      <c r="G105" s="11" t="s">
        <v>900</v>
      </c>
      <c r="H105" s="11">
        <v>1</v>
      </c>
      <c r="I105" s="11"/>
      <c r="J105" s="11"/>
    </row>
    <row r="106" spans="1:10" hidden="1" x14ac:dyDescent="0.2">
      <c r="A106" s="11" t="s">
        <v>117</v>
      </c>
      <c r="B106" s="11" t="s">
        <v>450</v>
      </c>
      <c r="C106" s="11" t="s">
        <v>90</v>
      </c>
      <c r="D106" s="6">
        <v>1</v>
      </c>
      <c r="E106" s="11" t="s">
        <v>438</v>
      </c>
      <c r="F106" s="11" t="s">
        <v>901</v>
      </c>
      <c r="G106" s="11" t="s">
        <v>900</v>
      </c>
      <c r="H106" s="11">
        <v>1</v>
      </c>
      <c r="I106" s="11"/>
      <c r="J106" s="11"/>
    </row>
    <row r="107" spans="1:10" hidden="1" x14ac:dyDescent="0.2">
      <c r="A107" s="11" t="s">
        <v>117</v>
      </c>
      <c r="B107" s="11" t="s">
        <v>450</v>
      </c>
      <c r="C107" s="11" t="s">
        <v>108</v>
      </c>
      <c r="D107" s="6">
        <v>3</v>
      </c>
      <c r="E107" s="11" t="s">
        <v>438</v>
      </c>
      <c r="F107" s="11" t="s">
        <v>901</v>
      </c>
      <c r="G107" s="11" t="s">
        <v>900</v>
      </c>
      <c r="H107" s="11">
        <v>1</v>
      </c>
      <c r="I107" s="11"/>
      <c r="J107" s="11"/>
    </row>
    <row r="108" spans="1:10" hidden="1" x14ac:dyDescent="0.2">
      <c r="A108" s="11" t="s">
        <v>117</v>
      </c>
      <c r="B108" s="11" t="s">
        <v>450</v>
      </c>
      <c r="C108" s="11" t="s">
        <v>126</v>
      </c>
      <c r="D108" s="6">
        <v>1</v>
      </c>
      <c r="E108" s="11" t="s">
        <v>438</v>
      </c>
      <c r="F108" s="11" t="s">
        <v>901</v>
      </c>
      <c r="G108" s="11" t="s">
        <v>900</v>
      </c>
      <c r="H108" s="11">
        <v>1</v>
      </c>
      <c r="I108" s="11"/>
      <c r="J108" s="11"/>
    </row>
    <row r="109" spans="1:10" hidden="1" x14ac:dyDescent="0.2">
      <c r="A109" s="11" t="s">
        <v>117</v>
      </c>
      <c r="B109" s="11" t="s">
        <v>450</v>
      </c>
      <c r="C109" s="11" t="s">
        <v>143</v>
      </c>
      <c r="D109" s="6">
        <v>1</v>
      </c>
      <c r="E109" s="11" t="s">
        <v>438</v>
      </c>
      <c r="F109" s="11" t="s">
        <v>901</v>
      </c>
      <c r="G109" s="11" t="s">
        <v>900</v>
      </c>
      <c r="H109" s="11">
        <v>1</v>
      </c>
      <c r="I109" s="11"/>
      <c r="J109" s="11"/>
    </row>
    <row r="110" spans="1:10" hidden="1" x14ac:dyDescent="0.2">
      <c r="A110" s="11" t="s">
        <v>117</v>
      </c>
      <c r="B110" s="11" t="s">
        <v>450</v>
      </c>
      <c r="C110" s="11" t="s">
        <v>368</v>
      </c>
      <c r="D110" s="6">
        <v>2</v>
      </c>
      <c r="E110" s="11" t="s">
        <v>438</v>
      </c>
      <c r="F110" s="11" t="s">
        <v>901</v>
      </c>
      <c r="G110" s="11" t="s">
        <v>900</v>
      </c>
      <c r="H110" s="11">
        <v>1</v>
      </c>
      <c r="I110" s="11"/>
      <c r="J110" s="11"/>
    </row>
    <row r="111" spans="1:10" hidden="1" x14ac:dyDescent="0.2">
      <c r="A111" s="11" t="s">
        <v>117</v>
      </c>
      <c r="B111" s="11" t="s">
        <v>450</v>
      </c>
      <c r="C111" s="11" t="s">
        <v>370</v>
      </c>
      <c r="D111" s="6">
        <v>50</v>
      </c>
      <c r="E111" s="11" t="s">
        <v>438</v>
      </c>
      <c r="F111" s="11" t="s">
        <v>901</v>
      </c>
      <c r="G111" s="11" t="s">
        <v>900</v>
      </c>
      <c r="H111" s="11">
        <v>1</v>
      </c>
      <c r="I111" s="11"/>
      <c r="J111" s="11"/>
    </row>
    <row r="112" spans="1:10" hidden="1" x14ac:dyDescent="0.2">
      <c r="A112" s="11" t="s">
        <v>117</v>
      </c>
      <c r="B112" s="11" t="s">
        <v>451</v>
      </c>
      <c r="C112" s="11" t="s">
        <v>56</v>
      </c>
      <c r="D112" s="6">
        <v>1</v>
      </c>
      <c r="E112" s="11" t="s">
        <v>439</v>
      </c>
      <c r="F112" s="11" t="s">
        <v>901</v>
      </c>
      <c r="G112" s="11" t="s">
        <v>900</v>
      </c>
      <c r="H112" s="11">
        <v>1</v>
      </c>
      <c r="I112" s="11"/>
      <c r="J112" s="11"/>
    </row>
    <row r="113" spans="1:10" hidden="1" x14ac:dyDescent="0.2">
      <c r="A113" s="11" t="s">
        <v>117</v>
      </c>
      <c r="B113" s="11" t="s">
        <v>451</v>
      </c>
      <c r="C113" s="11" t="s">
        <v>86</v>
      </c>
      <c r="D113" s="6">
        <v>3</v>
      </c>
      <c r="E113" s="11" t="s">
        <v>439</v>
      </c>
      <c r="F113" s="11" t="s">
        <v>901</v>
      </c>
      <c r="G113" s="11" t="s">
        <v>900</v>
      </c>
      <c r="H113" s="11">
        <v>1</v>
      </c>
      <c r="I113" s="11"/>
      <c r="J113" s="11"/>
    </row>
    <row r="114" spans="1:10" hidden="1" x14ac:dyDescent="0.2">
      <c r="A114" s="11" t="s">
        <v>117</v>
      </c>
      <c r="B114" s="11" t="s">
        <v>451</v>
      </c>
      <c r="C114" s="11" t="s">
        <v>78</v>
      </c>
      <c r="D114" s="6">
        <v>1</v>
      </c>
      <c r="E114" s="11" t="s">
        <v>439</v>
      </c>
      <c r="F114" s="11" t="s">
        <v>901</v>
      </c>
      <c r="G114" s="11" t="s">
        <v>900</v>
      </c>
      <c r="H114" s="11">
        <v>1</v>
      </c>
      <c r="I114" s="11"/>
      <c r="J114" s="11"/>
    </row>
    <row r="115" spans="1:10" hidden="1" x14ac:dyDescent="0.2">
      <c r="A115" s="11" t="s">
        <v>117</v>
      </c>
      <c r="B115" s="11" t="s">
        <v>451</v>
      </c>
      <c r="C115" s="11" t="s">
        <v>76</v>
      </c>
      <c r="D115" s="6">
        <v>1</v>
      </c>
      <c r="E115" s="11" t="s">
        <v>439</v>
      </c>
      <c r="F115" s="11" t="s">
        <v>901</v>
      </c>
      <c r="G115" s="11" t="s">
        <v>900</v>
      </c>
      <c r="H115" s="11">
        <v>1</v>
      </c>
      <c r="I115" s="11"/>
      <c r="J115" s="11"/>
    </row>
    <row r="116" spans="1:10" hidden="1" x14ac:dyDescent="0.2">
      <c r="A116" s="11" t="s">
        <v>117</v>
      </c>
      <c r="B116" s="11" t="s">
        <v>451</v>
      </c>
      <c r="C116" s="11" t="s">
        <v>70</v>
      </c>
      <c r="D116" s="6">
        <v>1</v>
      </c>
      <c r="E116" s="11" t="s">
        <v>439</v>
      </c>
      <c r="F116" s="11" t="s">
        <v>901</v>
      </c>
      <c r="G116" s="11" t="s">
        <v>900</v>
      </c>
      <c r="H116" s="11">
        <v>1</v>
      </c>
      <c r="I116" s="11"/>
      <c r="J116" s="11"/>
    </row>
    <row r="117" spans="1:10" hidden="1" x14ac:dyDescent="0.2">
      <c r="A117" s="11" t="s">
        <v>117</v>
      </c>
      <c r="B117" s="11" t="s">
        <v>451</v>
      </c>
      <c r="C117" s="11" t="s">
        <v>69</v>
      </c>
      <c r="D117" s="6">
        <v>1</v>
      </c>
      <c r="E117" s="11" t="s">
        <v>439</v>
      </c>
      <c r="F117" s="11" t="s">
        <v>901</v>
      </c>
      <c r="G117" s="11" t="s">
        <v>900</v>
      </c>
      <c r="H117" s="11">
        <v>1</v>
      </c>
      <c r="I117" s="11"/>
      <c r="J117" s="11"/>
    </row>
    <row r="118" spans="1:10" hidden="1" x14ac:dyDescent="0.2">
      <c r="A118" s="11" t="s">
        <v>117</v>
      </c>
      <c r="B118" s="11" t="s">
        <v>451</v>
      </c>
      <c r="C118" s="11" t="s">
        <v>476</v>
      </c>
      <c r="D118" s="6">
        <v>1</v>
      </c>
      <c r="E118" s="11" t="s">
        <v>439</v>
      </c>
      <c r="F118" s="11" t="s">
        <v>901</v>
      </c>
      <c r="G118" s="11" t="s">
        <v>900</v>
      </c>
      <c r="H118" s="11">
        <v>1</v>
      </c>
      <c r="I118" s="11"/>
      <c r="J118" s="11"/>
    </row>
    <row r="119" spans="1:10" hidden="1" x14ac:dyDescent="0.2">
      <c r="A119" s="11" t="s">
        <v>117</v>
      </c>
      <c r="B119" s="11" t="s">
        <v>451</v>
      </c>
      <c r="C119" s="11" t="s">
        <v>88</v>
      </c>
      <c r="D119" s="6">
        <v>1</v>
      </c>
      <c r="E119" s="11" t="s">
        <v>439</v>
      </c>
      <c r="F119" s="11" t="s">
        <v>901</v>
      </c>
      <c r="G119" s="11" t="s">
        <v>900</v>
      </c>
      <c r="H119" s="11">
        <v>1</v>
      </c>
      <c r="I119" s="11"/>
      <c r="J119" s="11"/>
    </row>
    <row r="120" spans="1:10" hidden="1" x14ac:dyDescent="0.2">
      <c r="A120" s="11" t="s">
        <v>117</v>
      </c>
      <c r="B120" s="11" t="s">
        <v>451</v>
      </c>
      <c r="C120" s="11" t="s">
        <v>89</v>
      </c>
      <c r="D120" s="6">
        <v>1</v>
      </c>
      <c r="E120" s="11" t="s">
        <v>439</v>
      </c>
      <c r="F120" s="11" t="s">
        <v>901</v>
      </c>
      <c r="G120" s="11" t="s">
        <v>900</v>
      </c>
      <c r="H120" s="11">
        <v>1</v>
      </c>
      <c r="I120" s="11"/>
      <c r="J120" s="11"/>
    </row>
    <row r="121" spans="1:10" hidden="1" x14ac:dyDescent="0.2">
      <c r="A121" s="11" t="s">
        <v>117</v>
      </c>
      <c r="B121" s="11" t="s">
        <v>451</v>
      </c>
      <c r="C121" s="11" t="s">
        <v>368</v>
      </c>
      <c r="D121" s="6">
        <v>2</v>
      </c>
      <c r="E121" s="11" t="s">
        <v>439</v>
      </c>
      <c r="F121" s="11" t="s">
        <v>901</v>
      </c>
      <c r="G121" s="11" t="s">
        <v>900</v>
      </c>
      <c r="H121" s="11">
        <v>1</v>
      </c>
      <c r="I121" s="11"/>
      <c r="J121" s="11"/>
    </row>
    <row r="122" spans="1:10" hidden="1" x14ac:dyDescent="0.2">
      <c r="A122" s="11" t="s">
        <v>117</v>
      </c>
      <c r="B122" s="11" t="s">
        <v>451</v>
      </c>
      <c r="C122" s="11" t="s">
        <v>370</v>
      </c>
      <c r="D122" s="6">
        <v>50</v>
      </c>
      <c r="E122" s="11" t="s">
        <v>439</v>
      </c>
      <c r="F122" s="11" t="s">
        <v>901</v>
      </c>
      <c r="G122" s="11" t="s">
        <v>900</v>
      </c>
      <c r="H122" s="11">
        <v>1</v>
      </c>
      <c r="I122" s="11"/>
      <c r="J122" s="11"/>
    </row>
    <row r="123" spans="1:10" hidden="1" x14ac:dyDescent="0.2">
      <c r="A123" s="11" t="s">
        <v>117</v>
      </c>
      <c r="B123" s="11" t="s">
        <v>452</v>
      </c>
      <c r="C123" s="11" t="s">
        <v>57</v>
      </c>
      <c r="D123" s="6">
        <v>1</v>
      </c>
      <c r="E123" s="11" t="s">
        <v>440</v>
      </c>
      <c r="F123" s="11" t="s">
        <v>901</v>
      </c>
      <c r="G123" s="11" t="s">
        <v>900</v>
      </c>
      <c r="H123" s="11">
        <v>1</v>
      </c>
      <c r="I123" s="11"/>
      <c r="J123" s="11"/>
    </row>
    <row r="124" spans="1:10" hidden="1" x14ac:dyDescent="0.2">
      <c r="A124" s="11" t="s">
        <v>117</v>
      </c>
      <c r="B124" s="11" t="s">
        <v>452</v>
      </c>
      <c r="C124" s="11" t="s">
        <v>66</v>
      </c>
      <c r="D124" s="6">
        <v>3</v>
      </c>
      <c r="E124" s="11" t="s">
        <v>440</v>
      </c>
      <c r="F124" s="11" t="s">
        <v>901</v>
      </c>
      <c r="G124" s="11" t="s">
        <v>900</v>
      </c>
      <c r="H124" s="11">
        <v>1</v>
      </c>
      <c r="I124" s="11"/>
      <c r="J124" s="11"/>
    </row>
    <row r="125" spans="1:10" hidden="1" x14ac:dyDescent="0.2">
      <c r="A125" s="11" t="s">
        <v>117</v>
      </c>
      <c r="B125" s="11" t="s">
        <v>452</v>
      </c>
      <c r="C125" s="11" t="s">
        <v>78</v>
      </c>
      <c r="D125" s="6">
        <v>1</v>
      </c>
      <c r="E125" s="11" t="s">
        <v>440</v>
      </c>
      <c r="F125" s="11" t="s">
        <v>901</v>
      </c>
      <c r="G125" s="11" t="s">
        <v>900</v>
      </c>
      <c r="H125" s="11">
        <v>1</v>
      </c>
      <c r="I125" s="11"/>
      <c r="J125" s="11"/>
    </row>
    <row r="126" spans="1:10" hidden="1" x14ac:dyDescent="0.2">
      <c r="A126" s="11" t="s">
        <v>117</v>
      </c>
      <c r="B126" s="11" t="s">
        <v>452</v>
      </c>
      <c r="C126" s="11" t="s">
        <v>76</v>
      </c>
      <c r="D126" s="6">
        <v>1</v>
      </c>
      <c r="E126" s="11" t="s">
        <v>440</v>
      </c>
      <c r="F126" s="11" t="s">
        <v>901</v>
      </c>
      <c r="G126" s="11" t="s">
        <v>900</v>
      </c>
      <c r="H126" s="11">
        <v>1</v>
      </c>
      <c r="I126" s="11"/>
      <c r="J126" s="11"/>
    </row>
    <row r="127" spans="1:10" hidden="1" x14ac:dyDescent="0.2">
      <c r="A127" s="11" t="s">
        <v>117</v>
      </c>
      <c r="B127" s="11" t="s">
        <v>452</v>
      </c>
      <c r="C127" s="11" t="s">
        <v>70</v>
      </c>
      <c r="D127" s="6">
        <v>1</v>
      </c>
      <c r="E127" s="11" t="s">
        <v>440</v>
      </c>
      <c r="F127" s="11" t="s">
        <v>901</v>
      </c>
      <c r="G127" s="11" t="s">
        <v>900</v>
      </c>
      <c r="H127" s="11">
        <v>1</v>
      </c>
      <c r="I127" s="11"/>
      <c r="J127" s="11"/>
    </row>
    <row r="128" spans="1:10" hidden="1" x14ac:dyDescent="0.2">
      <c r="A128" s="11" t="s">
        <v>117</v>
      </c>
      <c r="B128" s="11" t="s">
        <v>452</v>
      </c>
      <c r="C128" s="11" t="s">
        <v>69</v>
      </c>
      <c r="D128" s="6">
        <v>1</v>
      </c>
      <c r="E128" s="11" t="s">
        <v>440</v>
      </c>
      <c r="F128" s="11" t="s">
        <v>901</v>
      </c>
      <c r="G128" s="11" t="s">
        <v>900</v>
      </c>
      <c r="H128" s="11">
        <v>1</v>
      </c>
      <c r="I128" s="11"/>
      <c r="J128" s="11"/>
    </row>
    <row r="129" spans="1:10" hidden="1" x14ac:dyDescent="0.2">
      <c r="A129" s="11" t="s">
        <v>117</v>
      </c>
      <c r="B129" s="11" t="s">
        <v>452</v>
      </c>
      <c r="C129" s="11" t="s">
        <v>476</v>
      </c>
      <c r="D129" s="6">
        <v>1</v>
      </c>
      <c r="E129" s="11" t="s">
        <v>440</v>
      </c>
      <c r="F129" s="11" t="s">
        <v>901</v>
      </c>
      <c r="G129" s="11" t="s">
        <v>900</v>
      </c>
      <c r="H129" s="11">
        <v>1</v>
      </c>
      <c r="I129" s="11"/>
      <c r="J129" s="11"/>
    </row>
    <row r="130" spans="1:10" hidden="1" x14ac:dyDescent="0.2">
      <c r="A130" s="11" t="s">
        <v>117</v>
      </c>
      <c r="B130" s="11" t="s">
        <v>452</v>
      </c>
      <c r="C130" s="11" t="s">
        <v>68</v>
      </c>
      <c r="D130" s="6">
        <v>1</v>
      </c>
      <c r="E130" s="11" t="s">
        <v>440</v>
      </c>
      <c r="F130" s="11" t="s">
        <v>901</v>
      </c>
      <c r="G130" s="11" t="s">
        <v>900</v>
      </c>
      <c r="H130" s="11">
        <v>1</v>
      </c>
      <c r="I130" s="11"/>
      <c r="J130" s="11"/>
    </row>
    <row r="131" spans="1:10" hidden="1" x14ac:dyDescent="0.2">
      <c r="A131" s="11" t="s">
        <v>117</v>
      </c>
      <c r="B131" s="11" t="s">
        <v>452</v>
      </c>
      <c r="C131" s="11" t="s">
        <v>75</v>
      </c>
      <c r="D131" s="6">
        <v>1</v>
      </c>
      <c r="E131" s="11" t="s">
        <v>440</v>
      </c>
      <c r="F131" s="11" t="s">
        <v>901</v>
      </c>
      <c r="G131" s="11" t="s">
        <v>900</v>
      </c>
      <c r="H131" s="11">
        <v>1</v>
      </c>
      <c r="I131" s="11"/>
      <c r="J131" s="11"/>
    </row>
    <row r="132" spans="1:10" hidden="1" x14ac:dyDescent="0.2">
      <c r="A132" s="11" t="s">
        <v>117</v>
      </c>
      <c r="B132" s="11" t="s">
        <v>452</v>
      </c>
      <c r="C132" s="11" t="s">
        <v>368</v>
      </c>
      <c r="D132" s="6">
        <v>2</v>
      </c>
      <c r="E132" s="11" t="s">
        <v>440</v>
      </c>
      <c r="F132" s="11" t="s">
        <v>901</v>
      </c>
      <c r="G132" s="11" t="s">
        <v>900</v>
      </c>
      <c r="H132" s="11">
        <v>1</v>
      </c>
      <c r="I132" s="11"/>
      <c r="J132" s="11"/>
    </row>
    <row r="133" spans="1:10" hidden="1" x14ac:dyDescent="0.2">
      <c r="A133" s="11" t="s">
        <v>117</v>
      </c>
      <c r="B133" s="11" t="s">
        <v>452</v>
      </c>
      <c r="C133" s="11" t="s">
        <v>370</v>
      </c>
      <c r="D133" s="6">
        <v>50</v>
      </c>
      <c r="E133" s="11" t="s">
        <v>440</v>
      </c>
      <c r="F133" s="11" t="s">
        <v>901</v>
      </c>
      <c r="G133" s="11" t="s">
        <v>900</v>
      </c>
      <c r="H133" s="11">
        <v>1</v>
      </c>
      <c r="I133" s="11"/>
      <c r="J133" s="11"/>
    </row>
    <row r="134" spans="1:10" hidden="1" x14ac:dyDescent="0.2">
      <c r="A134" s="11" t="s">
        <v>117</v>
      </c>
      <c r="B134" s="11" t="s">
        <v>453</v>
      </c>
      <c r="C134" s="11" t="s">
        <v>58</v>
      </c>
      <c r="D134" s="6">
        <v>1</v>
      </c>
      <c r="E134" s="11" t="s">
        <v>454</v>
      </c>
      <c r="F134" s="11" t="s">
        <v>901</v>
      </c>
      <c r="G134" s="11" t="s">
        <v>900</v>
      </c>
      <c r="H134" s="11">
        <v>1</v>
      </c>
      <c r="I134" s="11"/>
      <c r="J134" s="11"/>
    </row>
    <row r="135" spans="1:10" hidden="1" x14ac:dyDescent="0.2">
      <c r="A135" s="11" t="s">
        <v>117</v>
      </c>
      <c r="B135" s="11" t="s">
        <v>453</v>
      </c>
      <c r="C135" s="11" t="s">
        <v>83</v>
      </c>
      <c r="D135" s="6">
        <v>3</v>
      </c>
      <c r="E135" s="11" t="s">
        <v>454</v>
      </c>
      <c r="F135" s="11" t="s">
        <v>901</v>
      </c>
      <c r="G135" s="11" t="s">
        <v>900</v>
      </c>
      <c r="H135" s="11">
        <v>1</v>
      </c>
      <c r="I135" s="11"/>
      <c r="J135" s="11"/>
    </row>
    <row r="136" spans="1:10" hidden="1" x14ac:dyDescent="0.2">
      <c r="A136" s="11" t="s">
        <v>117</v>
      </c>
      <c r="B136" s="11" t="s">
        <v>453</v>
      </c>
      <c r="C136" s="11" t="s">
        <v>78</v>
      </c>
      <c r="D136" s="6">
        <v>1</v>
      </c>
      <c r="E136" s="11" t="s">
        <v>454</v>
      </c>
      <c r="F136" s="11" t="s">
        <v>901</v>
      </c>
      <c r="G136" s="11" t="s">
        <v>900</v>
      </c>
      <c r="H136" s="11">
        <v>1</v>
      </c>
      <c r="I136" s="11"/>
      <c r="J136" s="11"/>
    </row>
    <row r="137" spans="1:10" hidden="1" x14ac:dyDescent="0.2">
      <c r="A137" s="11" t="s">
        <v>117</v>
      </c>
      <c r="B137" s="11" t="s">
        <v>453</v>
      </c>
      <c r="C137" s="11" t="s">
        <v>76</v>
      </c>
      <c r="D137" s="6">
        <v>1</v>
      </c>
      <c r="E137" s="11" t="s">
        <v>454</v>
      </c>
      <c r="F137" s="11" t="s">
        <v>901</v>
      </c>
      <c r="G137" s="11" t="s">
        <v>900</v>
      </c>
      <c r="H137" s="11">
        <v>1</v>
      </c>
      <c r="I137" s="11"/>
      <c r="J137" s="11"/>
    </row>
    <row r="138" spans="1:10" hidden="1" x14ac:dyDescent="0.2">
      <c r="A138" s="11" t="s">
        <v>117</v>
      </c>
      <c r="B138" s="11" t="s">
        <v>453</v>
      </c>
      <c r="C138" s="11" t="s">
        <v>70</v>
      </c>
      <c r="D138" s="6">
        <v>1</v>
      </c>
      <c r="E138" s="11" t="s">
        <v>454</v>
      </c>
      <c r="F138" s="11" t="s">
        <v>901</v>
      </c>
      <c r="G138" s="11" t="s">
        <v>900</v>
      </c>
      <c r="H138" s="11">
        <v>1</v>
      </c>
      <c r="I138" s="11"/>
      <c r="J138" s="11"/>
    </row>
    <row r="139" spans="1:10" hidden="1" x14ac:dyDescent="0.2">
      <c r="A139" s="11" t="s">
        <v>117</v>
      </c>
      <c r="B139" s="11" t="s">
        <v>453</v>
      </c>
      <c r="C139" s="11" t="s">
        <v>69</v>
      </c>
      <c r="D139" s="6">
        <v>1</v>
      </c>
      <c r="E139" s="11" t="s">
        <v>454</v>
      </c>
      <c r="F139" s="11" t="s">
        <v>901</v>
      </c>
      <c r="G139" s="11" t="s">
        <v>900</v>
      </c>
      <c r="H139" s="11">
        <v>1</v>
      </c>
      <c r="I139" s="11"/>
      <c r="J139" s="11"/>
    </row>
    <row r="140" spans="1:10" hidden="1" x14ac:dyDescent="0.2">
      <c r="A140" s="11" t="s">
        <v>117</v>
      </c>
      <c r="B140" s="11" t="s">
        <v>453</v>
      </c>
      <c r="C140" s="11" t="s">
        <v>476</v>
      </c>
      <c r="D140" s="6">
        <v>1</v>
      </c>
      <c r="E140" s="11" t="s">
        <v>454</v>
      </c>
      <c r="F140" s="11" t="s">
        <v>901</v>
      </c>
      <c r="G140" s="11" t="s">
        <v>900</v>
      </c>
      <c r="H140" s="11">
        <v>1</v>
      </c>
      <c r="I140" s="11"/>
      <c r="J140" s="11"/>
    </row>
    <row r="141" spans="1:10" hidden="1" x14ac:dyDescent="0.2">
      <c r="A141" s="11" t="s">
        <v>117</v>
      </c>
      <c r="B141" s="11" t="s">
        <v>453</v>
      </c>
      <c r="C141" s="11" t="s">
        <v>84</v>
      </c>
      <c r="D141" s="6">
        <v>1</v>
      </c>
      <c r="E141" s="11" t="s">
        <v>454</v>
      </c>
      <c r="F141" s="11" t="s">
        <v>901</v>
      </c>
      <c r="G141" s="11" t="s">
        <v>900</v>
      </c>
      <c r="H141" s="11">
        <v>1</v>
      </c>
      <c r="I141" s="11"/>
      <c r="J141" s="11"/>
    </row>
    <row r="142" spans="1:10" hidden="1" x14ac:dyDescent="0.2">
      <c r="A142" s="11" t="s">
        <v>117</v>
      </c>
      <c r="B142" s="11" t="s">
        <v>453</v>
      </c>
      <c r="C142" s="11" t="s">
        <v>85</v>
      </c>
      <c r="D142" s="6">
        <v>1</v>
      </c>
      <c r="E142" s="11" t="s">
        <v>454</v>
      </c>
      <c r="F142" s="11" t="s">
        <v>901</v>
      </c>
      <c r="G142" s="11" t="s">
        <v>900</v>
      </c>
      <c r="H142" s="11">
        <v>1</v>
      </c>
      <c r="I142" s="11"/>
      <c r="J142" s="11"/>
    </row>
    <row r="143" spans="1:10" hidden="1" x14ac:dyDescent="0.2">
      <c r="A143" s="11" t="s">
        <v>117</v>
      </c>
      <c r="B143" s="11" t="s">
        <v>453</v>
      </c>
      <c r="C143" s="11" t="s">
        <v>368</v>
      </c>
      <c r="D143" s="6">
        <v>2</v>
      </c>
      <c r="E143" s="11" t="s">
        <v>454</v>
      </c>
      <c r="F143" s="11" t="s">
        <v>901</v>
      </c>
      <c r="G143" s="11" t="s">
        <v>900</v>
      </c>
      <c r="H143" s="11">
        <v>1</v>
      </c>
      <c r="I143" s="11"/>
      <c r="J143" s="11"/>
    </row>
    <row r="144" spans="1:10" hidden="1" x14ac:dyDescent="0.2">
      <c r="A144" s="11" t="s">
        <v>117</v>
      </c>
      <c r="B144" s="11" t="s">
        <v>453</v>
      </c>
      <c r="C144" s="11" t="s">
        <v>370</v>
      </c>
      <c r="D144" s="6">
        <v>50</v>
      </c>
      <c r="E144" s="11" t="s">
        <v>454</v>
      </c>
      <c r="F144" s="11" t="s">
        <v>901</v>
      </c>
      <c r="G144" s="11" t="s">
        <v>900</v>
      </c>
      <c r="H144" s="11">
        <v>1</v>
      </c>
      <c r="I144" s="11"/>
      <c r="J144" s="11"/>
    </row>
    <row r="145" spans="1:10" hidden="1" x14ac:dyDescent="0.2">
      <c r="A145" s="11" t="s">
        <v>117</v>
      </c>
      <c r="B145" s="11" t="s">
        <v>455</v>
      </c>
      <c r="C145" s="11" t="s">
        <v>59</v>
      </c>
      <c r="D145" s="6">
        <v>1</v>
      </c>
      <c r="E145" s="11" t="s">
        <v>456</v>
      </c>
      <c r="F145" s="11" t="s">
        <v>901</v>
      </c>
      <c r="G145" s="11" t="s">
        <v>900</v>
      </c>
      <c r="H145" s="11">
        <v>1</v>
      </c>
      <c r="I145" s="11"/>
      <c r="J145" s="11"/>
    </row>
    <row r="146" spans="1:10" hidden="1" x14ac:dyDescent="0.2">
      <c r="A146" s="11" t="s">
        <v>117</v>
      </c>
      <c r="B146" s="11" t="s">
        <v>455</v>
      </c>
      <c r="C146" s="11" t="s">
        <v>97</v>
      </c>
      <c r="D146" s="6">
        <v>3</v>
      </c>
      <c r="E146" s="11" t="s">
        <v>456</v>
      </c>
      <c r="F146" s="11" t="s">
        <v>901</v>
      </c>
      <c r="G146" s="11" t="s">
        <v>900</v>
      </c>
      <c r="H146" s="11">
        <v>1</v>
      </c>
      <c r="I146" s="11"/>
      <c r="J146" s="11"/>
    </row>
    <row r="147" spans="1:10" hidden="1" x14ac:dyDescent="0.2">
      <c r="A147" s="11" t="s">
        <v>117</v>
      </c>
      <c r="B147" s="11" t="s">
        <v>455</v>
      </c>
      <c r="C147" s="11" t="s">
        <v>78</v>
      </c>
      <c r="D147" s="6">
        <v>1</v>
      </c>
      <c r="E147" s="11" t="s">
        <v>456</v>
      </c>
      <c r="F147" s="11" t="s">
        <v>901</v>
      </c>
      <c r="G147" s="11" t="s">
        <v>900</v>
      </c>
      <c r="H147" s="11">
        <v>1</v>
      </c>
      <c r="I147" s="11"/>
      <c r="J147" s="11"/>
    </row>
    <row r="148" spans="1:10" hidden="1" x14ac:dyDescent="0.2">
      <c r="A148" s="11" t="s">
        <v>117</v>
      </c>
      <c r="B148" s="11" t="s">
        <v>455</v>
      </c>
      <c r="C148" s="11" t="s">
        <v>76</v>
      </c>
      <c r="D148" s="6">
        <v>1</v>
      </c>
      <c r="E148" s="11" t="s">
        <v>456</v>
      </c>
      <c r="F148" s="11" t="s">
        <v>901</v>
      </c>
      <c r="G148" s="11" t="s">
        <v>900</v>
      </c>
      <c r="H148" s="11">
        <v>1</v>
      </c>
      <c r="I148" s="11"/>
      <c r="J148" s="11"/>
    </row>
    <row r="149" spans="1:10" hidden="1" x14ac:dyDescent="0.2">
      <c r="A149" s="11" t="s">
        <v>117</v>
      </c>
      <c r="B149" s="11" t="s">
        <v>455</v>
      </c>
      <c r="C149" s="11" t="s">
        <v>70</v>
      </c>
      <c r="D149" s="6">
        <v>1</v>
      </c>
      <c r="E149" s="11" t="s">
        <v>456</v>
      </c>
      <c r="F149" s="11" t="s">
        <v>901</v>
      </c>
      <c r="G149" s="11" t="s">
        <v>900</v>
      </c>
      <c r="H149" s="11">
        <v>1</v>
      </c>
      <c r="I149" s="11"/>
      <c r="J149" s="11"/>
    </row>
    <row r="150" spans="1:10" hidden="1" x14ac:dyDescent="0.2">
      <c r="A150" s="11" t="s">
        <v>117</v>
      </c>
      <c r="B150" s="11" t="s">
        <v>455</v>
      </c>
      <c r="C150" s="11" t="s">
        <v>98</v>
      </c>
      <c r="D150" s="6">
        <v>1</v>
      </c>
      <c r="E150" s="11" t="s">
        <v>456</v>
      </c>
      <c r="F150" s="11" t="s">
        <v>901</v>
      </c>
      <c r="G150" s="11" t="s">
        <v>900</v>
      </c>
      <c r="H150" s="11">
        <v>1</v>
      </c>
      <c r="I150" s="11"/>
      <c r="J150" s="11"/>
    </row>
    <row r="151" spans="1:10" hidden="1" x14ac:dyDescent="0.2">
      <c r="A151" s="11" t="s">
        <v>117</v>
      </c>
      <c r="B151" s="11" t="s">
        <v>455</v>
      </c>
      <c r="C151" s="11" t="s">
        <v>476</v>
      </c>
      <c r="D151" s="6">
        <v>1</v>
      </c>
      <c r="E151" s="11" t="s">
        <v>456</v>
      </c>
      <c r="F151" s="11" t="s">
        <v>901</v>
      </c>
      <c r="G151" s="11" t="s">
        <v>900</v>
      </c>
      <c r="H151" s="11">
        <v>1</v>
      </c>
      <c r="I151" s="11"/>
      <c r="J151" s="11"/>
    </row>
    <row r="152" spans="1:10" hidden="1" x14ac:dyDescent="0.2">
      <c r="A152" s="11" t="s">
        <v>117</v>
      </c>
      <c r="B152" s="11" t="s">
        <v>455</v>
      </c>
      <c r="C152" s="11" t="s">
        <v>99</v>
      </c>
      <c r="D152" s="6">
        <v>1</v>
      </c>
      <c r="E152" s="11" t="s">
        <v>456</v>
      </c>
      <c r="F152" s="11" t="s">
        <v>901</v>
      </c>
      <c r="G152" s="11" t="s">
        <v>900</v>
      </c>
      <c r="H152" s="11">
        <v>1</v>
      </c>
      <c r="I152" s="11"/>
      <c r="J152" s="11"/>
    </row>
    <row r="153" spans="1:10" hidden="1" x14ac:dyDescent="0.2">
      <c r="A153" s="11" t="s">
        <v>117</v>
      </c>
      <c r="B153" s="11" t="s">
        <v>455</v>
      </c>
      <c r="C153" s="11" t="s">
        <v>100</v>
      </c>
      <c r="D153" s="6">
        <v>1</v>
      </c>
      <c r="E153" s="11" t="s">
        <v>456</v>
      </c>
      <c r="F153" s="11" t="s">
        <v>901</v>
      </c>
      <c r="G153" s="11" t="s">
        <v>900</v>
      </c>
      <c r="H153" s="11">
        <v>1</v>
      </c>
      <c r="I153" s="11"/>
      <c r="J153" s="11"/>
    </row>
    <row r="154" spans="1:10" hidden="1" x14ac:dyDescent="0.2">
      <c r="A154" s="11" t="s">
        <v>117</v>
      </c>
      <c r="B154" s="11" t="s">
        <v>455</v>
      </c>
      <c r="C154" s="11" t="s">
        <v>368</v>
      </c>
      <c r="D154" s="6">
        <v>2</v>
      </c>
      <c r="E154" s="11" t="s">
        <v>456</v>
      </c>
      <c r="F154" s="11" t="s">
        <v>901</v>
      </c>
      <c r="G154" s="11" t="s">
        <v>900</v>
      </c>
      <c r="H154" s="11">
        <v>1</v>
      </c>
      <c r="I154" s="11"/>
      <c r="J154" s="11"/>
    </row>
    <row r="155" spans="1:10" hidden="1" x14ac:dyDescent="0.2">
      <c r="A155" s="11" t="s">
        <v>117</v>
      </c>
      <c r="B155" s="11" t="s">
        <v>455</v>
      </c>
      <c r="C155" s="11" t="s">
        <v>370</v>
      </c>
      <c r="D155" s="6">
        <v>50</v>
      </c>
      <c r="E155" s="11" t="s">
        <v>456</v>
      </c>
      <c r="F155" s="11" t="s">
        <v>901</v>
      </c>
      <c r="G155" s="11" t="s">
        <v>900</v>
      </c>
      <c r="H155" s="11">
        <v>1</v>
      </c>
      <c r="I155" s="11"/>
      <c r="J155" s="11"/>
    </row>
    <row r="156" spans="1:10" hidden="1" x14ac:dyDescent="0.2">
      <c r="A156" s="11" t="s">
        <v>117</v>
      </c>
      <c r="B156" s="11" t="s">
        <v>457</v>
      </c>
      <c r="C156" s="11" t="s">
        <v>60</v>
      </c>
      <c r="D156" s="6">
        <v>1</v>
      </c>
      <c r="E156" s="11" t="s">
        <v>458</v>
      </c>
      <c r="F156" s="11" t="s">
        <v>901</v>
      </c>
      <c r="G156" s="11" t="s">
        <v>900</v>
      </c>
      <c r="H156" s="11">
        <v>1</v>
      </c>
      <c r="I156" s="11"/>
      <c r="J156" s="11"/>
    </row>
    <row r="157" spans="1:10" hidden="1" x14ac:dyDescent="0.2">
      <c r="A157" s="11" t="s">
        <v>117</v>
      </c>
      <c r="B157" s="11" t="s">
        <v>457</v>
      </c>
      <c r="C157" s="11" t="s">
        <v>145</v>
      </c>
      <c r="D157" s="6">
        <v>3</v>
      </c>
      <c r="E157" s="11" t="s">
        <v>458</v>
      </c>
      <c r="F157" s="11" t="s">
        <v>901</v>
      </c>
      <c r="G157" s="11" t="s">
        <v>900</v>
      </c>
      <c r="H157" s="11">
        <v>1</v>
      </c>
      <c r="I157" s="11"/>
      <c r="J157" s="11"/>
    </row>
    <row r="158" spans="1:10" hidden="1" x14ac:dyDescent="0.2">
      <c r="A158" s="11" t="s">
        <v>117</v>
      </c>
      <c r="B158" s="11" t="s">
        <v>457</v>
      </c>
      <c r="C158" s="11" t="s">
        <v>78</v>
      </c>
      <c r="D158" s="6">
        <v>1</v>
      </c>
      <c r="E158" s="11" t="s">
        <v>458</v>
      </c>
      <c r="F158" s="11" t="s">
        <v>901</v>
      </c>
      <c r="G158" s="11" t="s">
        <v>900</v>
      </c>
      <c r="H158" s="11">
        <v>1</v>
      </c>
      <c r="I158" s="11"/>
      <c r="J158" s="11"/>
    </row>
    <row r="159" spans="1:10" hidden="1" x14ac:dyDescent="0.2">
      <c r="A159" s="11" t="s">
        <v>117</v>
      </c>
      <c r="B159" s="11" t="s">
        <v>457</v>
      </c>
      <c r="C159" s="11" t="s">
        <v>76</v>
      </c>
      <c r="D159" s="6">
        <v>1</v>
      </c>
      <c r="E159" s="11" t="s">
        <v>458</v>
      </c>
      <c r="F159" s="11" t="s">
        <v>901</v>
      </c>
      <c r="G159" s="11" t="s">
        <v>900</v>
      </c>
      <c r="H159" s="11">
        <v>1</v>
      </c>
      <c r="I159" s="11"/>
      <c r="J159" s="11"/>
    </row>
    <row r="160" spans="1:10" hidden="1" x14ac:dyDescent="0.2">
      <c r="A160" s="11" t="s">
        <v>117</v>
      </c>
      <c r="B160" s="11" t="s">
        <v>457</v>
      </c>
      <c r="C160" s="11" t="s">
        <v>70</v>
      </c>
      <c r="D160" s="6">
        <v>1</v>
      </c>
      <c r="E160" s="11" t="s">
        <v>458</v>
      </c>
      <c r="F160" s="11" t="s">
        <v>901</v>
      </c>
      <c r="G160" s="11" t="s">
        <v>900</v>
      </c>
      <c r="H160" s="11">
        <v>1</v>
      </c>
      <c r="I160" s="11"/>
      <c r="J160" s="11"/>
    </row>
    <row r="161" spans="1:10" hidden="1" x14ac:dyDescent="0.2">
      <c r="A161" s="11" t="s">
        <v>117</v>
      </c>
      <c r="B161" s="11" t="s">
        <v>457</v>
      </c>
      <c r="C161" s="11" t="s">
        <v>98</v>
      </c>
      <c r="D161" s="6">
        <v>1</v>
      </c>
      <c r="E161" s="11" t="s">
        <v>458</v>
      </c>
      <c r="F161" s="11" t="s">
        <v>901</v>
      </c>
      <c r="G161" s="11" t="s">
        <v>900</v>
      </c>
      <c r="H161" s="11">
        <v>1</v>
      </c>
      <c r="I161" s="11"/>
      <c r="J161" s="11"/>
    </row>
    <row r="162" spans="1:10" hidden="1" x14ac:dyDescent="0.2">
      <c r="A162" s="11" t="s">
        <v>117</v>
      </c>
      <c r="B162" s="11" t="s">
        <v>457</v>
      </c>
      <c r="C162" s="11" t="s">
        <v>476</v>
      </c>
      <c r="D162" s="6">
        <v>1</v>
      </c>
      <c r="E162" s="11" t="s">
        <v>458</v>
      </c>
      <c r="F162" s="11" t="s">
        <v>901</v>
      </c>
      <c r="G162" s="11" t="s">
        <v>900</v>
      </c>
      <c r="H162" s="11">
        <v>1</v>
      </c>
      <c r="I162" s="11"/>
      <c r="J162" s="11"/>
    </row>
    <row r="163" spans="1:10" hidden="1" x14ac:dyDescent="0.2">
      <c r="A163" s="11" t="s">
        <v>117</v>
      </c>
      <c r="B163" s="11" t="s">
        <v>457</v>
      </c>
      <c r="C163" s="11" t="s">
        <v>146</v>
      </c>
      <c r="D163" s="6">
        <v>1</v>
      </c>
      <c r="E163" s="11" t="s">
        <v>458</v>
      </c>
      <c r="F163" s="11" t="s">
        <v>901</v>
      </c>
      <c r="G163" s="11" t="s">
        <v>900</v>
      </c>
      <c r="H163" s="11">
        <v>1</v>
      </c>
      <c r="I163" s="11"/>
      <c r="J163" s="11"/>
    </row>
    <row r="164" spans="1:10" hidden="1" x14ac:dyDescent="0.2">
      <c r="A164" s="11" t="s">
        <v>117</v>
      </c>
      <c r="B164" s="11" t="s">
        <v>457</v>
      </c>
      <c r="C164" s="11" t="s">
        <v>148</v>
      </c>
      <c r="D164" s="6">
        <v>1</v>
      </c>
      <c r="E164" s="11" t="s">
        <v>458</v>
      </c>
      <c r="F164" s="11" t="s">
        <v>901</v>
      </c>
      <c r="G164" s="11" t="s">
        <v>900</v>
      </c>
      <c r="H164" s="11">
        <v>1</v>
      </c>
      <c r="I164" s="11"/>
      <c r="J164" s="11"/>
    </row>
    <row r="165" spans="1:10" hidden="1" x14ac:dyDescent="0.2">
      <c r="A165" s="11" t="s">
        <v>117</v>
      </c>
      <c r="B165" s="11" t="s">
        <v>457</v>
      </c>
      <c r="C165" s="11" t="s">
        <v>368</v>
      </c>
      <c r="D165" s="6">
        <v>2</v>
      </c>
      <c r="E165" s="11" t="s">
        <v>458</v>
      </c>
      <c r="F165" s="11" t="s">
        <v>901</v>
      </c>
      <c r="G165" s="11" t="s">
        <v>900</v>
      </c>
      <c r="H165" s="11">
        <v>1</v>
      </c>
      <c r="I165" s="11"/>
      <c r="J165" s="11"/>
    </row>
    <row r="166" spans="1:10" hidden="1" x14ac:dyDescent="0.2">
      <c r="A166" s="11" t="s">
        <v>117</v>
      </c>
      <c r="B166" s="11" t="s">
        <v>457</v>
      </c>
      <c r="C166" s="11" t="s">
        <v>370</v>
      </c>
      <c r="D166" s="6">
        <v>50</v>
      </c>
      <c r="E166" s="11" t="s">
        <v>458</v>
      </c>
      <c r="F166" s="11" t="s">
        <v>901</v>
      </c>
      <c r="G166" s="11" t="s">
        <v>900</v>
      </c>
      <c r="H166" s="11">
        <v>1</v>
      </c>
      <c r="I166" s="11"/>
      <c r="J166" s="11"/>
    </row>
    <row r="167" spans="1:10" hidden="1" x14ac:dyDescent="0.2">
      <c r="A167" s="11" t="s">
        <v>117</v>
      </c>
      <c r="B167" s="11" t="s">
        <v>459</v>
      </c>
      <c r="C167" s="11" t="s">
        <v>61</v>
      </c>
      <c r="D167" s="6">
        <v>1</v>
      </c>
      <c r="E167" s="11" t="s">
        <v>460</v>
      </c>
      <c r="F167" s="11" t="s">
        <v>901</v>
      </c>
      <c r="G167" s="11" t="s">
        <v>900</v>
      </c>
      <c r="H167" s="11">
        <v>1</v>
      </c>
      <c r="I167" s="11"/>
      <c r="J167" s="11"/>
    </row>
    <row r="168" spans="1:10" hidden="1" x14ac:dyDescent="0.2">
      <c r="A168" s="11" t="s">
        <v>117</v>
      </c>
      <c r="B168" s="11" t="s">
        <v>459</v>
      </c>
      <c r="C168" s="11" t="s">
        <v>149</v>
      </c>
      <c r="D168" s="6">
        <v>3</v>
      </c>
      <c r="E168" s="11" t="s">
        <v>460</v>
      </c>
      <c r="F168" s="11" t="s">
        <v>901</v>
      </c>
      <c r="G168" s="11" t="s">
        <v>900</v>
      </c>
      <c r="H168" s="11">
        <v>1</v>
      </c>
      <c r="I168" s="11"/>
      <c r="J168" s="11"/>
    </row>
    <row r="169" spans="1:10" hidden="1" x14ac:dyDescent="0.2">
      <c r="A169" s="11" t="s">
        <v>117</v>
      </c>
      <c r="B169" s="11" t="s">
        <v>459</v>
      </c>
      <c r="C169" s="11" t="s">
        <v>78</v>
      </c>
      <c r="D169" s="6">
        <v>1</v>
      </c>
      <c r="E169" s="11" t="s">
        <v>460</v>
      </c>
      <c r="F169" s="11" t="s">
        <v>901</v>
      </c>
      <c r="G169" s="11" t="s">
        <v>900</v>
      </c>
      <c r="H169" s="11">
        <v>1</v>
      </c>
      <c r="I169" s="11"/>
      <c r="J169" s="11"/>
    </row>
    <row r="170" spans="1:10" hidden="1" x14ac:dyDescent="0.2">
      <c r="A170" s="11" t="s">
        <v>117</v>
      </c>
      <c r="B170" s="11" t="s">
        <v>459</v>
      </c>
      <c r="C170" s="11" t="s">
        <v>76</v>
      </c>
      <c r="D170" s="6">
        <v>1</v>
      </c>
      <c r="E170" s="11" t="s">
        <v>460</v>
      </c>
      <c r="F170" s="11" t="s">
        <v>901</v>
      </c>
      <c r="G170" s="11" t="s">
        <v>900</v>
      </c>
      <c r="H170" s="11">
        <v>1</v>
      </c>
      <c r="I170" s="11"/>
      <c r="J170" s="11"/>
    </row>
    <row r="171" spans="1:10" hidden="1" x14ac:dyDescent="0.2">
      <c r="A171" s="11" t="s">
        <v>117</v>
      </c>
      <c r="B171" s="11" t="s">
        <v>459</v>
      </c>
      <c r="C171" s="11" t="s">
        <v>70</v>
      </c>
      <c r="D171" s="6">
        <v>1</v>
      </c>
      <c r="E171" s="11" t="s">
        <v>460</v>
      </c>
      <c r="F171" s="11" t="s">
        <v>901</v>
      </c>
      <c r="G171" s="11" t="s">
        <v>900</v>
      </c>
      <c r="H171" s="11">
        <v>1</v>
      </c>
      <c r="I171" s="11"/>
      <c r="J171" s="11"/>
    </row>
    <row r="172" spans="1:10" hidden="1" x14ac:dyDescent="0.2">
      <c r="A172" s="11" t="s">
        <v>117</v>
      </c>
      <c r="B172" s="11" t="s">
        <v>459</v>
      </c>
      <c r="C172" s="11" t="s">
        <v>98</v>
      </c>
      <c r="D172" s="6">
        <v>1</v>
      </c>
      <c r="E172" s="11" t="s">
        <v>460</v>
      </c>
      <c r="F172" s="11" t="s">
        <v>901</v>
      </c>
      <c r="G172" s="11" t="s">
        <v>900</v>
      </c>
      <c r="H172" s="11">
        <v>1</v>
      </c>
      <c r="I172" s="11"/>
      <c r="J172" s="11"/>
    </row>
    <row r="173" spans="1:10" hidden="1" x14ac:dyDescent="0.2">
      <c r="A173" s="11" t="s">
        <v>117</v>
      </c>
      <c r="B173" s="11" t="s">
        <v>459</v>
      </c>
      <c r="C173" s="11" t="s">
        <v>476</v>
      </c>
      <c r="D173" s="6">
        <v>1</v>
      </c>
      <c r="E173" s="11" t="s">
        <v>460</v>
      </c>
      <c r="F173" s="11" t="s">
        <v>901</v>
      </c>
      <c r="G173" s="11" t="s">
        <v>900</v>
      </c>
      <c r="H173" s="11">
        <v>1</v>
      </c>
      <c r="I173" s="11"/>
      <c r="J173" s="11"/>
    </row>
    <row r="174" spans="1:10" hidden="1" x14ac:dyDescent="0.2">
      <c r="A174" s="11" t="s">
        <v>117</v>
      </c>
      <c r="B174" s="11" t="s">
        <v>459</v>
      </c>
      <c r="C174" s="11" t="s">
        <v>151</v>
      </c>
      <c r="D174" s="6">
        <v>1</v>
      </c>
      <c r="E174" s="11" t="s">
        <v>460</v>
      </c>
      <c r="F174" s="11" t="s">
        <v>901</v>
      </c>
      <c r="G174" s="11" t="s">
        <v>900</v>
      </c>
      <c r="H174" s="11">
        <v>1</v>
      </c>
      <c r="I174" s="11"/>
      <c r="J174" s="11"/>
    </row>
    <row r="175" spans="1:10" hidden="1" x14ac:dyDescent="0.2">
      <c r="A175" s="11" t="s">
        <v>117</v>
      </c>
      <c r="B175" s="11" t="s">
        <v>459</v>
      </c>
      <c r="C175" s="11" t="s">
        <v>153</v>
      </c>
      <c r="D175" s="6">
        <v>1</v>
      </c>
      <c r="E175" s="11" t="s">
        <v>460</v>
      </c>
      <c r="F175" s="11" t="s">
        <v>901</v>
      </c>
      <c r="G175" s="11" t="s">
        <v>900</v>
      </c>
      <c r="H175" s="11">
        <v>1</v>
      </c>
      <c r="I175" s="11"/>
      <c r="J175" s="11"/>
    </row>
    <row r="176" spans="1:10" hidden="1" x14ac:dyDescent="0.2">
      <c r="A176" s="11" t="s">
        <v>117</v>
      </c>
      <c r="B176" s="11" t="s">
        <v>459</v>
      </c>
      <c r="C176" s="11" t="s">
        <v>368</v>
      </c>
      <c r="D176" s="6">
        <v>2</v>
      </c>
      <c r="E176" s="11" t="s">
        <v>460</v>
      </c>
      <c r="F176" s="11" t="s">
        <v>901</v>
      </c>
      <c r="G176" s="11" t="s">
        <v>900</v>
      </c>
      <c r="H176" s="11">
        <v>1</v>
      </c>
      <c r="I176" s="11"/>
      <c r="J176" s="11"/>
    </row>
    <row r="177" spans="1:10" hidden="1" x14ac:dyDescent="0.2">
      <c r="A177" s="11" t="s">
        <v>117</v>
      </c>
      <c r="B177" s="11" t="s">
        <v>459</v>
      </c>
      <c r="C177" s="11" t="s">
        <v>370</v>
      </c>
      <c r="D177" s="6">
        <v>50</v>
      </c>
      <c r="E177" s="11" t="s">
        <v>460</v>
      </c>
      <c r="F177" s="11" t="s">
        <v>901</v>
      </c>
      <c r="G177" s="11" t="s">
        <v>900</v>
      </c>
      <c r="H177" s="11">
        <v>1</v>
      </c>
      <c r="I177" s="11"/>
      <c r="J177" s="11"/>
    </row>
    <row r="178" spans="1:10" hidden="1" x14ac:dyDescent="0.2">
      <c r="A178" s="11" t="s">
        <v>223</v>
      </c>
      <c r="B178" s="11" t="s">
        <v>382</v>
      </c>
      <c r="C178" s="11" t="s">
        <v>202</v>
      </c>
      <c r="D178" s="6">
        <v>1</v>
      </c>
      <c r="E178" s="11" t="s">
        <v>902</v>
      </c>
      <c r="F178" s="11" t="s">
        <v>901</v>
      </c>
      <c r="G178" s="11" t="s">
        <v>900</v>
      </c>
      <c r="H178" s="11">
        <v>1</v>
      </c>
      <c r="I178" s="11"/>
      <c r="J178" s="11"/>
    </row>
    <row r="179" spans="1:10" hidden="1" x14ac:dyDescent="0.2">
      <c r="A179" s="11" t="s">
        <v>223</v>
      </c>
      <c r="B179" s="11" t="s">
        <v>382</v>
      </c>
      <c r="C179" s="11" t="s">
        <v>220</v>
      </c>
      <c r="D179" s="6">
        <v>1</v>
      </c>
      <c r="E179" s="11" t="s">
        <v>902</v>
      </c>
      <c r="F179" s="11" t="s">
        <v>901</v>
      </c>
      <c r="G179" s="11" t="s">
        <v>900</v>
      </c>
      <c r="H179" s="11">
        <v>1</v>
      </c>
      <c r="I179" s="11"/>
      <c r="J179" s="11"/>
    </row>
    <row r="180" spans="1:10" hidden="1" x14ac:dyDescent="0.2">
      <c r="A180" s="11" t="s">
        <v>223</v>
      </c>
      <c r="B180" s="11" t="s">
        <v>382</v>
      </c>
      <c r="C180" s="11" t="s">
        <v>213</v>
      </c>
      <c r="D180" s="6">
        <v>1</v>
      </c>
      <c r="E180" s="11" t="s">
        <v>902</v>
      </c>
      <c r="F180" s="11" t="s">
        <v>901</v>
      </c>
      <c r="G180" s="11" t="s">
        <v>900</v>
      </c>
      <c r="H180" s="11">
        <v>1</v>
      </c>
      <c r="I180" s="11"/>
      <c r="J180" s="11"/>
    </row>
    <row r="181" spans="1:10" hidden="1" x14ac:dyDescent="0.2">
      <c r="A181" s="11" t="s">
        <v>223</v>
      </c>
      <c r="B181" s="11" t="s">
        <v>382</v>
      </c>
      <c r="C181" s="11" t="s">
        <v>222</v>
      </c>
      <c r="D181" s="6">
        <v>1</v>
      </c>
      <c r="E181" s="11" t="s">
        <v>902</v>
      </c>
      <c r="F181" s="11" t="s">
        <v>901</v>
      </c>
      <c r="G181" s="11" t="s">
        <v>900</v>
      </c>
      <c r="H181" s="11">
        <v>1</v>
      </c>
      <c r="I181" s="11"/>
      <c r="J181" s="11"/>
    </row>
    <row r="182" spans="1:10" hidden="1" x14ac:dyDescent="0.2">
      <c r="A182" s="11" t="s">
        <v>223</v>
      </c>
      <c r="B182" s="11" t="s">
        <v>382</v>
      </c>
      <c r="C182" s="11" t="s">
        <v>217</v>
      </c>
      <c r="D182" s="6">
        <v>1</v>
      </c>
      <c r="E182" s="11" t="s">
        <v>902</v>
      </c>
      <c r="F182" s="11" t="s">
        <v>901</v>
      </c>
      <c r="G182" s="11" t="s">
        <v>900</v>
      </c>
      <c r="H182" s="11">
        <v>1</v>
      </c>
      <c r="I182" s="11"/>
      <c r="J182" s="11"/>
    </row>
    <row r="183" spans="1:10" hidden="1" x14ac:dyDescent="0.2">
      <c r="A183" s="11" t="s">
        <v>223</v>
      </c>
      <c r="B183" s="11" t="s">
        <v>382</v>
      </c>
      <c r="C183" s="11" t="s">
        <v>218</v>
      </c>
      <c r="D183" s="6">
        <v>1</v>
      </c>
      <c r="E183" s="11" t="s">
        <v>902</v>
      </c>
      <c r="F183" s="11" t="s">
        <v>901</v>
      </c>
      <c r="G183" s="11" t="s">
        <v>900</v>
      </c>
      <c r="H183" s="11">
        <v>1</v>
      </c>
      <c r="I183" s="11"/>
      <c r="J183" s="11"/>
    </row>
    <row r="184" spans="1:10" hidden="1" x14ac:dyDescent="0.2">
      <c r="A184" s="11" t="s">
        <v>223</v>
      </c>
      <c r="B184" s="11" t="s">
        <v>382</v>
      </c>
      <c r="C184" s="11" t="s">
        <v>368</v>
      </c>
      <c r="D184" s="6">
        <v>2</v>
      </c>
      <c r="E184" s="11" t="s">
        <v>902</v>
      </c>
      <c r="F184" s="11" t="s">
        <v>901</v>
      </c>
      <c r="G184" s="11" t="s">
        <v>900</v>
      </c>
      <c r="H184" s="11">
        <v>1</v>
      </c>
      <c r="I184" s="11"/>
      <c r="J184" s="11"/>
    </row>
    <row r="185" spans="1:10" hidden="1" x14ac:dyDescent="0.2">
      <c r="A185" s="11" t="s">
        <v>223</v>
      </c>
      <c r="B185" s="11" t="s">
        <v>382</v>
      </c>
      <c r="C185" s="11" t="s">
        <v>370</v>
      </c>
      <c r="D185" s="6">
        <v>50</v>
      </c>
      <c r="E185" s="11" t="s">
        <v>902</v>
      </c>
      <c r="F185" s="11" t="s">
        <v>901</v>
      </c>
      <c r="G185" s="11" t="s">
        <v>900</v>
      </c>
      <c r="H185" s="11">
        <v>1</v>
      </c>
      <c r="I185" s="11"/>
      <c r="J185" s="11"/>
    </row>
    <row r="186" spans="1:10" hidden="1" x14ac:dyDescent="0.2">
      <c r="A186" s="11" t="s">
        <v>223</v>
      </c>
      <c r="B186" s="11" t="s">
        <v>383</v>
      </c>
      <c r="C186" s="11" t="s">
        <v>202</v>
      </c>
      <c r="D186" s="6">
        <v>1</v>
      </c>
      <c r="E186" s="11" t="s">
        <v>903</v>
      </c>
      <c r="F186" s="11" t="s">
        <v>901</v>
      </c>
      <c r="G186" s="11" t="s">
        <v>900</v>
      </c>
      <c r="H186" s="11">
        <v>1</v>
      </c>
      <c r="I186" s="11"/>
      <c r="J186" s="11"/>
    </row>
    <row r="187" spans="1:10" hidden="1" x14ac:dyDescent="0.2">
      <c r="A187" s="11" t="s">
        <v>223</v>
      </c>
      <c r="B187" s="11" t="s">
        <v>383</v>
      </c>
      <c r="C187" s="11" t="s">
        <v>220</v>
      </c>
      <c r="D187" s="6">
        <v>1</v>
      </c>
      <c r="E187" s="11" t="s">
        <v>903</v>
      </c>
      <c r="F187" s="11" t="s">
        <v>901</v>
      </c>
      <c r="G187" s="11" t="s">
        <v>900</v>
      </c>
      <c r="H187" s="11">
        <v>1</v>
      </c>
      <c r="I187" s="11"/>
      <c r="J187" s="11"/>
    </row>
    <row r="188" spans="1:10" hidden="1" x14ac:dyDescent="0.2">
      <c r="A188" s="11" t="s">
        <v>223</v>
      </c>
      <c r="B188" s="11" t="s">
        <v>383</v>
      </c>
      <c r="C188" s="11" t="s">
        <v>213</v>
      </c>
      <c r="D188" s="6">
        <v>1</v>
      </c>
      <c r="E188" s="11" t="s">
        <v>903</v>
      </c>
      <c r="F188" s="11" t="s">
        <v>901</v>
      </c>
      <c r="G188" s="11" t="s">
        <v>900</v>
      </c>
      <c r="H188" s="11">
        <v>1</v>
      </c>
      <c r="I188" s="11"/>
      <c r="J188" s="11"/>
    </row>
    <row r="189" spans="1:10" hidden="1" x14ac:dyDescent="0.2">
      <c r="A189" s="11" t="s">
        <v>223</v>
      </c>
      <c r="B189" s="11" t="s">
        <v>383</v>
      </c>
      <c r="C189" s="11" t="s">
        <v>222</v>
      </c>
      <c r="D189" s="6">
        <v>1</v>
      </c>
      <c r="E189" s="11" t="s">
        <v>903</v>
      </c>
      <c r="F189" s="11" t="s">
        <v>901</v>
      </c>
      <c r="G189" s="11" t="s">
        <v>900</v>
      </c>
      <c r="H189" s="11">
        <v>1</v>
      </c>
      <c r="I189" s="11"/>
      <c r="J189" s="11"/>
    </row>
    <row r="190" spans="1:10" hidden="1" x14ac:dyDescent="0.2">
      <c r="A190" s="11" t="s">
        <v>223</v>
      </c>
      <c r="B190" s="11" t="s">
        <v>383</v>
      </c>
      <c r="C190" s="11" t="s">
        <v>217</v>
      </c>
      <c r="D190" s="6">
        <v>1</v>
      </c>
      <c r="E190" s="11" t="s">
        <v>903</v>
      </c>
      <c r="F190" s="11" t="s">
        <v>901</v>
      </c>
      <c r="G190" s="11" t="s">
        <v>900</v>
      </c>
      <c r="H190" s="11">
        <v>1</v>
      </c>
      <c r="I190" s="11"/>
      <c r="J190" s="11"/>
    </row>
    <row r="191" spans="1:10" hidden="1" x14ac:dyDescent="0.2">
      <c r="A191" s="11" t="s">
        <v>223</v>
      </c>
      <c r="B191" s="11" t="s">
        <v>383</v>
      </c>
      <c r="C191" s="11" t="s">
        <v>218</v>
      </c>
      <c r="D191" s="6">
        <v>1</v>
      </c>
      <c r="E191" s="11" t="s">
        <v>903</v>
      </c>
      <c r="F191" s="11" t="s">
        <v>901</v>
      </c>
      <c r="G191" s="11" t="s">
        <v>900</v>
      </c>
      <c r="H191" s="11">
        <v>1</v>
      </c>
      <c r="I191" s="11"/>
      <c r="J191" s="11"/>
    </row>
    <row r="192" spans="1:10" hidden="1" x14ac:dyDescent="0.2">
      <c r="A192" s="11" t="s">
        <v>223</v>
      </c>
      <c r="B192" s="11" t="s">
        <v>383</v>
      </c>
      <c r="C192" s="11" t="s">
        <v>368</v>
      </c>
      <c r="D192" s="6">
        <v>2</v>
      </c>
      <c r="E192" s="11" t="s">
        <v>903</v>
      </c>
      <c r="F192" s="11" t="s">
        <v>901</v>
      </c>
      <c r="G192" s="11" t="s">
        <v>900</v>
      </c>
      <c r="H192" s="11">
        <v>1</v>
      </c>
      <c r="I192" s="11"/>
      <c r="J192" s="11"/>
    </row>
    <row r="193" spans="1:10" hidden="1" x14ac:dyDescent="0.2">
      <c r="A193" s="11" t="s">
        <v>223</v>
      </c>
      <c r="B193" s="11" t="s">
        <v>383</v>
      </c>
      <c r="C193" s="11" t="s">
        <v>370</v>
      </c>
      <c r="D193" s="6">
        <v>50</v>
      </c>
      <c r="E193" s="11" t="s">
        <v>903</v>
      </c>
      <c r="F193" s="11" t="s">
        <v>901</v>
      </c>
      <c r="G193" s="11" t="s">
        <v>900</v>
      </c>
      <c r="H193" s="11">
        <v>1</v>
      </c>
      <c r="I193" s="11"/>
      <c r="J193" s="11"/>
    </row>
    <row r="194" spans="1:10" hidden="1" x14ac:dyDescent="0.2">
      <c r="A194" s="11" t="s">
        <v>223</v>
      </c>
      <c r="B194" s="11" t="s">
        <v>384</v>
      </c>
      <c r="C194" s="11" t="s">
        <v>203</v>
      </c>
      <c r="D194" s="6">
        <v>1</v>
      </c>
      <c r="E194" s="11" t="s">
        <v>904</v>
      </c>
      <c r="F194" s="11" t="s">
        <v>901</v>
      </c>
      <c r="G194" s="11" t="s">
        <v>900</v>
      </c>
      <c r="H194" s="11">
        <v>1</v>
      </c>
      <c r="I194" s="11"/>
      <c r="J194" s="11"/>
    </row>
    <row r="195" spans="1:10" hidden="1" x14ac:dyDescent="0.2">
      <c r="A195" s="11" t="s">
        <v>223</v>
      </c>
      <c r="B195" s="11" t="s">
        <v>384</v>
      </c>
      <c r="C195" s="11" t="s">
        <v>220</v>
      </c>
      <c r="D195" s="6">
        <v>1</v>
      </c>
      <c r="E195" s="11" t="s">
        <v>904</v>
      </c>
      <c r="F195" s="11" t="s">
        <v>901</v>
      </c>
      <c r="G195" s="11" t="s">
        <v>900</v>
      </c>
      <c r="H195" s="11">
        <v>1</v>
      </c>
      <c r="I195" s="11"/>
      <c r="J195" s="11"/>
    </row>
    <row r="196" spans="1:10" hidden="1" x14ac:dyDescent="0.2">
      <c r="A196" s="11" t="s">
        <v>223</v>
      </c>
      <c r="B196" s="11" t="s">
        <v>384</v>
      </c>
      <c r="C196" s="11" t="s">
        <v>213</v>
      </c>
      <c r="D196" s="6">
        <v>1</v>
      </c>
      <c r="E196" s="11" t="s">
        <v>904</v>
      </c>
      <c r="F196" s="11" t="s">
        <v>901</v>
      </c>
      <c r="G196" s="11" t="s">
        <v>900</v>
      </c>
      <c r="H196" s="11">
        <v>1</v>
      </c>
      <c r="I196" s="11"/>
      <c r="J196" s="11"/>
    </row>
    <row r="197" spans="1:10" hidden="1" x14ac:dyDescent="0.2">
      <c r="A197" s="11" t="s">
        <v>223</v>
      </c>
      <c r="B197" s="11" t="s">
        <v>384</v>
      </c>
      <c r="C197" s="11" t="s">
        <v>222</v>
      </c>
      <c r="D197" s="6">
        <v>1</v>
      </c>
      <c r="E197" s="11" t="s">
        <v>904</v>
      </c>
      <c r="F197" s="11" t="s">
        <v>901</v>
      </c>
      <c r="G197" s="11" t="s">
        <v>900</v>
      </c>
      <c r="H197" s="11">
        <v>1</v>
      </c>
      <c r="I197" s="11"/>
      <c r="J197" s="11"/>
    </row>
    <row r="198" spans="1:10" hidden="1" x14ac:dyDescent="0.2">
      <c r="A198" s="11" t="s">
        <v>223</v>
      </c>
      <c r="B198" s="11" t="s">
        <v>384</v>
      </c>
      <c r="C198" s="11" t="s">
        <v>217</v>
      </c>
      <c r="D198" s="6">
        <v>1</v>
      </c>
      <c r="E198" s="11" t="s">
        <v>904</v>
      </c>
      <c r="F198" s="11" t="s">
        <v>901</v>
      </c>
      <c r="G198" s="11" t="s">
        <v>900</v>
      </c>
      <c r="H198" s="11">
        <v>1</v>
      </c>
      <c r="I198" s="11"/>
      <c r="J198" s="11"/>
    </row>
    <row r="199" spans="1:10" hidden="1" x14ac:dyDescent="0.2">
      <c r="A199" s="11" t="s">
        <v>223</v>
      </c>
      <c r="B199" s="11" t="s">
        <v>384</v>
      </c>
      <c r="C199" s="11" t="s">
        <v>218</v>
      </c>
      <c r="D199" s="6">
        <v>1</v>
      </c>
      <c r="E199" s="11" t="s">
        <v>904</v>
      </c>
      <c r="F199" s="11" t="s">
        <v>901</v>
      </c>
      <c r="G199" s="11" t="s">
        <v>900</v>
      </c>
      <c r="H199" s="11">
        <v>1</v>
      </c>
      <c r="I199" s="11"/>
      <c r="J199" s="11"/>
    </row>
    <row r="200" spans="1:10" hidden="1" x14ac:dyDescent="0.2">
      <c r="A200" s="11" t="s">
        <v>223</v>
      </c>
      <c r="B200" s="11" t="s">
        <v>384</v>
      </c>
      <c r="C200" s="11" t="s">
        <v>368</v>
      </c>
      <c r="D200" s="6">
        <v>2</v>
      </c>
      <c r="E200" s="11" t="s">
        <v>904</v>
      </c>
      <c r="F200" s="11" t="s">
        <v>901</v>
      </c>
      <c r="G200" s="11" t="s">
        <v>900</v>
      </c>
      <c r="H200" s="11">
        <v>1</v>
      </c>
      <c r="I200" s="11"/>
      <c r="J200" s="11"/>
    </row>
    <row r="201" spans="1:10" hidden="1" x14ac:dyDescent="0.2">
      <c r="A201" s="11" t="s">
        <v>223</v>
      </c>
      <c r="B201" s="11" t="s">
        <v>384</v>
      </c>
      <c r="C201" s="11" t="s">
        <v>370</v>
      </c>
      <c r="D201" s="6">
        <v>50</v>
      </c>
      <c r="E201" s="11" t="s">
        <v>904</v>
      </c>
      <c r="F201" s="11" t="s">
        <v>901</v>
      </c>
      <c r="G201" s="11" t="s">
        <v>900</v>
      </c>
      <c r="H201" s="11">
        <v>1</v>
      </c>
      <c r="I201" s="11"/>
      <c r="J201" s="11"/>
    </row>
    <row r="202" spans="1:10" hidden="1" x14ac:dyDescent="0.2">
      <c r="A202" s="11" t="s">
        <v>223</v>
      </c>
      <c r="B202" s="11" t="s">
        <v>385</v>
      </c>
      <c r="C202" s="11" t="s">
        <v>203</v>
      </c>
      <c r="D202" s="6">
        <v>1</v>
      </c>
      <c r="E202" s="11" t="s">
        <v>905</v>
      </c>
      <c r="F202" s="11" t="s">
        <v>901</v>
      </c>
      <c r="G202" s="11" t="s">
        <v>900</v>
      </c>
      <c r="H202" s="11">
        <v>1</v>
      </c>
      <c r="I202" s="11"/>
      <c r="J202" s="11"/>
    </row>
    <row r="203" spans="1:10" hidden="1" x14ac:dyDescent="0.2">
      <c r="A203" s="11" t="s">
        <v>223</v>
      </c>
      <c r="B203" s="11" t="s">
        <v>385</v>
      </c>
      <c r="C203" s="11" t="s">
        <v>220</v>
      </c>
      <c r="D203" s="6">
        <v>1</v>
      </c>
      <c r="E203" s="11" t="s">
        <v>905</v>
      </c>
      <c r="F203" s="11" t="s">
        <v>901</v>
      </c>
      <c r="G203" s="11" t="s">
        <v>900</v>
      </c>
      <c r="H203" s="11">
        <v>1</v>
      </c>
      <c r="I203" s="11"/>
      <c r="J203" s="11"/>
    </row>
    <row r="204" spans="1:10" hidden="1" x14ac:dyDescent="0.2">
      <c r="A204" s="11" t="s">
        <v>223</v>
      </c>
      <c r="B204" s="11" t="s">
        <v>385</v>
      </c>
      <c r="C204" s="11" t="s">
        <v>213</v>
      </c>
      <c r="D204" s="6">
        <v>1</v>
      </c>
      <c r="E204" s="11" t="s">
        <v>905</v>
      </c>
      <c r="F204" s="11" t="s">
        <v>901</v>
      </c>
      <c r="G204" s="11" t="s">
        <v>900</v>
      </c>
      <c r="H204" s="11">
        <v>1</v>
      </c>
      <c r="I204" s="11"/>
      <c r="J204" s="11"/>
    </row>
    <row r="205" spans="1:10" hidden="1" x14ac:dyDescent="0.2">
      <c r="A205" s="11" t="s">
        <v>223</v>
      </c>
      <c r="B205" s="11" t="s">
        <v>385</v>
      </c>
      <c r="C205" s="11" t="s">
        <v>222</v>
      </c>
      <c r="D205" s="6">
        <v>1</v>
      </c>
      <c r="E205" s="11" t="s">
        <v>905</v>
      </c>
      <c r="F205" s="11" t="s">
        <v>901</v>
      </c>
      <c r="G205" s="11" t="s">
        <v>900</v>
      </c>
      <c r="H205" s="11">
        <v>1</v>
      </c>
      <c r="I205" s="11"/>
      <c r="J205" s="11"/>
    </row>
    <row r="206" spans="1:10" hidden="1" x14ac:dyDescent="0.2">
      <c r="A206" s="11" t="s">
        <v>223</v>
      </c>
      <c r="B206" s="11" t="s">
        <v>385</v>
      </c>
      <c r="C206" s="11" t="s">
        <v>217</v>
      </c>
      <c r="D206" s="6">
        <v>1</v>
      </c>
      <c r="E206" s="11" t="s">
        <v>905</v>
      </c>
      <c r="F206" s="11" t="s">
        <v>901</v>
      </c>
      <c r="G206" s="11" t="s">
        <v>900</v>
      </c>
      <c r="H206" s="11">
        <v>1</v>
      </c>
      <c r="I206" s="11"/>
      <c r="J206" s="11"/>
    </row>
    <row r="207" spans="1:10" hidden="1" x14ac:dyDescent="0.2">
      <c r="A207" s="11" t="s">
        <v>223</v>
      </c>
      <c r="B207" s="11" t="s">
        <v>385</v>
      </c>
      <c r="C207" s="11" t="s">
        <v>218</v>
      </c>
      <c r="D207" s="6">
        <v>1</v>
      </c>
      <c r="E207" s="11" t="s">
        <v>905</v>
      </c>
      <c r="F207" s="11" t="s">
        <v>901</v>
      </c>
      <c r="G207" s="11" t="s">
        <v>900</v>
      </c>
      <c r="H207" s="11">
        <v>1</v>
      </c>
      <c r="I207" s="11"/>
      <c r="J207" s="11"/>
    </row>
    <row r="208" spans="1:10" hidden="1" x14ac:dyDescent="0.2">
      <c r="A208" s="11" t="s">
        <v>223</v>
      </c>
      <c r="B208" s="11" t="s">
        <v>385</v>
      </c>
      <c r="C208" s="11" t="s">
        <v>368</v>
      </c>
      <c r="D208" s="6">
        <v>2</v>
      </c>
      <c r="E208" s="11" t="s">
        <v>905</v>
      </c>
      <c r="F208" s="11" t="s">
        <v>901</v>
      </c>
      <c r="G208" s="11" t="s">
        <v>900</v>
      </c>
      <c r="H208" s="11">
        <v>1</v>
      </c>
      <c r="I208" s="11"/>
      <c r="J208" s="11"/>
    </row>
    <row r="209" spans="1:10" hidden="1" x14ac:dyDescent="0.2">
      <c r="A209" s="11" t="s">
        <v>223</v>
      </c>
      <c r="B209" s="11" t="s">
        <v>385</v>
      </c>
      <c r="C209" s="11" t="s">
        <v>370</v>
      </c>
      <c r="D209" s="6">
        <v>50</v>
      </c>
      <c r="E209" s="11" t="s">
        <v>905</v>
      </c>
      <c r="F209" s="11" t="s">
        <v>901</v>
      </c>
      <c r="G209" s="11" t="s">
        <v>900</v>
      </c>
      <c r="H209" s="11">
        <v>1</v>
      </c>
      <c r="I209" s="11"/>
      <c r="J209" s="11"/>
    </row>
    <row r="210" spans="1:10" hidden="1" x14ac:dyDescent="0.2">
      <c r="A210" s="11" t="s">
        <v>223</v>
      </c>
      <c r="B210" s="11" t="s">
        <v>386</v>
      </c>
      <c r="C210" s="11" t="s">
        <v>203</v>
      </c>
      <c r="D210" s="6">
        <v>1</v>
      </c>
      <c r="E210" s="11" t="s">
        <v>906</v>
      </c>
      <c r="F210" s="11" t="s">
        <v>901</v>
      </c>
      <c r="G210" s="11" t="s">
        <v>900</v>
      </c>
      <c r="H210" s="11">
        <v>1</v>
      </c>
      <c r="I210" s="11"/>
      <c r="J210" s="11"/>
    </row>
    <row r="211" spans="1:10" hidden="1" x14ac:dyDescent="0.2">
      <c r="A211" s="11" t="s">
        <v>223</v>
      </c>
      <c r="B211" s="11" t="s">
        <v>386</v>
      </c>
      <c r="C211" s="11" t="s">
        <v>220</v>
      </c>
      <c r="D211" s="6">
        <v>1</v>
      </c>
      <c r="E211" s="11" t="s">
        <v>906</v>
      </c>
      <c r="F211" s="11" t="s">
        <v>901</v>
      </c>
      <c r="G211" s="11" t="s">
        <v>900</v>
      </c>
      <c r="H211" s="11">
        <v>1</v>
      </c>
      <c r="I211" s="11"/>
      <c r="J211" s="11"/>
    </row>
    <row r="212" spans="1:10" hidden="1" x14ac:dyDescent="0.2">
      <c r="A212" s="11" t="s">
        <v>223</v>
      </c>
      <c r="B212" s="11" t="s">
        <v>386</v>
      </c>
      <c r="C212" s="11" t="s">
        <v>213</v>
      </c>
      <c r="D212" s="6">
        <v>1</v>
      </c>
      <c r="E212" s="11" t="s">
        <v>906</v>
      </c>
      <c r="F212" s="11" t="s">
        <v>901</v>
      </c>
      <c r="G212" s="11" t="s">
        <v>900</v>
      </c>
      <c r="H212" s="11">
        <v>1</v>
      </c>
      <c r="I212" s="11"/>
      <c r="J212" s="11"/>
    </row>
    <row r="213" spans="1:10" hidden="1" x14ac:dyDescent="0.2">
      <c r="A213" s="11" t="s">
        <v>223</v>
      </c>
      <c r="B213" s="11" t="s">
        <v>386</v>
      </c>
      <c r="C213" s="11" t="s">
        <v>222</v>
      </c>
      <c r="D213" s="6">
        <v>1</v>
      </c>
      <c r="E213" s="11" t="s">
        <v>906</v>
      </c>
      <c r="F213" s="11" t="s">
        <v>901</v>
      </c>
      <c r="G213" s="11" t="s">
        <v>900</v>
      </c>
      <c r="H213" s="11">
        <v>1</v>
      </c>
      <c r="I213" s="11"/>
      <c r="J213" s="11"/>
    </row>
    <row r="214" spans="1:10" hidden="1" x14ac:dyDescent="0.2">
      <c r="A214" s="11" t="s">
        <v>223</v>
      </c>
      <c r="B214" s="11" t="s">
        <v>386</v>
      </c>
      <c r="C214" s="11" t="s">
        <v>217</v>
      </c>
      <c r="D214" s="6">
        <v>1</v>
      </c>
      <c r="E214" s="11" t="s">
        <v>906</v>
      </c>
      <c r="F214" s="11" t="s">
        <v>901</v>
      </c>
      <c r="G214" s="11" t="s">
        <v>900</v>
      </c>
      <c r="H214" s="11">
        <v>1</v>
      </c>
      <c r="I214" s="11"/>
      <c r="J214" s="11"/>
    </row>
    <row r="215" spans="1:10" hidden="1" x14ac:dyDescent="0.2">
      <c r="A215" s="11" t="s">
        <v>223</v>
      </c>
      <c r="B215" s="11" t="s">
        <v>386</v>
      </c>
      <c r="C215" s="11" t="s">
        <v>218</v>
      </c>
      <c r="D215" s="6">
        <v>1</v>
      </c>
      <c r="E215" s="11" t="s">
        <v>906</v>
      </c>
      <c r="F215" s="11" t="s">
        <v>901</v>
      </c>
      <c r="G215" s="11" t="s">
        <v>900</v>
      </c>
      <c r="H215" s="11">
        <v>1</v>
      </c>
      <c r="I215" s="11"/>
      <c r="J215" s="11"/>
    </row>
    <row r="216" spans="1:10" hidden="1" x14ac:dyDescent="0.2">
      <c r="A216" s="11" t="s">
        <v>223</v>
      </c>
      <c r="B216" s="11" t="s">
        <v>386</v>
      </c>
      <c r="C216" s="11" t="s">
        <v>368</v>
      </c>
      <c r="D216" s="6">
        <v>2</v>
      </c>
      <c r="E216" s="11" t="s">
        <v>906</v>
      </c>
      <c r="F216" s="11" t="s">
        <v>901</v>
      </c>
      <c r="G216" s="11" t="s">
        <v>900</v>
      </c>
      <c r="H216" s="11">
        <v>1</v>
      </c>
      <c r="I216" s="11"/>
      <c r="J216" s="11"/>
    </row>
    <row r="217" spans="1:10" hidden="1" x14ac:dyDescent="0.2">
      <c r="A217" s="11" t="s">
        <v>223</v>
      </c>
      <c r="B217" s="11" t="s">
        <v>386</v>
      </c>
      <c r="C217" s="11" t="s">
        <v>370</v>
      </c>
      <c r="D217" s="6">
        <v>50</v>
      </c>
      <c r="E217" s="11" t="s">
        <v>906</v>
      </c>
      <c r="F217" s="11" t="s">
        <v>901</v>
      </c>
      <c r="G217" s="11" t="s">
        <v>900</v>
      </c>
      <c r="H217" s="11">
        <v>1</v>
      </c>
      <c r="I217" s="11"/>
      <c r="J217" s="11"/>
    </row>
    <row r="218" spans="1:10" hidden="1" x14ac:dyDescent="0.2">
      <c r="A218" s="11" t="s">
        <v>223</v>
      </c>
      <c r="B218" s="11" t="s">
        <v>373</v>
      </c>
      <c r="C218" s="11" t="s">
        <v>204</v>
      </c>
      <c r="D218" s="6">
        <v>1</v>
      </c>
      <c r="E218" s="11" t="s">
        <v>907</v>
      </c>
      <c r="F218" s="11" t="s">
        <v>901</v>
      </c>
      <c r="G218" s="11" t="s">
        <v>900</v>
      </c>
      <c r="H218" s="11">
        <v>1</v>
      </c>
      <c r="I218" s="11"/>
      <c r="J218" s="11"/>
    </row>
    <row r="219" spans="1:10" hidden="1" x14ac:dyDescent="0.2">
      <c r="A219" s="11" t="s">
        <v>223</v>
      </c>
      <c r="B219" s="11" t="s">
        <v>373</v>
      </c>
      <c r="C219" s="11" t="s">
        <v>220</v>
      </c>
      <c r="D219" s="6">
        <v>1</v>
      </c>
      <c r="E219" s="11" t="s">
        <v>907</v>
      </c>
      <c r="F219" s="11" t="s">
        <v>901</v>
      </c>
      <c r="G219" s="11" t="s">
        <v>900</v>
      </c>
      <c r="H219" s="11">
        <v>1</v>
      </c>
      <c r="I219" s="11"/>
      <c r="J219" s="11"/>
    </row>
    <row r="220" spans="1:10" hidden="1" x14ac:dyDescent="0.2">
      <c r="A220" s="11" t="s">
        <v>223</v>
      </c>
      <c r="B220" s="11" t="s">
        <v>373</v>
      </c>
      <c r="C220" s="11" t="s">
        <v>213</v>
      </c>
      <c r="D220" s="6">
        <v>1</v>
      </c>
      <c r="E220" s="11" t="s">
        <v>907</v>
      </c>
      <c r="F220" s="11" t="s">
        <v>901</v>
      </c>
      <c r="G220" s="11" t="s">
        <v>900</v>
      </c>
      <c r="H220" s="11">
        <v>1</v>
      </c>
      <c r="I220" s="11"/>
      <c r="J220" s="11"/>
    </row>
    <row r="221" spans="1:10" hidden="1" x14ac:dyDescent="0.2">
      <c r="A221" s="11" t="s">
        <v>223</v>
      </c>
      <c r="B221" s="11" t="s">
        <v>373</v>
      </c>
      <c r="C221" s="11" t="s">
        <v>222</v>
      </c>
      <c r="D221" s="6">
        <v>1</v>
      </c>
      <c r="E221" s="11" t="s">
        <v>907</v>
      </c>
      <c r="F221" s="11" t="s">
        <v>901</v>
      </c>
      <c r="G221" s="11" t="s">
        <v>900</v>
      </c>
      <c r="H221" s="11">
        <v>1</v>
      </c>
      <c r="I221" s="11"/>
      <c r="J221" s="11"/>
    </row>
    <row r="222" spans="1:10" hidden="1" x14ac:dyDescent="0.2">
      <c r="A222" s="11" t="s">
        <v>223</v>
      </c>
      <c r="B222" s="11" t="s">
        <v>373</v>
      </c>
      <c r="C222" s="11" t="s">
        <v>217</v>
      </c>
      <c r="D222" s="6">
        <v>1</v>
      </c>
      <c r="E222" s="11" t="s">
        <v>907</v>
      </c>
      <c r="F222" s="11" t="s">
        <v>901</v>
      </c>
      <c r="G222" s="11" t="s">
        <v>900</v>
      </c>
      <c r="H222" s="11">
        <v>1</v>
      </c>
      <c r="I222" s="11"/>
      <c r="J222" s="11"/>
    </row>
    <row r="223" spans="1:10" hidden="1" x14ac:dyDescent="0.2">
      <c r="A223" s="11" t="s">
        <v>223</v>
      </c>
      <c r="B223" s="11" t="s">
        <v>373</v>
      </c>
      <c r="C223" s="11" t="s">
        <v>218</v>
      </c>
      <c r="D223" s="6">
        <v>1</v>
      </c>
      <c r="E223" s="11" t="s">
        <v>907</v>
      </c>
      <c r="F223" s="11" t="s">
        <v>901</v>
      </c>
      <c r="G223" s="11" t="s">
        <v>900</v>
      </c>
      <c r="H223" s="11">
        <v>1</v>
      </c>
      <c r="I223" s="11"/>
      <c r="J223" s="11"/>
    </row>
    <row r="224" spans="1:10" hidden="1" x14ac:dyDescent="0.2">
      <c r="A224" s="11" t="s">
        <v>223</v>
      </c>
      <c r="B224" s="11" t="s">
        <v>373</v>
      </c>
      <c r="C224" s="11" t="s">
        <v>368</v>
      </c>
      <c r="D224" s="6">
        <v>2</v>
      </c>
      <c r="E224" s="11" t="s">
        <v>907</v>
      </c>
      <c r="F224" s="11" t="s">
        <v>901</v>
      </c>
      <c r="G224" s="11" t="s">
        <v>900</v>
      </c>
      <c r="H224" s="11">
        <v>1</v>
      </c>
      <c r="I224" s="11"/>
      <c r="J224" s="11"/>
    </row>
    <row r="225" spans="1:10" hidden="1" x14ac:dyDescent="0.2">
      <c r="A225" s="11" t="s">
        <v>223</v>
      </c>
      <c r="B225" s="11" t="s">
        <v>373</v>
      </c>
      <c r="C225" s="11" t="s">
        <v>370</v>
      </c>
      <c r="D225" s="6">
        <v>50</v>
      </c>
      <c r="E225" s="11" t="s">
        <v>907</v>
      </c>
      <c r="F225" s="11" t="s">
        <v>901</v>
      </c>
      <c r="G225" s="11" t="s">
        <v>900</v>
      </c>
      <c r="H225" s="11">
        <v>1</v>
      </c>
      <c r="I225" s="11"/>
      <c r="J225" s="11"/>
    </row>
    <row r="226" spans="1:10" hidden="1" x14ac:dyDescent="0.2">
      <c r="A226" s="11" t="s">
        <v>223</v>
      </c>
      <c r="B226" s="11" t="s">
        <v>374</v>
      </c>
      <c r="C226" s="11" t="s">
        <v>204</v>
      </c>
      <c r="D226" s="6">
        <v>1</v>
      </c>
      <c r="E226" s="11" t="s">
        <v>908</v>
      </c>
      <c r="F226" s="11" t="s">
        <v>901</v>
      </c>
      <c r="G226" s="11" t="s">
        <v>900</v>
      </c>
      <c r="H226" s="11">
        <v>1</v>
      </c>
      <c r="I226" s="11"/>
      <c r="J226" s="11"/>
    </row>
    <row r="227" spans="1:10" hidden="1" x14ac:dyDescent="0.2">
      <c r="A227" s="11" t="s">
        <v>223</v>
      </c>
      <c r="B227" s="11" t="s">
        <v>374</v>
      </c>
      <c r="C227" s="11" t="s">
        <v>220</v>
      </c>
      <c r="D227" s="6">
        <v>1</v>
      </c>
      <c r="E227" s="11" t="s">
        <v>908</v>
      </c>
      <c r="F227" s="11" t="s">
        <v>901</v>
      </c>
      <c r="G227" s="11" t="s">
        <v>900</v>
      </c>
      <c r="H227" s="11">
        <v>1</v>
      </c>
      <c r="I227" s="11"/>
      <c r="J227" s="11"/>
    </row>
    <row r="228" spans="1:10" hidden="1" x14ac:dyDescent="0.2">
      <c r="A228" s="11" t="s">
        <v>223</v>
      </c>
      <c r="B228" s="11" t="s">
        <v>374</v>
      </c>
      <c r="C228" s="11" t="s">
        <v>213</v>
      </c>
      <c r="D228" s="6">
        <v>1</v>
      </c>
      <c r="E228" s="11" t="s">
        <v>908</v>
      </c>
      <c r="F228" s="11" t="s">
        <v>901</v>
      </c>
      <c r="G228" s="11" t="s">
        <v>900</v>
      </c>
      <c r="H228" s="11">
        <v>1</v>
      </c>
      <c r="I228" s="11"/>
      <c r="J228" s="11"/>
    </row>
    <row r="229" spans="1:10" hidden="1" x14ac:dyDescent="0.2">
      <c r="A229" s="11" t="s">
        <v>223</v>
      </c>
      <c r="B229" s="11" t="s">
        <v>374</v>
      </c>
      <c r="C229" s="11" t="s">
        <v>222</v>
      </c>
      <c r="D229" s="6">
        <v>1</v>
      </c>
      <c r="E229" s="11" t="s">
        <v>908</v>
      </c>
      <c r="F229" s="11" t="s">
        <v>901</v>
      </c>
      <c r="G229" s="11" t="s">
        <v>900</v>
      </c>
      <c r="H229" s="11">
        <v>1</v>
      </c>
      <c r="I229" s="11"/>
      <c r="J229" s="11"/>
    </row>
    <row r="230" spans="1:10" hidden="1" x14ac:dyDescent="0.2">
      <c r="A230" s="11" t="s">
        <v>223</v>
      </c>
      <c r="B230" s="11" t="s">
        <v>374</v>
      </c>
      <c r="C230" s="11" t="s">
        <v>217</v>
      </c>
      <c r="D230" s="6">
        <v>1</v>
      </c>
      <c r="E230" s="11" t="s">
        <v>908</v>
      </c>
      <c r="F230" s="11" t="s">
        <v>901</v>
      </c>
      <c r="G230" s="11" t="s">
        <v>900</v>
      </c>
      <c r="H230" s="11">
        <v>1</v>
      </c>
      <c r="I230" s="11"/>
      <c r="J230" s="11"/>
    </row>
    <row r="231" spans="1:10" hidden="1" x14ac:dyDescent="0.2">
      <c r="A231" s="11" t="s">
        <v>223</v>
      </c>
      <c r="B231" s="11" t="s">
        <v>374</v>
      </c>
      <c r="C231" s="11" t="s">
        <v>218</v>
      </c>
      <c r="D231" s="6">
        <v>1</v>
      </c>
      <c r="E231" s="11" t="s">
        <v>908</v>
      </c>
      <c r="F231" s="11" t="s">
        <v>901</v>
      </c>
      <c r="G231" s="11" t="s">
        <v>900</v>
      </c>
      <c r="H231" s="11">
        <v>1</v>
      </c>
      <c r="I231" s="11"/>
      <c r="J231" s="11"/>
    </row>
    <row r="232" spans="1:10" hidden="1" x14ac:dyDescent="0.2">
      <c r="A232" s="11" t="s">
        <v>223</v>
      </c>
      <c r="B232" s="11" t="s">
        <v>374</v>
      </c>
      <c r="C232" s="11" t="s">
        <v>368</v>
      </c>
      <c r="D232" s="6">
        <v>2</v>
      </c>
      <c r="E232" s="11" t="s">
        <v>908</v>
      </c>
      <c r="F232" s="11" t="s">
        <v>901</v>
      </c>
      <c r="G232" s="11" t="s">
        <v>900</v>
      </c>
      <c r="H232" s="11">
        <v>1</v>
      </c>
      <c r="I232" s="11"/>
      <c r="J232" s="11"/>
    </row>
    <row r="233" spans="1:10" hidden="1" x14ac:dyDescent="0.2">
      <c r="A233" s="11" t="s">
        <v>223</v>
      </c>
      <c r="B233" s="11" t="s">
        <v>374</v>
      </c>
      <c r="C233" s="11" t="s">
        <v>370</v>
      </c>
      <c r="D233" s="6">
        <v>50</v>
      </c>
      <c r="E233" s="11" t="s">
        <v>908</v>
      </c>
      <c r="F233" s="11" t="s">
        <v>901</v>
      </c>
      <c r="G233" s="11" t="s">
        <v>900</v>
      </c>
      <c r="H233" s="11">
        <v>1</v>
      </c>
      <c r="I233" s="11"/>
      <c r="J233" s="11"/>
    </row>
    <row r="234" spans="1:10" hidden="1" x14ac:dyDescent="0.2">
      <c r="A234" s="11" t="s">
        <v>223</v>
      </c>
      <c r="B234" s="11" t="s">
        <v>375</v>
      </c>
      <c r="C234" s="11" t="s">
        <v>205</v>
      </c>
      <c r="D234" s="6">
        <v>1</v>
      </c>
      <c r="E234" s="11" t="s">
        <v>909</v>
      </c>
      <c r="F234" s="11" t="s">
        <v>901</v>
      </c>
      <c r="G234" s="11" t="s">
        <v>900</v>
      </c>
      <c r="H234" s="11">
        <v>1</v>
      </c>
      <c r="I234" s="11"/>
      <c r="J234" s="11"/>
    </row>
    <row r="235" spans="1:10" hidden="1" x14ac:dyDescent="0.2">
      <c r="A235" s="11" t="s">
        <v>223</v>
      </c>
      <c r="B235" s="11" t="s">
        <v>375</v>
      </c>
      <c r="C235" s="11" t="s">
        <v>220</v>
      </c>
      <c r="D235" s="6">
        <v>1</v>
      </c>
      <c r="E235" s="11" t="s">
        <v>909</v>
      </c>
      <c r="F235" s="11" t="s">
        <v>901</v>
      </c>
      <c r="G235" s="11" t="s">
        <v>900</v>
      </c>
      <c r="H235" s="11">
        <v>1</v>
      </c>
      <c r="I235" s="11"/>
      <c r="J235" s="11"/>
    </row>
    <row r="236" spans="1:10" hidden="1" x14ac:dyDescent="0.2">
      <c r="A236" s="11" t="s">
        <v>223</v>
      </c>
      <c r="B236" s="11" t="s">
        <v>375</v>
      </c>
      <c r="C236" s="11" t="s">
        <v>213</v>
      </c>
      <c r="D236" s="6">
        <v>1</v>
      </c>
      <c r="E236" s="11" t="s">
        <v>909</v>
      </c>
      <c r="F236" s="11" t="s">
        <v>901</v>
      </c>
      <c r="G236" s="11" t="s">
        <v>900</v>
      </c>
      <c r="H236" s="11">
        <v>1</v>
      </c>
      <c r="I236" s="11"/>
      <c r="J236" s="11"/>
    </row>
    <row r="237" spans="1:10" hidden="1" x14ac:dyDescent="0.2">
      <c r="A237" s="11" t="s">
        <v>223</v>
      </c>
      <c r="B237" s="11" t="s">
        <v>375</v>
      </c>
      <c r="C237" s="11" t="s">
        <v>216</v>
      </c>
      <c r="D237" s="6">
        <v>1</v>
      </c>
      <c r="E237" s="11" t="s">
        <v>909</v>
      </c>
      <c r="F237" s="11" t="s">
        <v>901</v>
      </c>
      <c r="G237" s="11" t="s">
        <v>900</v>
      </c>
      <c r="H237" s="11">
        <v>1</v>
      </c>
      <c r="I237" s="11"/>
      <c r="J237" s="11"/>
    </row>
    <row r="238" spans="1:10" hidden="1" x14ac:dyDescent="0.2">
      <c r="A238" s="11" t="s">
        <v>223</v>
      </c>
      <c r="B238" s="11" t="s">
        <v>375</v>
      </c>
      <c r="C238" s="11" t="s">
        <v>217</v>
      </c>
      <c r="D238" s="6">
        <v>1</v>
      </c>
      <c r="E238" s="11" t="s">
        <v>909</v>
      </c>
      <c r="F238" s="11" t="s">
        <v>901</v>
      </c>
      <c r="G238" s="11" t="s">
        <v>900</v>
      </c>
      <c r="H238" s="11">
        <v>1</v>
      </c>
      <c r="I238" s="11"/>
      <c r="J238" s="11"/>
    </row>
    <row r="239" spans="1:10" hidden="1" x14ac:dyDescent="0.2">
      <c r="A239" s="11" t="s">
        <v>223</v>
      </c>
      <c r="B239" s="11" t="s">
        <v>375</v>
      </c>
      <c r="C239" s="11" t="s">
        <v>218</v>
      </c>
      <c r="D239" s="6">
        <v>1</v>
      </c>
      <c r="E239" s="11" t="s">
        <v>909</v>
      </c>
      <c r="F239" s="11" t="s">
        <v>901</v>
      </c>
      <c r="G239" s="11" t="s">
        <v>900</v>
      </c>
      <c r="H239" s="11">
        <v>1</v>
      </c>
      <c r="I239" s="11"/>
      <c r="J239" s="11"/>
    </row>
    <row r="240" spans="1:10" hidden="1" x14ac:dyDescent="0.2">
      <c r="A240" s="11" t="s">
        <v>223</v>
      </c>
      <c r="B240" s="11" t="s">
        <v>375</v>
      </c>
      <c r="C240" s="11" t="s">
        <v>368</v>
      </c>
      <c r="D240" s="6">
        <v>2</v>
      </c>
      <c r="E240" s="11" t="s">
        <v>909</v>
      </c>
      <c r="F240" s="11" t="s">
        <v>901</v>
      </c>
      <c r="G240" s="11" t="s">
        <v>900</v>
      </c>
      <c r="H240" s="11">
        <v>1</v>
      </c>
      <c r="I240" s="11"/>
      <c r="J240" s="11"/>
    </row>
    <row r="241" spans="1:10" hidden="1" x14ac:dyDescent="0.2">
      <c r="A241" s="11" t="s">
        <v>223</v>
      </c>
      <c r="B241" s="11" t="s">
        <v>375</v>
      </c>
      <c r="C241" s="11" t="s">
        <v>370</v>
      </c>
      <c r="D241" s="6">
        <v>50</v>
      </c>
      <c r="E241" s="11" t="s">
        <v>909</v>
      </c>
      <c r="F241" s="11" t="s">
        <v>901</v>
      </c>
      <c r="G241" s="11" t="s">
        <v>900</v>
      </c>
      <c r="H241" s="11">
        <v>1</v>
      </c>
      <c r="I241" s="11"/>
      <c r="J241" s="11"/>
    </row>
    <row r="242" spans="1:10" hidden="1" x14ac:dyDescent="0.2">
      <c r="A242" s="11" t="s">
        <v>223</v>
      </c>
      <c r="B242" s="11" t="s">
        <v>376</v>
      </c>
      <c r="C242" s="11" t="s">
        <v>206</v>
      </c>
      <c r="D242" s="6">
        <v>1</v>
      </c>
      <c r="E242" s="11" t="s">
        <v>910</v>
      </c>
      <c r="F242" s="11" t="s">
        <v>901</v>
      </c>
      <c r="G242" s="11" t="s">
        <v>900</v>
      </c>
      <c r="H242" s="11">
        <v>1</v>
      </c>
      <c r="I242" s="11"/>
      <c r="J242" s="11"/>
    </row>
    <row r="243" spans="1:10" hidden="1" x14ac:dyDescent="0.2">
      <c r="A243" s="11" t="s">
        <v>223</v>
      </c>
      <c r="B243" s="11" t="s">
        <v>376</v>
      </c>
      <c r="C243" s="11" t="s">
        <v>221</v>
      </c>
      <c r="D243" s="6">
        <v>1</v>
      </c>
      <c r="E243" s="11" t="s">
        <v>910</v>
      </c>
      <c r="F243" s="11" t="s">
        <v>901</v>
      </c>
      <c r="G243" s="11" t="s">
        <v>900</v>
      </c>
      <c r="H243" s="11">
        <v>1</v>
      </c>
      <c r="I243" s="11"/>
      <c r="J243" s="11"/>
    </row>
    <row r="244" spans="1:10" hidden="1" x14ac:dyDescent="0.2">
      <c r="A244" s="11" t="s">
        <v>223</v>
      </c>
      <c r="B244" s="11" t="s">
        <v>376</v>
      </c>
      <c r="C244" s="11" t="s">
        <v>213</v>
      </c>
      <c r="D244" s="6">
        <v>1</v>
      </c>
      <c r="E244" s="11" t="s">
        <v>910</v>
      </c>
      <c r="F244" s="11" t="s">
        <v>901</v>
      </c>
      <c r="G244" s="11" t="s">
        <v>900</v>
      </c>
      <c r="H244" s="11">
        <v>1</v>
      </c>
      <c r="I244" s="11"/>
      <c r="J244" s="11"/>
    </row>
    <row r="245" spans="1:10" hidden="1" x14ac:dyDescent="0.2">
      <c r="A245" s="11" t="s">
        <v>223</v>
      </c>
      <c r="B245" s="11" t="s">
        <v>376</v>
      </c>
      <c r="C245" s="11" t="s">
        <v>216</v>
      </c>
      <c r="D245" s="6">
        <v>1</v>
      </c>
      <c r="E245" s="11" t="s">
        <v>910</v>
      </c>
      <c r="F245" s="11" t="s">
        <v>901</v>
      </c>
      <c r="G245" s="11" t="s">
        <v>900</v>
      </c>
      <c r="H245" s="11">
        <v>1</v>
      </c>
      <c r="I245" s="11"/>
      <c r="J245" s="11"/>
    </row>
    <row r="246" spans="1:10" hidden="1" x14ac:dyDescent="0.2">
      <c r="A246" s="11" t="s">
        <v>223</v>
      </c>
      <c r="B246" s="11" t="s">
        <v>376</v>
      </c>
      <c r="C246" s="11" t="s">
        <v>217</v>
      </c>
      <c r="D246" s="6">
        <v>1</v>
      </c>
      <c r="E246" s="11" t="s">
        <v>910</v>
      </c>
      <c r="F246" s="11" t="s">
        <v>901</v>
      </c>
      <c r="G246" s="11" t="s">
        <v>900</v>
      </c>
      <c r="H246" s="11">
        <v>1</v>
      </c>
      <c r="I246" s="11"/>
      <c r="J246" s="11"/>
    </row>
    <row r="247" spans="1:10" hidden="1" x14ac:dyDescent="0.2">
      <c r="A247" s="11" t="s">
        <v>223</v>
      </c>
      <c r="B247" s="11" t="s">
        <v>376</v>
      </c>
      <c r="C247" s="11" t="s">
        <v>218</v>
      </c>
      <c r="D247" s="6">
        <v>1</v>
      </c>
      <c r="E247" s="11" t="s">
        <v>910</v>
      </c>
      <c r="F247" s="11" t="s">
        <v>901</v>
      </c>
      <c r="G247" s="11" t="s">
        <v>900</v>
      </c>
      <c r="H247" s="11">
        <v>1</v>
      </c>
      <c r="I247" s="11"/>
      <c r="J247" s="11"/>
    </row>
    <row r="248" spans="1:10" hidden="1" x14ac:dyDescent="0.2">
      <c r="A248" s="11" t="s">
        <v>223</v>
      </c>
      <c r="B248" s="11" t="s">
        <v>376</v>
      </c>
      <c r="C248" s="11" t="s">
        <v>368</v>
      </c>
      <c r="D248" s="6">
        <v>2</v>
      </c>
      <c r="E248" s="11" t="s">
        <v>910</v>
      </c>
      <c r="F248" s="11" t="s">
        <v>901</v>
      </c>
      <c r="G248" s="11" t="s">
        <v>900</v>
      </c>
      <c r="H248" s="11">
        <v>1</v>
      </c>
      <c r="I248" s="11"/>
      <c r="J248" s="11"/>
    </row>
    <row r="249" spans="1:10" hidden="1" x14ac:dyDescent="0.2">
      <c r="A249" s="11" t="s">
        <v>223</v>
      </c>
      <c r="B249" s="11" t="s">
        <v>376</v>
      </c>
      <c r="C249" s="11" t="s">
        <v>370</v>
      </c>
      <c r="D249" s="6">
        <v>50</v>
      </c>
      <c r="E249" s="11" t="s">
        <v>910</v>
      </c>
      <c r="F249" s="11" t="s">
        <v>901</v>
      </c>
      <c r="G249" s="11" t="s">
        <v>900</v>
      </c>
      <c r="H249" s="11">
        <v>1</v>
      </c>
      <c r="I249" s="11"/>
      <c r="J249" s="11"/>
    </row>
    <row r="250" spans="1:10" hidden="1" x14ac:dyDescent="0.2">
      <c r="A250" s="11" t="s">
        <v>223</v>
      </c>
      <c r="B250" s="11" t="s">
        <v>377</v>
      </c>
      <c r="C250" s="11" t="s">
        <v>207</v>
      </c>
      <c r="D250" s="6">
        <v>1</v>
      </c>
      <c r="E250" s="11" t="s">
        <v>911</v>
      </c>
      <c r="F250" s="11" t="s">
        <v>901</v>
      </c>
      <c r="G250" s="11" t="s">
        <v>900</v>
      </c>
      <c r="H250" s="11">
        <v>1</v>
      </c>
      <c r="I250" s="11"/>
      <c r="J250" s="11"/>
    </row>
    <row r="251" spans="1:10" hidden="1" x14ac:dyDescent="0.2">
      <c r="A251" s="11" t="s">
        <v>223</v>
      </c>
      <c r="B251" s="11" t="s">
        <v>377</v>
      </c>
      <c r="C251" s="11" t="s">
        <v>214</v>
      </c>
      <c r="D251" s="6">
        <v>1</v>
      </c>
      <c r="E251" s="11" t="s">
        <v>911</v>
      </c>
      <c r="F251" s="11" t="s">
        <v>901</v>
      </c>
      <c r="G251" s="11" t="s">
        <v>900</v>
      </c>
      <c r="H251" s="11">
        <v>1</v>
      </c>
      <c r="I251" s="11"/>
      <c r="J251" s="11"/>
    </row>
    <row r="252" spans="1:10" hidden="1" x14ac:dyDescent="0.2">
      <c r="A252" s="11" t="s">
        <v>223</v>
      </c>
      <c r="B252" s="11" t="s">
        <v>377</v>
      </c>
      <c r="C252" s="11" t="s">
        <v>213</v>
      </c>
      <c r="D252" s="6">
        <v>1</v>
      </c>
      <c r="E252" s="11" t="s">
        <v>911</v>
      </c>
      <c r="F252" s="11" t="s">
        <v>901</v>
      </c>
      <c r="G252" s="11" t="s">
        <v>900</v>
      </c>
      <c r="H252" s="11">
        <v>1</v>
      </c>
      <c r="I252" s="11"/>
      <c r="J252" s="11"/>
    </row>
    <row r="253" spans="1:10" hidden="1" x14ac:dyDescent="0.2">
      <c r="A253" s="11" t="s">
        <v>223</v>
      </c>
      <c r="B253" s="11" t="s">
        <v>377</v>
      </c>
      <c r="C253" s="11" t="s">
        <v>216</v>
      </c>
      <c r="D253" s="6">
        <v>1</v>
      </c>
      <c r="E253" s="11" t="s">
        <v>911</v>
      </c>
      <c r="F253" s="11" t="s">
        <v>901</v>
      </c>
      <c r="G253" s="11" t="s">
        <v>900</v>
      </c>
      <c r="H253" s="11">
        <v>1</v>
      </c>
      <c r="I253" s="11"/>
      <c r="J253" s="11"/>
    </row>
    <row r="254" spans="1:10" hidden="1" x14ac:dyDescent="0.2">
      <c r="A254" s="11" t="s">
        <v>223</v>
      </c>
      <c r="B254" s="11" t="s">
        <v>377</v>
      </c>
      <c r="C254" s="11" t="s">
        <v>217</v>
      </c>
      <c r="D254" s="6">
        <v>1</v>
      </c>
      <c r="E254" s="11" t="s">
        <v>911</v>
      </c>
      <c r="F254" s="11" t="s">
        <v>901</v>
      </c>
      <c r="G254" s="11" t="s">
        <v>900</v>
      </c>
      <c r="H254" s="11">
        <v>1</v>
      </c>
      <c r="I254" s="11"/>
      <c r="J254" s="11"/>
    </row>
    <row r="255" spans="1:10" hidden="1" x14ac:dyDescent="0.2">
      <c r="A255" s="11" t="s">
        <v>223</v>
      </c>
      <c r="B255" s="11" t="s">
        <v>377</v>
      </c>
      <c r="C255" s="11" t="s">
        <v>218</v>
      </c>
      <c r="D255" s="6">
        <v>1</v>
      </c>
      <c r="E255" s="11" t="s">
        <v>911</v>
      </c>
      <c r="F255" s="11" t="s">
        <v>901</v>
      </c>
      <c r="G255" s="11" t="s">
        <v>900</v>
      </c>
      <c r="H255" s="11">
        <v>1</v>
      </c>
      <c r="I255" s="11"/>
      <c r="J255" s="11"/>
    </row>
    <row r="256" spans="1:10" hidden="1" x14ac:dyDescent="0.2">
      <c r="A256" s="11" t="s">
        <v>223</v>
      </c>
      <c r="B256" s="11" t="s">
        <v>377</v>
      </c>
      <c r="C256" s="11" t="s">
        <v>368</v>
      </c>
      <c r="D256" s="6">
        <v>2</v>
      </c>
      <c r="E256" s="11" t="s">
        <v>911</v>
      </c>
      <c r="F256" s="11" t="s">
        <v>901</v>
      </c>
      <c r="G256" s="11" t="s">
        <v>900</v>
      </c>
      <c r="H256" s="11">
        <v>1</v>
      </c>
      <c r="I256" s="11"/>
      <c r="J256" s="11"/>
    </row>
    <row r="257" spans="1:10" hidden="1" x14ac:dyDescent="0.2">
      <c r="A257" s="11" t="s">
        <v>223</v>
      </c>
      <c r="B257" s="11" t="s">
        <v>377</v>
      </c>
      <c r="C257" s="11" t="s">
        <v>370</v>
      </c>
      <c r="D257" s="6">
        <v>50</v>
      </c>
      <c r="E257" s="11" t="s">
        <v>911</v>
      </c>
      <c r="F257" s="11" t="s">
        <v>901</v>
      </c>
      <c r="G257" s="11" t="s">
        <v>900</v>
      </c>
      <c r="H257" s="11">
        <v>1</v>
      </c>
      <c r="I257" s="11"/>
      <c r="J257" s="11"/>
    </row>
    <row r="258" spans="1:10" hidden="1" x14ac:dyDescent="0.2">
      <c r="A258" s="11" t="s">
        <v>223</v>
      </c>
      <c r="B258" s="11" t="s">
        <v>378</v>
      </c>
      <c r="C258" s="11" t="s">
        <v>207</v>
      </c>
      <c r="D258" s="6">
        <v>1</v>
      </c>
      <c r="E258" s="11" t="s">
        <v>912</v>
      </c>
      <c r="F258" s="11" t="s">
        <v>901</v>
      </c>
      <c r="G258" s="11" t="s">
        <v>900</v>
      </c>
      <c r="H258" s="11">
        <v>1</v>
      </c>
      <c r="I258" s="11"/>
      <c r="J258" s="11"/>
    </row>
    <row r="259" spans="1:10" hidden="1" x14ac:dyDescent="0.2">
      <c r="A259" s="11" t="s">
        <v>223</v>
      </c>
      <c r="B259" s="11" t="s">
        <v>378</v>
      </c>
      <c r="C259" s="11" t="s">
        <v>214</v>
      </c>
      <c r="D259" s="6">
        <v>1</v>
      </c>
      <c r="E259" s="11" t="s">
        <v>912</v>
      </c>
      <c r="F259" s="11" t="s">
        <v>901</v>
      </c>
      <c r="G259" s="11" t="s">
        <v>900</v>
      </c>
      <c r="H259" s="11">
        <v>1</v>
      </c>
      <c r="I259" s="11"/>
      <c r="J259" s="11"/>
    </row>
    <row r="260" spans="1:10" hidden="1" x14ac:dyDescent="0.2">
      <c r="A260" s="11" t="s">
        <v>223</v>
      </c>
      <c r="B260" s="11" t="s">
        <v>378</v>
      </c>
      <c r="C260" s="11" t="s">
        <v>213</v>
      </c>
      <c r="D260" s="6">
        <v>1</v>
      </c>
      <c r="E260" s="11" t="s">
        <v>912</v>
      </c>
      <c r="F260" s="11" t="s">
        <v>901</v>
      </c>
      <c r="G260" s="11" t="s">
        <v>900</v>
      </c>
      <c r="H260" s="11">
        <v>1</v>
      </c>
      <c r="I260" s="11"/>
      <c r="J260" s="11"/>
    </row>
    <row r="261" spans="1:10" hidden="1" x14ac:dyDescent="0.2">
      <c r="A261" s="11" t="s">
        <v>223</v>
      </c>
      <c r="B261" s="11" t="s">
        <v>378</v>
      </c>
      <c r="C261" s="11" t="s">
        <v>216</v>
      </c>
      <c r="D261" s="6">
        <v>1</v>
      </c>
      <c r="E261" s="11" t="s">
        <v>912</v>
      </c>
      <c r="F261" s="11" t="s">
        <v>901</v>
      </c>
      <c r="G261" s="11" t="s">
        <v>900</v>
      </c>
      <c r="H261" s="11">
        <v>1</v>
      </c>
      <c r="I261" s="11"/>
      <c r="J261" s="11"/>
    </row>
    <row r="262" spans="1:10" hidden="1" x14ac:dyDescent="0.2">
      <c r="A262" s="11" t="s">
        <v>223</v>
      </c>
      <c r="B262" s="11" t="s">
        <v>378</v>
      </c>
      <c r="C262" s="11" t="s">
        <v>217</v>
      </c>
      <c r="D262" s="6">
        <v>1</v>
      </c>
      <c r="E262" s="11" t="s">
        <v>912</v>
      </c>
      <c r="F262" s="11" t="s">
        <v>901</v>
      </c>
      <c r="G262" s="11" t="s">
        <v>900</v>
      </c>
      <c r="H262" s="11">
        <v>1</v>
      </c>
      <c r="I262" s="11"/>
      <c r="J262" s="11"/>
    </row>
    <row r="263" spans="1:10" hidden="1" x14ac:dyDescent="0.2">
      <c r="A263" s="11" t="s">
        <v>223</v>
      </c>
      <c r="B263" s="11" t="s">
        <v>378</v>
      </c>
      <c r="C263" s="11" t="s">
        <v>218</v>
      </c>
      <c r="D263" s="6">
        <v>1</v>
      </c>
      <c r="E263" s="11" t="s">
        <v>912</v>
      </c>
      <c r="F263" s="11" t="s">
        <v>901</v>
      </c>
      <c r="G263" s="11" t="s">
        <v>900</v>
      </c>
      <c r="H263" s="11">
        <v>1</v>
      </c>
      <c r="I263" s="11"/>
      <c r="J263" s="11"/>
    </row>
    <row r="264" spans="1:10" hidden="1" x14ac:dyDescent="0.2">
      <c r="A264" s="11" t="s">
        <v>223</v>
      </c>
      <c r="B264" s="11" t="s">
        <v>378</v>
      </c>
      <c r="C264" s="11" t="s">
        <v>368</v>
      </c>
      <c r="D264" s="6">
        <v>2</v>
      </c>
      <c r="E264" s="11" t="s">
        <v>912</v>
      </c>
      <c r="F264" s="11" t="s">
        <v>901</v>
      </c>
      <c r="G264" s="11" t="s">
        <v>900</v>
      </c>
      <c r="H264" s="11">
        <v>1</v>
      </c>
      <c r="I264" s="11"/>
      <c r="J264" s="11"/>
    </row>
    <row r="265" spans="1:10" hidden="1" x14ac:dyDescent="0.2">
      <c r="A265" s="11" t="s">
        <v>223</v>
      </c>
      <c r="B265" s="11" t="s">
        <v>378</v>
      </c>
      <c r="C265" s="11" t="s">
        <v>370</v>
      </c>
      <c r="D265" s="6">
        <v>50</v>
      </c>
      <c r="E265" s="11" t="s">
        <v>912</v>
      </c>
      <c r="F265" s="11" t="s">
        <v>901</v>
      </c>
      <c r="G265" s="11" t="s">
        <v>900</v>
      </c>
      <c r="H265" s="11">
        <v>1</v>
      </c>
      <c r="I265" s="11"/>
      <c r="J265" s="11"/>
    </row>
    <row r="266" spans="1:10" hidden="1" x14ac:dyDescent="0.2">
      <c r="A266" s="11" t="s">
        <v>223</v>
      </c>
      <c r="B266" s="11" t="s">
        <v>379</v>
      </c>
      <c r="C266" s="11" t="s">
        <v>208</v>
      </c>
      <c r="D266" s="6">
        <v>1</v>
      </c>
      <c r="E266" s="11" t="s">
        <v>913</v>
      </c>
      <c r="F266" s="11" t="s">
        <v>901</v>
      </c>
      <c r="G266" s="11" t="s">
        <v>900</v>
      </c>
      <c r="H266" s="11">
        <v>1</v>
      </c>
      <c r="I266" s="11"/>
      <c r="J266" s="11"/>
    </row>
    <row r="267" spans="1:10" hidden="1" x14ac:dyDescent="0.2">
      <c r="A267" s="11" t="s">
        <v>223</v>
      </c>
      <c r="B267" s="11" t="s">
        <v>379</v>
      </c>
      <c r="C267" s="11" t="s">
        <v>215</v>
      </c>
      <c r="D267" s="6">
        <v>1</v>
      </c>
      <c r="E267" s="11" t="s">
        <v>913</v>
      </c>
      <c r="F267" s="11" t="s">
        <v>901</v>
      </c>
      <c r="G267" s="11" t="s">
        <v>900</v>
      </c>
      <c r="H267" s="11">
        <v>1</v>
      </c>
      <c r="I267" s="11"/>
      <c r="J267" s="11"/>
    </row>
    <row r="268" spans="1:10" hidden="1" x14ac:dyDescent="0.2">
      <c r="A268" s="11" t="s">
        <v>223</v>
      </c>
      <c r="B268" s="11" t="s">
        <v>379</v>
      </c>
      <c r="C268" s="11" t="s">
        <v>213</v>
      </c>
      <c r="D268" s="6">
        <v>1</v>
      </c>
      <c r="E268" s="11" t="s">
        <v>913</v>
      </c>
      <c r="F268" s="11" t="s">
        <v>901</v>
      </c>
      <c r="G268" s="11" t="s">
        <v>900</v>
      </c>
      <c r="H268" s="11">
        <v>1</v>
      </c>
      <c r="I268" s="11"/>
      <c r="J268" s="11"/>
    </row>
    <row r="269" spans="1:10" hidden="1" x14ac:dyDescent="0.2">
      <c r="A269" s="11" t="s">
        <v>223</v>
      </c>
      <c r="B269" s="11" t="s">
        <v>379</v>
      </c>
      <c r="C269" s="11" t="s">
        <v>219</v>
      </c>
      <c r="D269" s="6">
        <v>1</v>
      </c>
      <c r="E269" s="11" t="s">
        <v>913</v>
      </c>
      <c r="F269" s="11" t="s">
        <v>901</v>
      </c>
      <c r="G269" s="11" t="s">
        <v>900</v>
      </c>
      <c r="H269" s="11">
        <v>1</v>
      </c>
      <c r="I269" s="11"/>
      <c r="J269" s="11"/>
    </row>
    <row r="270" spans="1:10" hidden="1" x14ac:dyDescent="0.2">
      <c r="A270" s="11" t="s">
        <v>223</v>
      </c>
      <c r="B270" s="11" t="s">
        <v>379</v>
      </c>
      <c r="C270" s="11" t="s">
        <v>217</v>
      </c>
      <c r="D270" s="6">
        <v>1</v>
      </c>
      <c r="E270" s="11" t="s">
        <v>913</v>
      </c>
      <c r="F270" s="11" t="s">
        <v>901</v>
      </c>
      <c r="G270" s="11" t="s">
        <v>900</v>
      </c>
      <c r="H270" s="11">
        <v>1</v>
      </c>
      <c r="I270" s="11"/>
      <c r="J270" s="11"/>
    </row>
    <row r="271" spans="1:10" hidden="1" x14ac:dyDescent="0.2">
      <c r="A271" s="11" t="s">
        <v>223</v>
      </c>
      <c r="B271" s="11" t="s">
        <v>379</v>
      </c>
      <c r="C271" s="11" t="s">
        <v>218</v>
      </c>
      <c r="D271" s="6">
        <v>1</v>
      </c>
      <c r="E271" s="11" t="s">
        <v>913</v>
      </c>
      <c r="F271" s="11" t="s">
        <v>901</v>
      </c>
      <c r="G271" s="11" t="s">
        <v>900</v>
      </c>
      <c r="H271" s="11">
        <v>1</v>
      </c>
      <c r="I271" s="11"/>
      <c r="J271" s="11"/>
    </row>
    <row r="272" spans="1:10" hidden="1" x14ac:dyDescent="0.2">
      <c r="A272" s="11" t="s">
        <v>223</v>
      </c>
      <c r="B272" s="11" t="s">
        <v>379</v>
      </c>
      <c r="C272" s="11" t="s">
        <v>368</v>
      </c>
      <c r="D272" s="6">
        <v>2</v>
      </c>
      <c r="E272" s="11" t="s">
        <v>913</v>
      </c>
      <c r="F272" s="11" t="s">
        <v>901</v>
      </c>
      <c r="G272" s="11" t="s">
        <v>900</v>
      </c>
      <c r="H272" s="11">
        <v>1</v>
      </c>
      <c r="I272" s="11"/>
      <c r="J272" s="11"/>
    </row>
    <row r="273" spans="1:10" hidden="1" x14ac:dyDescent="0.2">
      <c r="A273" s="11" t="s">
        <v>223</v>
      </c>
      <c r="B273" s="11" t="s">
        <v>379</v>
      </c>
      <c r="C273" s="11" t="s">
        <v>370</v>
      </c>
      <c r="D273" s="6">
        <v>50</v>
      </c>
      <c r="E273" s="11" t="s">
        <v>913</v>
      </c>
      <c r="F273" s="11" t="s">
        <v>901</v>
      </c>
      <c r="G273" s="11" t="s">
        <v>900</v>
      </c>
      <c r="H273" s="11">
        <v>1</v>
      </c>
      <c r="I273" s="11"/>
      <c r="J273" s="11"/>
    </row>
    <row r="274" spans="1:10" hidden="1" x14ac:dyDescent="0.2">
      <c r="A274" s="11" t="s">
        <v>223</v>
      </c>
      <c r="B274" s="11" t="s">
        <v>380</v>
      </c>
      <c r="C274" s="11" t="s">
        <v>209</v>
      </c>
      <c r="D274" s="6">
        <v>1</v>
      </c>
      <c r="E274" s="11" t="s">
        <v>914</v>
      </c>
      <c r="F274" s="11" t="s">
        <v>901</v>
      </c>
      <c r="G274" s="11" t="s">
        <v>900</v>
      </c>
      <c r="H274" s="11">
        <v>1</v>
      </c>
      <c r="I274" s="11"/>
      <c r="J274" s="11"/>
    </row>
    <row r="275" spans="1:10" hidden="1" x14ac:dyDescent="0.2">
      <c r="A275" s="11" t="s">
        <v>223</v>
      </c>
      <c r="B275" s="11" t="s">
        <v>380</v>
      </c>
      <c r="C275" s="11" t="s">
        <v>211</v>
      </c>
      <c r="D275" s="6">
        <v>1</v>
      </c>
      <c r="E275" s="11" t="s">
        <v>914</v>
      </c>
      <c r="F275" s="11" t="s">
        <v>901</v>
      </c>
      <c r="G275" s="11" t="s">
        <v>900</v>
      </c>
      <c r="H275" s="11">
        <v>1</v>
      </c>
      <c r="I275" s="11"/>
      <c r="J275" s="11"/>
    </row>
    <row r="276" spans="1:10" hidden="1" x14ac:dyDescent="0.2">
      <c r="A276" s="11" t="s">
        <v>223</v>
      </c>
      <c r="B276" s="11" t="s">
        <v>380</v>
      </c>
      <c r="C276" s="11" t="s">
        <v>213</v>
      </c>
      <c r="D276" s="6">
        <v>1</v>
      </c>
      <c r="E276" s="11" t="s">
        <v>914</v>
      </c>
      <c r="F276" s="11" t="s">
        <v>901</v>
      </c>
      <c r="G276" s="11" t="s">
        <v>900</v>
      </c>
      <c r="H276" s="11">
        <v>1</v>
      </c>
      <c r="I276" s="11"/>
      <c r="J276" s="11"/>
    </row>
    <row r="277" spans="1:10" hidden="1" x14ac:dyDescent="0.2">
      <c r="A277" s="11" t="s">
        <v>223</v>
      </c>
      <c r="B277" s="11" t="s">
        <v>380</v>
      </c>
      <c r="C277" s="11" t="s">
        <v>219</v>
      </c>
      <c r="D277" s="6">
        <v>1</v>
      </c>
      <c r="E277" s="11" t="s">
        <v>914</v>
      </c>
      <c r="F277" s="11" t="s">
        <v>901</v>
      </c>
      <c r="G277" s="11" t="s">
        <v>900</v>
      </c>
      <c r="H277" s="11">
        <v>1</v>
      </c>
      <c r="I277" s="11"/>
      <c r="J277" s="11"/>
    </row>
    <row r="278" spans="1:10" hidden="1" x14ac:dyDescent="0.2">
      <c r="A278" s="11" t="s">
        <v>223</v>
      </c>
      <c r="B278" s="11" t="s">
        <v>380</v>
      </c>
      <c r="C278" s="11" t="s">
        <v>217</v>
      </c>
      <c r="D278" s="6">
        <v>1</v>
      </c>
      <c r="E278" s="11" t="s">
        <v>914</v>
      </c>
      <c r="F278" s="11" t="s">
        <v>901</v>
      </c>
      <c r="G278" s="11" t="s">
        <v>900</v>
      </c>
      <c r="H278" s="11">
        <v>1</v>
      </c>
      <c r="I278" s="11"/>
      <c r="J278" s="11"/>
    </row>
    <row r="279" spans="1:10" hidden="1" x14ac:dyDescent="0.2">
      <c r="A279" s="11" t="s">
        <v>223</v>
      </c>
      <c r="B279" s="11" t="s">
        <v>380</v>
      </c>
      <c r="C279" s="11" t="s">
        <v>218</v>
      </c>
      <c r="D279" s="6">
        <v>1</v>
      </c>
      <c r="E279" s="11" t="s">
        <v>914</v>
      </c>
      <c r="F279" s="11" t="s">
        <v>901</v>
      </c>
      <c r="G279" s="11" t="s">
        <v>900</v>
      </c>
      <c r="H279" s="11">
        <v>1</v>
      </c>
      <c r="I279" s="11"/>
      <c r="J279" s="11"/>
    </row>
    <row r="280" spans="1:10" hidden="1" x14ac:dyDescent="0.2">
      <c r="A280" s="11" t="s">
        <v>223</v>
      </c>
      <c r="B280" s="11" t="s">
        <v>380</v>
      </c>
      <c r="C280" s="11" t="s">
        <v>368</v>
      </c>
      <c r="D280" s="6">
        <v>2</v>
      </c>
      <c r="E280" s="11" t="s">
        <v>914</v>
      </c>
      <c r="F280" s="11" t="s">
        <v>901</v>
      </c>
      <c r="G280" s="11" t="s">
        <v>900</v>
      </c>
      <c r="H280" s="11">
        <v>1</v>
      </c>
      <c r="I280" s="11"/>
      <c r="J280" s="11"/>
    </row>
    <row r="281" spans="1:10" hidden="1" x14ac:dyDescent="0.2">
      <c r="A281" s="11" t="s">
        <v>223</v>
      </c>
      <c r="B281" s="11" t="s">
        <v>380</v>
      </c>
      <c r="C281" s="11" t="s">
        <v>370</v>
      </c>
      <c r="D281" s="6">
        <v>50</v>
      </c>
      <c r="E281" s="11" t="s">
        <v>914</v>
      </c>
      <c r="F281" s="11" t="s">
        <v>901</v>
      </c>
      <c r="G281" s="11" t="s">
        <v>900</v>
      </c>
      <c r="H281" s="11">
        <v>1</v>
      </c>
      <c r="I281" s="11"/>
      <c r="J281" s="11"/>
    </row>
    <row r="282" spans="1:10" hidden="1" x14ac:dyDescent="0.2">
      <c r="A282" s="11" t="s">
        <v>223</v>
      </c>
      <c r="B282" s="11" t="s">
        <v>381</v>
      </c>
      <c r="C282" s="11" t="s">
        <v>209</v>
      </c>
      <c r="D282" s="6">
        <v>1</v>
      </c>
      <c r="E282" s="11" t="s">
        <v>915</v>
      </c>
      <c r="F282" s="11" t="s">
        <v>901</v>
      </c>
      <c r="G282" s="11" t="s">
        <v>900</v>
      </c>
      <c r="H282" s="11">
        <v>1</v>
      </c>
      <c r="I282" s="11"/>
      <c r="J282" s="11"/>
    </row>
    <row r="283" spans="1:10" hidden="1" x14ac:dyDescent="0.2">
      <c r="A283" s="11" t="s">
        <v>223</v>
      </c>
      <c r="B283" s="11" t="s">
        <v>381</v>
      </c>
      <c r="C283" s="11" t="s">
        <v>210</v>
      </c>
      <c r="D283" s="6">
        <v>1</v>
      </c>
      <c r="E283" s="11" t="s">
        <v>915</v>
      </c>
      <c r="F283" s="11" t="s">
        <v>901</v>
      </c>
      <c r="G283" s="11" t="s">
        <v>900</v>
      </c>
      <c r="H283" s="11">
        <v>1</v>
      </c>
      <c r="I283" s="11"/>
      <c r="J283" s="11"/>
    </row>
    <row r="284" spans="1:10" hidden="1" x14ac:dyDescent="0.2">
      <c r="A284" s="11" t="s">
        <v>223</v>
      </c>
      <c r="B284" s="11" t="s">
        <v>381</v>
      </c>
      <c r="C284" s="11" t="s">
        <v>213</v>
      </c>
      <c r="D284" s="6">
        <v>1</v>
      </c>
      <c r="E284" s="11" t="s">
        <v>915</v>
      </c>
      <c r="F284" s="11" t="s">
        <v>901</v>
      </c>
      <c r="G284" s="11" t="s">
        <v>900</v>
      </c>
      <c r="H284" s="11">
        <v>1</v>
      </c>
      <c r="I284" s="11"/>
      <c r="J284" s="11"/>
    </row>
    <row r="285" spans="1:10" hidden="1" x14ac:dyDescent="0.2">
      <c r="A285" s="11" t="s">
        <v>223</v>
      </c>
      <c r="B285" s="11" t="s">
        <v>381</v>
      </c>
      <c r="C285" s="11" t="s">
        <v>219</v>
      </c>
      <c r="D285" s="6">
        <v>1</v>
      </c>
      <c r="E285" s="11" t="s">
        <v>915</v>
      </c>
      <c r="F285" s="11" t="s">
        <v>901</v>
      </c>
      <c r="G285" s="11" t="s">
        <v>900</v>
      </c>
      <c r="H285" s="11">
        <v>1</v>
      </c>
      <c r="I285" s="11"/>
      <c r="J285" s="11"/>
    </row>
    <row r="286" spans="1:10" hidden="1" x14ac:dyDescent="0.2">
      <c r="A286" s="11" t="s">
        <v>223</v>
      </c>
      <c r="B286" s="11" t="s">
        <v>381</v>
      </c>
      <c r="C286" s="11" t="s">
        <v>217</v>
      </c>
      <c r="D286" s="6">
        <v>1</v>
      </c>
      <c r="E286" s="11" t="s">
        <v>915</v>
      </c>
      <c r="F286" s="11" t="s">
        <v>901</v>
      </c>
      <c r="G286" s="11" t="s">
        <v>900</v>
      </c>
      <c r="H286" s="11">
        <v>1</v>
      </c>
      <c r="I286" s="11"/>
      <c r="J286" s="11"/>
    </row>
    <row r="287" spans="1:10" hidden="1" x14ac:dyDescent="0.2">
      <c r="A287" s="11" t="s">
        <v>223</v>
      </c>
      <c r="B287" s="11" t="s">
        <v>381</v>
      </c>
      <c r="C287" s="11" t="s">
        <v>218</v>
      </c>
      <c r="D287" s="6">
        <v>1</v>
      </c>
      <c r="E287" s="11" t="s">
        <v>915</v>
      </c>
      <c r="F287" s="11" t="s">
        <v>901</v>
      </c>
      <c r="G287" s="11" t="s">
        <v>900</v>
      </c>
      <c r="H287" s="11">
        <v>1</v>
      </c>
      <c r="I287" s="11"/>
      <c r="J287" s="11"/>
    </row>
    <row r="288" spans="1:10" hidden="1" x14ac:dyDescent="0.2">
      <c r="A288" s="11" t="s">
        <v>223</v>
      </c>
      <c r="B288" s="11" t="s">
        <v>381</v>
      </c>
      <c r="C288" s="11" t="s">
        <v>368</v>
      </c>
      <c r="D288" s="6">
        <v>2</v>
      </c>
      <c r="E288" s="11" t="s">
        <v>915</v>
      </c>
      <c r="F288" s="11" t="s">
        <v>901</v>
      </c>
      <c r="G288" s="11" t="s">
        <v>900</v>
      </c>
      <c r="H288" s="11">
        <v>1</v>
      </c>
      <c r="I288" s="11"/>
      <c r="J288" s="11"/>
    </row>
    <row r="289" spans="1:10" hidden="1" x14ac:dyDescent="0.2">
      <c r="A289" s="11" t="s">
        <v>223</v>
      </c>
      <c r="B289" s="11" t="s">
        <v>381</v>
      </c>
      <c r="C289" s="11" t="s">
        <v>370</v>
      </c>
      <c r="D289" s="6">
        <v>50</v>
      </c>
      <c r="E289" s="11" t="s">
        <v>915</v>
      </c>
      <c r="F289" s="11" t="s">
        <v>901</v>
      </c>
      <c r="G289" s="11" t="s">
        <v>900</v>
      </c>
      <c r="H289" s="11">
        <v>1</v>
      </c>
      <c r="I289" s="11"/>
      <c r="J289" s="11"/>
    </row>
    <row r="290" spans="1:10" hidden="1" x14ac:dyDescent="0.2">
      <c r="A290" s="11" t="s">
        <v>223</v>
      </c>
      <c r="B290" s="11" t="s">
        <v>916</v>
      </c>
      <c r="C290" s="11" t="s">
        <v>917</v>
      </c>
      <c r="D290" s="6">
        <v>1</v>
      </c>
      <c r="E290" s="11" t="s">
        <v>918</v>
      </c>
      <c r="F290" s="11" t="s">
        <v>901</v>
      </c>
      <c r="G290" s="11" t="s">
        <v>900</v>
      </c>
      <c r="H290" s="11">
        <v>1</v>
      </c>
      <c r="I290" s="11"/>
      <c r="J290" s="11"/>
    </row>
    <row r="291" spans="1:10" hidden="1" x14ac:dyDescent="0.2">
      <c r="A291" s="11" t="s">
        <v>223</v>
      </c>
      <c r="B291" s="11" t="s">
        <v>916</v>
      </c>
      <c r="C291" s="11" t="s">
        <v>919</v>
      </c>
      <c r="D291" s="6">
        <v>1</v>
      </c>
      <c r="E291" s="11" t="s">
        <v>918</v>
      </c>
      <c r="F291" s="11" t="s">
        <v>901</v>
      </c>
      <c r="G291" s="11" t="s">
        <v>900</v>
      </c>
      <c r="H291" s="11">
        <v>1</v>
      </c>
      <c r="I291" s="11"/>
      <c r="J291" s="11"/>
    </row>
    <row r="292" spans="1:10" hidden="1" x14ac:dyDescent="0.2">
      <c r="A292" s="11" t="s">
        <v>223</v>
      </c>
      <c r="B292" s="11" t="s">
        <v>916</v>
      </c>
      <c r="C292" s="11" t="s">
        <v>219</v>
      </c>
      <c r="D292" s="6">
        <v>1</v>
      </c>
      <c r="E292" s="11" t="s">
        <v>918</v>
      </c>
      <c r="F292" s="11" t="s">
        <v>901</v>
      </c>
      <c r="G292" s="11" t="s">
        <v>900</v>
      </c>
      <c r="H292" s="11">
        <v>1</v>
      </c>
      <c r="I292" s="11"/>
      <c r="J292" s="11"/>
    </row>
    <row r="293" spans="1:10" hidden="1" x14ac:dyDescent="0.2">
      <c r="A293" s="11" t="s">
        <v>223</v>
      </c>
      <c r="B293" s="11" t="s">
        <v>916</v>
      </c>
      <c r="C293" s="11" t="s">
        <v>217</v>
      </c>
      <c r="D293" s="6">
        <v>1</v>
      </c>
      <c r="E293" s="11" t="s">
        <v>918</v>
      </c>
      <c r="F293" s="11" t="s">
        <v>901</v>
      </c>
      <c r="G293" s="11" t="s">
        <v>900</v>
      </c>
      <c r="H293" s="11">
        <v>1</v>
      </c>
      <c r="I293" s="11"/>
      <c r="J293" s="11"/>
    </row>
    <row r="294" spans="1:10" hidden="1" x14ac:dyDescent="0.2">
      <c r="A294" s="11" t="s">
        <v>223</v>
      </c>
      <c r="B294" s="11" t="s">
        <v>916</v>
      </c>
      <c r="C294" s="11" t="s">
        <v>218</v>
      </c>
      <c r="D294" s="6">
        <v>1</v>
      </c>
      <c r="E294" s="11" t="s">
        <v>918</v>
      </c>
      <c r="F294" s="11" t="s">
        <v>901</v>
      </c>
      <c r="G294" s="11" t="s">
        <v>900</v>
      </c>
      <c r="H294" s="11">
        <v>1</v>
      </c>
      <c r="I294" s="11"/>
      <c r="J294" s="11"/>
    </row>
    <row r="295" spans="1:10" hidden="1" x14ac:dyDescent="0.2">
      <c r="A295" s="11" t="s">
        <v>223</v>
      </c>
      <c r="B295" s="11" t="s">
        <v>916</v>
      </c>
      <c r="C295" s="11" t="s">
        <v>368</v>
      </c>
      <c r="D295" s="6">
        <v>2</v>
      </c>
      <c r="E295" s="11" t="s">
        <v>918</v>
      </c>
      <c r="F295" s="11" t="s">
        <v>901</v>
      </c>
      <c r="G295" s="11" t="s">
        <v>900</v>
      </c>
      <c r="H295" s="11">
        <v>1</v>
      </c>
      <c r="I295" s="11"/>
      <c r="J295" s="11"/>
    </row>
    <row r="296" spans="1:10" hidden="1" x14ac:dyDescent="0.2">
      <c r="A296" s="11" t="s">
        <v>223</v>
      </c>
      <c r="B296" s="11" t="s">
        <v>916</v>
      </c>
      <c r="C296" s="11" t="s">
        <v>370</v>
      </c>
      <c r="D296" s="6">
        <v>50</v>
      </c>
      <c r="E296" s="11" t="s">
        <v>918</v>
      </c>
      <c r="F296" s="11" t="s">
        <v>901</v>
      </c>
      <c r="G296" s="11" t="s">
        <v>900</v>
      </c>
      <c r="H296" s="11">
        <v>1</v>
      </c>
      <c r="I296" s="11"/>
      <c r="J296" s="11"/>
    </row>
    <row r="297" spans="1:10" hidden="1" x14ac:dyDescent="0.2">
      <c r="A297" s="11" t="s">
        <v>223</v>
      </c>
      <c r="B297" s="11" t="s">
        <v>920</v>
      </c>
      <c r="C297" s="11" t="s">
        <v>921</v>
      </c>
      <c r="D297" s="6">
        <v>1</v>
      </c>
      <c r="E297" s="11" t="s">
        <v>922</v>
      </c>
      <c r="F297" s="11" t="s">
        <v>901</v>
      </c>
      <c r="G297" s="11" t="s">
        <v>900</v>
      </c>
      <c r="H297" s="11">
        <v>1</v>
      </c>
      <c r="I297" s="11"/>
      <c r="J297" s="11"/>
    </row>
    <row r="298" spans="1:10" hidden="1" x14ac:dyDescent="0.2">
      <c r="A298" s="11" t="s">
        <v>223</v>
      </c>
      <c r="B298" s="11" t="s">
        <v>920</v>
      </c>
      <c r="C298" s="11" t="s">
        <v>923</v>
      </c>
      <c r="D298" s="6">
        <v>1</v>
      </c>
      <c r="E298" s="11" t="s">
        <v>922</v>
      </c>
      <c r="F298" s="11" t="s">
        <v>901</v>
      </c>
      <c r="G298" s="11" t="s">
        <v>900</v>
      </c>
      <c r="H298" s="11">
        <v>1</v>
      </c>
      <c r="I298" s="11"/>
      <c r="J298" s="11"/>
    </row>
    <row r="299" spans="1:10" hidden="1" x14ac:dyDescent="0.2">
      <c r="A299" s="11" t="s">
        <v>223</v>
      </c>
      <c r="B299" s="11" t="s">
        <v>920</v>
      </c>
      <c r="C299" s="11" t="s">
        <v>924</v>
      </c>
      <c r="D299" s="6">
        <v>1</v>
      </c>
      <c r="E299" s="11" t="s">
        <v>922</v>
      </c>
      <c r="F299" s="11" t="s">
        <v>901</v>
      </c>
      <c r="G299" s="11" t="s">
        <v>900</v>
      </c>
      <c r="H299" s="11">
        <v>1</v>
      </c>
      <c r="I299" s="11"/>
      <c r="J299" s="11"/>
    </row>
    <row r="300" spans="1:10" hidden="1" x14ac:dyDescent="0.2">
      <c r="A300" s="11" t="s">
        <v>223</v>
      </c>
      <c r="B300" s="11" t="s">
        <v>920</v>
      </c>
      <c r="C300" s="11" t="s">
        <v>217</v>
      </c>
      <c r="D300" s="6">
        <v>1</v>
      </c>
      <c r="E300" s="11" t="s">
        <v>922</v>
      </c>
      <c r="F300" s="11" t="s">
        <v>901</v>
      </c>
      <c r="G300" s="11" t="s">
        <v>900</v>
      </c>
      <c r="H300" s="11">
        <v>1</v>
      </c>
      <c r="I300" s="11"/>
      <c r="J300" s="11"/>
    </row>
    <row r="301" spans="1:10" hidden="1" x14ac:dyDescent="0.2">
      <c r="A301" s="11" t="s">
        <v>223</v>
      </c>
      <c r="B301" s="11" t="s">
        <v>920</v>
      </c>
      <c r="C301" s="11" t="s">
        <v>218</v>
      </c>
      <c r="D301" s="6">
        <v>1</v>
      </c>
      <c r="E301" s="11" t="s">
        <v>922</v>
      </c>
      <c r="F301" s="11" t="s">
        <v>901</v>
      </c>
      <c r="G301" s="11" t="s">
        <v>900</v>
      </c>
      <c r="H301" s="11">
        <v>1</v>
      </c>
      <c r="I301" s="11"/>
      <c r="J301" s="11"/>
    </row>
    <row r="302" spans="1:10" hidden="1" x14ac:dyDescent="0.2">
      <c r="A302" s="11" t="s">
        <v>223</v>
      </c>
      <c r="B302" s="11" t="s">
        <v>920</v>
      </c>
      <c r="C302" s="11" t="s">
        <v>368</v>
      </c>
      <c r="D302" s="6">
        <v>2</v>
      </c>
      <c r="E302" s="11" t="s">
        <v>922</v>
      </c>
      <c r="F302" s="11" t="s">
        <v>901</v>
      </c>
      <c r="G302" s="11" t="s">
        <v>900</v>
      </c>
      <c r="H302" s="11">
        <v>1</v>
      </c>
      <c r="I302" s="11"/>
      <c r="J302" s="11"/>
    </row>
    <row r="303" spans="1:10" hidden="1" x14ac:dyDescent="0.2">
      <c r="A303" s="11" t="s">
        <v>223</v>
      </c>
      <c r="B303" s="11" t="s">
        <v>920</v>
      </c>
      <c r="C303" s="11" t="s">
        <v>370</v>
      </c>
      <c r="D303" s="6">
        <v>50</v>
      </c>
      <c r="E303" s="11" t="s">
        <v>922</v>
      </c>
      <c r="F303" s="11" t="s">
        <v>901</v>
      </c>
      <c r="G303" s="11" t="s">
        <v>900</v>
      </c>
      <c r="H303" s="11">
        <v>1</v>
      </c>
      <c r="I303" s="11"/>
      <c r="J303" s="11"/>
    </row>
    <row r="304" spans="1:10" hidden="1" x14ac:dyDescent="0.2">
      <c r="A304" s="11" t="s">
        <v>620</v>
      </c>
      <c r="B304" s="11" t="s">
        <v>265</v>
      </c>
      <c r="C304" s="11" t="s">
        <v>162</v>
      </c>
      <c r="D304" s="6">
        <v>1</v>
      </c>
      <c r="E304" s="11" t="s">
        <v>513</v>
      </c>
      <c r="F304" s="11" t="s">
        <v>901</v>
      </c>
      <c r="G304" s="11" t="s">
        <v>900</v>
      </c>
      <c r="H304" s="11">
        <v>1</v>
      </c>
      <c r="I304" s="11"/>
      <c r="J304" s="11"/>
    </row>
    <row r="305" spans="1:10" hidden="1" x14ac:dyDescent="0.2">
      <c r="A305" s="11" t="s">
        <v>620</v>
      </c>
      <c r="B305" s="11" t="s">
        <v>265</v>
      </c>
      <c r="C305" s="11" t="s">
        <v>161</v>
      </c>
      <c r="D305" s="6">
        <v>1</v>
      </c>
      <c r="E305" s="11" t="s">
        <v>513</v>
      </c>
      <c r="F305" s="11" t="s">
        <v>901</v>
      </c>
      <c r="G305" s="11" t="s">
        <v>900</v>
      </c>
      <c r="H305" s="11">
        <v>1</v>
      </c>
      <c r="I305" s="11"/>
      <c r="J305" s="11"/>
    </row>
    <row r="306" spans="1:10" hidden="1" x14ac:dyDescent="0.2">
      <c r="A306" s="11" t="s">
        <v>620</v>
      </c>
      <c r="B306" s="11" t="s">
        <v>265</v>
      </c>
      <c r="C306" s="11" t="s">
        <v>154</v>
      </c>
      <c r="D306" s="6">
        <v>1</v>
      </c>
      <c r="E306" s="11" t="s">
        <v>513</v>
      </c>
      <c r="F306" s="11" t="s">
        <v>901</v>
      </c>
      <c r="G306" s="11" t="s">
        <v>900</v>
      </c>
      <c r="H306" s="11">
        <v>1</v>
      </c>
      <c r="I306" s="11"/>
      <c r="J306" s="11"/>
    </row>
    <row r="307" spans="1:10" hidden="1" x14ac:dyDescent="0.2">
      <c r="A307" s="11" t="s">
        <v>620</v>
      </c>
      <c r="B307" s="11" t="s">
        <v>265</v>
      </c>
      <c r="C307" s="11" t="s">
        <v>156</v>
      </c>
      <c r="D307" s="6">
        <v>1</v>
      </c>
      <c r="E307" s="11" t="s">
        <v>513</v>
      </c>
      <c r="F307" s="11" t="s">
        <v>901</v>
      </c>
      <c r="G307" s="11" t="s">
        <v>900</v>
      </c>
      <c r="H307" s="11">
        <v>1</v>
      </c>
      <c r="I307" s="11"/>
      <c r="J307" s="11"/>
    </row>
    <row r="308" spans="1:10" hidden="1" x14ac:dyDescent="0.2">
      <c r="A308" s="11" t="s">
        <v>620</v>
      </c>
      <c r="B308" s="11" t="s">
        <v>265</v>
      </c>
      <c r="C308" s="11" t="s">
        <v>158</v>
      </c>
      <c r="D308" s="6">
        <v>1</v>
      </c>
      <c r="E308" s="11" t="s">
        <v>513</v>
      </c>
      <c r="F308" s="11" t="s">
        <v>901</v>
      </c>
      <c r="G308" s="11" t="s">
        <v>900</v>
      </c>
      <c r="H308" s="11">
        <v>1</v>
      </c>
      <c r="I308" s="11"/>
      <c r="J308" s="11"/>
    </row>
    <row r="309" spans="1:10" hidden="1" x14ac:dyDescent="0.2">
      <c r="A309" s="11" t="s">
        <v>620</v>
      </c>
      <c r="B309" s="11" t="s">
        <v>265</v>
      </c>
      <c r="C309" s="11" t="s">
        <v>183</v>
      </c>
      <c r="D309" s="6">
        <v>2</v>
      </c>
      <c r="E309" s="11" t="s">
        <v>513</v>
      </c>
      <c r="F309" s="11" t="s">
        <v>901</v>
      </c>
      <c r="G309" s="11" t="s">
        <v>900</v>
      </c>
      <c r="H309" s="11">
        <v>1</v>
      </c>
      <c r="I309" s="11"/>
      <c r="J309" s="11"/>
    </row>
    <row r="310" spans="1:10" hidden="1" x14ac:dyDescent="0.2">
      <c r="A310" s="11" t="s">
        <v>620</v>
      </c>
      <c r="B310" s="11" t="s">
        <v>266</v>
      </c>
      <c r="C310" s="11" t="s">
        <v>163</v>
      </c>
      <c r="D310" s="6">
        <v>1</v>
      </c>
      <c r="E310" s="11" t="s">
        <v>514</v>
      </c>
      <c r="F310" s="11" t="s">
        <v>901</v>
      </c>
      <c r="G310" s="11" t="s">
        <v>900</v>
      </c>
      <c r="H310" s="11">
        <v>1</v>
      </c>
      <c r="I310" s="11"/>
      <c r="J310" s="11"/>
    </row>
    <row r="311" spans="1:10" hidden="1" x14ac:dyDescent="0.2">
      <c r="A311" s="11" t="s">
        <v>620</v>
      </c>
      <c r="B311" s="11" t="s">
        <v>266</v>
      </c>
      <c r="C311" s="11" t="s">
        <v>161</v>
      </c>
      <c r="D311" s="6">
        <v>1</v>
      </c>
      <c r="E311" s="11" t="s">
        <v>514</v>
      </c>
      <c r="F311" s="11" t="s">
        <v>901</v>
      </c>
      <c r="G311" s="11" t="s">
        <v>900</v>
      </c>
      <c r="H311" s="11">
        <v>1</v>
      </c>
      <c r="I311" s="11"/>
      <c r="J311" s="11"/>
    </row>
    <row r="312" spans="1:10" hidden="1" x14ac:dyDescent="0.2">
      <c r="A312" s="11" t="s">
        <v>620</v>
      </c>
      <c r="B312" s="11" t="s">
        <v>266</v>
      </c>
      <c r="C312" s="11" t="s">
        <v>154</v>
      </c>
      <c r="D312" s="6">
        <v>1</v>
      </c>
      <c r="E312" s="11" t="s">
        <v>514</v>
      </c>
      <c r="F312" s="11" t="s">
        <v>901</v>
      </c>
      <c r="G312" s="11" t="s">
        <v>900</v>
      </c>
      <c r="H312" s="11">
        <v>1</v>
      </c>
      <c r="I312" s="11"/>
      <c r="J312" s="11"/>
    </row>
    <row r="313" spans="1:10" hidden="1" x14ac:dyDescent="0.2">
      <c r="A313" s="11" t="s">
        <v>620</v>
      </c>
      <c r="B313" s="11" t="s">
        <v>266</v>
      </c>
      <c r="C313" s="11" t="s">
        <v>156</v>
      </c>
      <c r="D313" s="6">
        <v>1</v>
      </c>
      <c r="E313" s="11" t="s">
        <v>514</v>
      </c>
      <c r="F313" s="11" t="s">
        <v>901</v>
      </c>
      <c r="G313" s="11" t="s">
        <v>900</v>
      </c>
      <c r="H313" s="11">
        <v>1</v>
      </c>
      <c r="I313" s="11"/>
      <c r="J313" s="11"/>
    </row>
    <row r="314" spans="1:10" hidden="1" x14ac:dyDescent="0.2">
      <c r="A314" s="11" t="s">
        <v>620</v>
      </c>
      <c r="B314" s="11" t="s">
        <v>266</v>
      </c>
      <c r="C314" s="11" t="s">
        <v>158</v>
      </c>
      <c r="D314" s="6">
        <v>1</v>
      </c>
      <c r="E314" s="11" t="s">
        <v>514</v>
      </c>
      <c r="F314" s="11" t="s">
        <v>901</v>
      </c>
      <c r="G314" s="11" t="s">
        <v>900</v>
      </c>
      <c r="H314" s="11">
        <v>1</v>
      </c>
      <c r="I314" s="11"/>
      <c r="J314" s="11"/>
    </row>
    <row r="315" spans="1:10" hidden="1" x14ac:dyDescent="0.2">
      <c r="A315" s="11" t="s">
        <v>620</v>
      </c>
      <c r="B315" s="11" t="s">
        <v>266</v>
      </c>
      <c r="C315" s="11" t="s">
        <v>183</v>
      </c>
      <c r="D315" s="6">
        <v>1</v>
      </c>
      <c r="E315" s="11" t="s">
        <v>514</v>
      </c>
      <c r="F315" s="11" t="s">
        <v>901</v>
      </c>
      <c r="G315" s="11" t="s">
        <v>900</v>
      </c>
      <c r="H315" s="11">
        <v>1</v>
      </c>
      <c r="I315" s="11"/>
      <c r="J315" s="11"/>
    </row>
    <row r="316" spans="1:10" hidden="1" x14ac:dyDescent="0.2">
      <c r="A316" s="11" t="s">
        <v>620</v>
      </c>
      <c r="B316" s="11" t="s">
        <v>267</v>
      </c>
      <c r="C316" s="11" t="s">
        <v>164</v>
      </c>
      <c r="D316" s="6">
        <v>1</v>
      </c>
      <c r="E316" s="11" t="s">
        <v>515</v>
      </c>
      <c r="F316" s="11" t="s">
        <v>901</v>
      </c>
      <c r="G316" s="11" t="s">
        <v>900</v>
      </c>
      <c r="H316" s="11">
        <v>1</v>
      </c>
      <c r="I316" s="11"/>
      <c r="J316" s="11"/>
    </row>
    <row r="317" spans="1:10" hidden="1" x14ac:dyDescent="0.2">
      <c r="A317" s="11" t="s">
        <v>620</v>
      </c>
      <c r="B317" s="11" t="s">
        <v>267</v>
      </c>
      <c r="C317" s="11" t="s">
        <v>161</v>
      </c>
      <c r="D317" s="6">
        <v>1</v>
      </c>
      <c r="E317" s="11" t="s">
        <v>515</v>
      </c>
      <c r="F317" s="11" t="s">
        <v>901</v>
      </c>
      <c r="G317" s="11" t="s">
        <v>900</v>
      </c>
      <c r="H317" s="11">
        <v>1</v>
      </c>
      <c r="I317" s="11"/>
      <c r="J317" s="11"/>
    </row>
    <row r="318" spans="1:10" hidden="1" x14ac:dyDescent="0.2">
      <c r="A318" s="11" t="s">
        <v>620</v>
      </c>
      <c r="B318" s="11" t="s">
        <v>267</v>
      </c>
      <c r="C318" s="11" t="s">
        <v>154</v>
      </c>
      <c r="D318" s="6">
        <v>1</v>
      </c>
      <c r="E318" s="11" t="s">
        <v>515</v>
      </c>
      <c r="F318" s="11" t="s">
        <v>901</v>
      </c>
      <c r="G318" s="11" t="s">
        <v>900</v>
      </c>
      <c r="H318" s="11">
        <v>1</v>
      </c>
      <c r="I318" s="11"/>
      <c r="J318" s="11"/>
    </row>
    <row r="319" spans="1:10" hidden="1" x14ac:dyDescent="0.2">
      <c r="A319" s="11" t="s">
        <v>620</v>
      </c>
      <c r="B319" s="11" t="s">
        <v>267</v>
      </c>
      <c r="C319" s="11" t="s">
        <v>156</v>
      </c>
      <c r="D319" s="6">
        <v>1</v>
      </c>
      <c r="E319" s="11" t="s">
        <v>515</v>
      </c>
      <c r="F319" s="11" t="s">
        <v>901</v>
      </c>
      <c r="G319" s="11" t="s">
        <v>900</v>
      </c>
      <c r="H319" s="11">
        <v>1</v>
      </c>
      <c r="I319" s="11"/>
      <c r="J319" s="11"/>
    </row>
    <row r="320" spans="1:10" hidden="1" x14ac:dyDescent="0.2">
      <c r="A320" s="11" t="s">
        <v>620</v>
      </c>
      <c r="B320" s="11" t="s">
        <v>267</v>
      </c>
      <c r="C320" s="11" t="s">
        <v>158</v>
      </c>
      <c r="D320" s="6">
        <v>1</v>
      </c>
      <c r="E320" s="11" t="s">
        <v>515</v>
      </c>
      <c r="F320" s="11" t="s">
        <v>901</v>
      </c>
      <c r="G320" s="11" t="s">
        <v>900</v>
      </c>
      <c r="H320" s="11">
        <v>1</v>
      </c>
      <c r="I320" s="11"/>
      <c r="J320" s="11"/>
    </row>
    <row r="321" spans="1:10" hidden="1" x14ac:dyDescent="0.2">
      <c r="A321" s="11" t="s">
        <v>620</v>
      </c>
      <c r="B321" s="11" t="s">
        <v>267</v>
      </c>
      <c r="C321" s="11" t="s">
        <v>183</v>
      </c>
      <c r="D321" s="6">
        <v>1</v>
      </c>
      <c r="E321" s="11" t="s">
        <v>515</v>
      </c>
      <c r="F321" s="11" t="s">
        <v>901</v>
      </c>
      <c r="G321" s="11" t="s">
        <v>900</v>
      </c>
      <c r="H321" s="11">
        <v>1</v>
      </c>
      <c r="I321" s="11"/>
      <c r="J321" s="11"/>
    </row>
    <row r="322" spans="1:10" hidden="1" x14ac:dyDescent="0.2">
      <c r="A322" s="11" t="s">
        <v>620</v>
      </c>
      <c r="B322" s="11" t="s">
        <v>925</v>
      </c>
      <c r="C322" s="11" t="s">
        <v>168</v>
      </c>
      <c r="D322" s="6">
        <v>1</v>
      </c>
      <c r="E322" s="11" t="s">
        <v>516</v>
      </c>
      <c r="F322" s="11" t="s">
        <v>901</v>
      </c>
      <c r="G322" s="11" t="s">
        <v>900</v>
      </c>
      <c r="H322" s="11">
        <v>1</v>
      </c>
      <c r="I322" s="11"/>
      <c r="J322" s="11"/>
    </row>
    <row r="323" spans="1:10" hidden="1" x14ac:dyDescent="0.2">
      <c r="A323" s="11" t="s">
        <v>620</v>
      </c>
      <c r="B323" s="11" t="s">
        <v>925</v>
      </c>
      <c r="C323" s="11" t="s">
        <v>167</v>
      </c>
      <c r="D323" s="6">
        <v>1</v>
      </c>
      <c r="E323" s="11" t="s">
        <v>516</v>
      </c>
      <c r="F323" s="11" t="s">
        <v>901</v>
      </c>
      <c r="G323" s="11" t="s">
        <v>900</v>
      </c>
      <c r="H323" s="11">
        <v>1</v>
      </c>
      <c r="I323" s="11"/>
      <c r="J323" s="11"/>
    </row>
    <row r="324" spans="1:10" hidden="1" x14ac:dyDescent="0.2">
      <c r="A324" s="11" t="s">
        <v>620</v>
      </c>
      <c r="B324" s="11" t="s">
        <v>925</v>
      </c>
      <c r="C324" s="11" t="s">
        <v>154</v>
      </c>
      <c r="D324" s="6">
        <v>2</v>
      </c>
      <c r="E324" s="11" t="s">
        <v>516</v>
      </c>
      <c r="F324" s="11" t="s">
        <v>901</v>
      </c>
      <c r="G324" s="11" t="s">
        <v>900</v>
      </c>
      <c r="H324" s="11">
        <v>1</v>
      </c>
      <c r="I324" s="11"/>
      <c r="J324" s="11"/>
    </row>
    <row r="325" spans="1:10" hidden="1" x14ac:dyDescent="0.2">
      <c r="A325" s="11" t="s">
        <v>620</v>
      </c>
      <c r="B325" s="11" t="s">
        <v>925</v>
      </c>
      <c r="C325" s="11" t="s">
        <v>156</v>
      </c>
      <c r="D325" s="6">
        <v>2</v>
      </c>
      <c r="E325" s="11" t="s">
        <v>516</v>
      </c>
      <c r="F325" s="11" t="s">
        <v>901</v>
      </c>
      <c r="G325" s="11" t="s">
        <v>900</v>
      </c>
      <c r="H325" s="11">
        <v>1</v>
      </c>
      <c r="I325" s="11"/>
      <c r="J325" s="11"/>
    </row>
    <row r="326" spans="1:10" hidden="1" x14ac:dyDescent="0.2">
      <c r="A326" s="11" t="s">
        <v>620</v>
      </c>
      <c r="B326" s="11" t="s">
        <v>925</v>
      </c>
      <c r="C326" s="11" t="s">
        <v>158</v>
      </c>
      <c r="D326" s="6">
        <v>1</v>
      </c>
      <c r="E326" s="11" t="s">
        <v>516</v>
      </c>
      <c r="F326" s="11" t="s">
        <v>901</v>
      </c>
      <c r="G326" s="11" t="s">
        <v>900</v>
      </c>
      <c r="H326" s="11">
        <v>1</v>
      </c>
      <c r="I326" s="11"/>
      <c r="J326" s="11"/>
    </row>
    <row r="327" spans="1:10" hidden="1" x14ac:dyDescent="0.2">
      <c r="A327" s="11" t="s">
        <v>620</v>
      </c>
      <c r="B327" s="11" t="s">
        <v>925</v>
      </c>
      <c r="C327" s="11" t="s">
        <v>183</v>
      </c>
      <c r="D327" s="6">
        <v>2</v>
      </c>
      <c r="E327" s="11" t="s">
        <v>516</v>
      </c>
      <c r="F327" s="11" t="s">
        <v>901</v>
      </c>
      <c r="G327" s="11" t="s">
        <v>900</v>
      </c>
      <c r="H327" s="11">
        <v>1</v>
      </c>
      <c r="I327" s="11"/>
      <c r="J327" s="11"/>
    </row>
    <row r="328" spans="1:10" hidden="1" x14ac:dyDescent="0.2">
      <c r="A328" s="11" t="s">
        <v>620</v>
      </c>
      <c r="B328" s="11" t="s">
        <v>926</v>
      </c>
      <c r="C328" s="11" t="s">
        <v>169</v>
      </c>
      <c r="D328" s="6">
        <v>1</v>
      </c>
      <c r="E328" s="11" t="s">
        <v>517</v>
      </c>
      <c r="F328" s="11" t="s">
        <v>901</v>
      </c>
      <c r="G328" s="11" t="s">
        <v>900</v>
      </c>
      <c r="H328" s="11">
        <v>1</v>
      </c>
      <c r="I328" s="11"/>
      <c r="J328" s="11"/>
    </row>
    <row r="329" spans="1:10" hidden="1" x14ac:dyDescent="0.2">
      <c r="A329" s="11" t="s">
        <v>620</v>
      </c>
      <c r="B329" s="11" t="s">
        <v>926</v>
      </c>
      <c r="C329" s="11" t="s">
        <v>167</v>
      </c>
      <c r="D329" s="6">
        <v>1</v>
      </c>
      <c r="E329" s="11" t="s">
        <v>517</v>
      </c>
      <c r="F329" s="11" t="s">
        <v>901</v>
      </c>
      <c r="G329" s="11" t="s">
        <v>900</v>
      </c>
      <c r="H329" s="11">
        <v>1</v>
      </c>
      <c r="I329" s="11"/>
      <c r="J329" s="11"/>
    </row>
    <row r="330" spans="1:10" hidden="1" x14ac:dyDescent="0.2">
      <c r="A330" s="11" t="s">
        <v>620</v>
      </c>
      <c r="B330" s="11" t="s">
        <v>926</v>
      </c>
      <c r="C330" s="11" t="s">
        <v>154</v>
      </c>
      <c r="D330" s="6">
        <v>2</v>
      </c>
      <c r="E330" s="11" t="s">
        <v>517</v>
      </c>
      <c r="F330" s="11" t="s">
        <v>901</v>
      </c>
      <c r="G330" s="11" t="s">
        <v>900</v>
      </c>
      <c r="H330" s="11">
        <v>1</v>
      </c>
      <c r="I330" s="11"/>
      <c r="J330" s="11"/>
    </row>
    <row r="331" spans="1:10" hidden="1" x14ac:dyDescent="0.2">
      <c r="A331" s="11" t="s">
        <v>620</v>
      </c>
      <c r="B331" s="11" t="s">
        <v>926</v>
      </c>
      <c r="C331" s="11" t="s">
        <v>156</v>
      </c>
      <c r="D331" s="6">
        <v>2</v>
      </c>
      <c r="E331" s="11" t="s">
        <v>517</v>
      </c>
      <c r="F331" s="11" t="s">
        <v>901</v>
      </c>
      <c r="G331" s="11" t="s">
        <v>900</v>
      </c>
      <c r="H331" s="11">
        <v>1</v>
      </c>
      <c r="I331" s="11"/>
      <c r="J331" s="11"/>
    </row>
    <row r="332" spans="1:10" hidden="1" x14ac:dyDescent="0.2">
      <c r="A332" s="11" t="s">
        <v>620</v>
      </c>
      <c r="B332" s="11" t="s">
        <v>926</v>
      </c>
      <c r="C332" s="11" t="s">
        <v>158</v>
      </c>
      <c r="D332" s="6">
        <v>1</v>
      </c>
      <c r="E332" s="11" t="s">
        <v>517</v>
      </c>
      <c r="F332" s="11" t="s">
        <v>901</v>
      </c>
      <c r="G332" s="11" t="s">
        <v>900</v>
      </c>
      <c r="H332" s="11">
        <v>1</v>
      </c>
      <c r="I332" s="11"/>
      <c r="J332" s="11"/>
    </row>
    <row r="333" spans="1:10" hidden="1" x14ac:dyDescent="0.2">
      <c r="A333" s="11" t="s">
        <v>620</v>
      </c>
      <c r="B333" s="11" t="s">
        <v>926</v>
      </c>
      <c r="C333" s="11" t="s">
        <v>183</v>
      </c>
      <c r="D333" s="6">
        <v>1</v>
      </c>
      <c r="E333" s="11" t="s">
        <v>517</v>
      </c>
      <c r="F333" s="11" t="s">
        <v>901</v>
      </c>
      <c r="G333" s="11" t="s">
        <v>900</v>
      </c>
      <c r="H333" s="11">
        <v>1</v>
      </c>
      <c r="I333" s="11"/>
      <c r="J333" s="11"/>
    </row>
    <row r="334" spans="1:10" hidden="1" x14ac:dyDescent="0.2">
      <c r="A334" s="11" t="s">
        <v>620</v>
      </c>
      <c r="B334" s="11" t="s">
        <v>927</v>
      </c>
      <c r="C334" s="11" t="s">
        <v>170</v>
      </c>
      <c r="D334" s="6">
        <v>1</v>
      </c>
      <c r="E334" s="11" t="s">
        <v>518</v>
      </c>
      <c r="F334" s="11" t="s">
        <v>901</v>
      </c>
      <c r="G334" s="11" t="s">
        <v>900</v>
      </c>
      <c r="H334" s="11">
        <v>1</v>
      </c>
      <c r="I334" s="11"/>
      <c r="J334" s="11"/>
    </row>
    <row r="335" spans="1:10" hidden="1" x14ac:dyDescent="0.2">
      <c r="A335" s="11" t="s">
        <v>620</v>
      </c>
      <c r="B335" s="11" t="s">
        <v>927</v>
      </c>
      <c r="C335" s="11" t="s">
        <v>167</v>
      </c>
      <c r="D335" s="6">
        <v>1</v>
      </c>
      <c r="E335" s="11" t="s">
        <v>518</v>
      </c>
      <c r="F335" s="11" t="s">
        <v>901</v>
      </c>
      <c r="G335" s="11" t="s">
        <v>900</v>
      </c>
      <c r="H335" s="11">
        <v>1</v>
      </c>
      <c r="I335" s="11"/>
      <c r="J335" s="11"/>
    </row>
    <row r="336" spans="1:10" hidden="1" x14ac:dyDescent="0.2">
      <c r="A336" s="11" t="s">
        <v>620</v>
      </c>
      <c r="B336" s="11" t="s">
        <v>927</v>
      </c>
      <c r="C336" s="11" t="s">
        <v>154</v>
      </c>
      <c r="D336" s="6">
        <v>2</v>
      </c>
      <c r="E336" s="11" t="s">
        <v>518</v>
      </c>
      <c r="F336" s="11" t="s">
        <v>901</v>
      </c>
      <c r="G336" s="11" t="s">
        <v>900</v>
      </c>
      <c r="H336" s="11">
        <v>1</v>
      </c>
      <c r="I336" s="11"/>
      <c r="J336" s="11"/>
    </row>
    <row r="337" spans="1:10" hidden="1" x14ac:dyDescent="0.2">
      <c r="A337" s="11" t="s">
        <v>620</v>
      </c>
      <c r="B337" s="11" t="s">
        <v>927</v>
      </c>
      <c r="C337" s="11" t="s">
        <v>156</v>
      </c>
      <c r="D337" s="6">
        <v>2</v>
      </c>
      <c r="E337" s="11" t="s">
        <v>518</v>
      </c>
      <c r="F337" s="11" t="s">
        <v>901</v>
      </c>
      <c r="G337" s="11" t="s">
        <v>900</v>
      </c>
      <c r="H337" s="11">
        <v>1</v>
      </c>
      <c r="I337" s="11"/>
      <c r="J337" s="11"/>
    </row>
    <row r="338" spans="1:10" hidden="1" x14ac:dyDescent="0.2">
      <c r="A338" s="11" t="s">
        <v>620</v>
      </c>
      <c r="B338" s="11" t="s">
        <v>927</v>
      </c>
      <c r="C338" s="11" t="s">
        <v>158</v>
      </c>
      <c r="D338" s="6">
        <v>1</v>
      </c>
      <c r="E338" s="11" t="s">
        <v>518</v>
      </c>
      <c r="F338" s="11" t="s">
        <v>901</v>
      </c>
      <c r="G338" s="11" t="s">
        <v>900</v>
      </c>
      <c r="H338" s="11">
        <v>1</v>
      </c>
      <c r="I338" s="11"/>
      <c r="J338" s="11"/>
    </row>
    <row r="339" spans="1:10" hidden="1" x14ac:dyDescent="0.2">
      <c r="A339" s="11" t="s">
        <v>620</v>
      </c>
      <c r="B339" s="11" t="s">
        <v>927</v>
      </c>
      <c r="C339" s="11" t="s">
        <v>183</v>
      </c>
      <c r="D339" s="6">
        <v>1</v>
      </c>
      <c r="E339" s="11" t="s">
        <v>518</v>
      </c>
      <c r="F339" s="11" t="s">
        <v>901</v>
      </c>
      <c r="G339" s="11" t="s">
        <v>900</v>
      </c>
      <c r="H339" s="11">
        <v>1</v>
      </c>
      <c r="I339" s="11"/>
      <c r="J339" s="11"/>
    </row>
    <row r="340" spans="1:10" hidden="1" x14ac:dyDescent="0.2">
      <c r="A340" s="11" t="s">
        <v>620</v>
      </c>
      <c r="B340" s="11" t="s">
        <v>928</v>
      </c>
      <c r="C340" s="11" t="s">
        <v>929</v>
      </c>
      <c r="D340" s="6">
        <v>1</v>
      </c>
      <c r="E340" s="11" t="s">
        <v>930</v>
      </c>
      <c r="F340" s="11" t="s">
        <v>901</v>
      </c>
      <c r="G340" s="11" t="s">
        <v>900</v>
      </c>
      <c r="H340" s="11">
        <v>1</v>
      </c>
      <c r="I340" s="11"/>
      <c r="J340" s="11"/>
    </row>
    <row r="341" spans="1:10" hidden="1" x14ac:dyDescent="0.2">
      <c r="A341" s="11" t="s">
        <v>620</v>
      </c>
      <c r="B341" s="11" t="s">
        <v>928</v>
      </c>
      <c r="C341" s="11" t="s">
        <v>931</v>
      </c>
      <c r="D341" s="6">
        <v>1</v>
      </c>
      <c r="E341" s="11" t="s">
        <v>930</v>
      </c>
      <c r="F341" s="11" t="s">
        <v>901</v>
      </c>
      <c r="G341" s="11" t="s">
        <v>900</v>
      </c>
      <c r="H341" s="11">
        <v>1</v>
      </c>
      <c r="I341" s="11"/>
      <c r="J341" s="11"/>
    </row>
    <row r="342" spans="1:10" hidden="1" x14ac:dyDescent="0.2">
      <c r="A342" s="11" t="s">
        <v>620</v>
      </c>
      <c r="B342" s="11" t="s">
        <v>928</v>
      </c>
      <c r="C342" s="11" t="s">
        <v>154</v>
      </c>
      <c r="D342" s="6">
        <v>2</v>
      </c>
      <c r="E342" s="11" t="s">
        <v>930</v>
      </c>
      <c r="F342" s="11" t="s">
        <v>901</v>
      </c>
      <c r="G342" s="11" t="s">
        <v>900</v>
      </c>
      <c r="H342" s="11">
        <v>1</v>
      </c>
      <c r="I342" s="11"/>
      <c r="J342" s="11"/>
    </row>
    <row r="343" spans="1:10" hidden="1" x14ac:dyDescent="0.2">
      <c r="A343" s="11" t="s">
        <v>620</v>
      </c>
      <c r="B343" s="11" t="s">
        <v>928</v>
      </c>
      <c r="C343" s="11" t="s">
        <v>156</v>
      </c>
      <c r="D343" s="6">
        <v>2</v>
      </c>
      <c r="E343" s="11" t="s">
        <v>930</v>
      </c>
      <c r="F343" s="11" t="s">
        <v>901</v>
      </c>
      <c r="G343" s="11" t="s">
        <v>900</v>
      </c>
      <c r="H343" s="11">
        <v>1</v>
      </c>
      <c r="I343" s="11"/>
      <c r="J343" s="11"/>
    </row>
    <row r="344" spans="1:10" hidden="1" x14ac:dyDescent="0.2">
      <c r="A344" s="11" t="s">
        <v>620</v>
      </c>
      <c r="B344" s="11" t="s">
        <v>928</v>
      </c>
      <c r="C344" s="11" t="s">
        <v>158</v>
      </c>
      <c r="D344" s="6">
        <v>1</v>
      </c>
      <c r="E344" s="11" t="s">
        <v>930</v>
      </c>
      <c r="F344" s="11" t="s">
        <v>901</v>
      </c>
      <c r="G344" s="11" t="s">
        <v>900</v>
      </c>
      <c r="H344" s="11">
        <v>1</v>
      </c>
      <c r="I344" s="11"/>
      <c r="J344" s="11"/>
    </row>
    <row r="345" spans="1:10" hidden="1" x14ac:dyDescent="0.2">
      <c r="A345" s="11" t="s">
        <v>620</v>
      </c>
      <c r="B345" s="11" t="s">
        <v>928</v>
      </c>
      <c r="C345" s="11" t="s">
        <v>183</v>
      </c>
      <c r="D345" s="6">
        <v>1</v>
      </c>
      <c r="E345" s="11" t="s">
        <v>930</v>
      </c>
      <c r="F345" s="11" t="s">
        <v>901</v>
      </c>
      <c r="G345" s="11" t="s">
        <v>900</v>
      </c>
      <c r="H345" s="11">
        <v>1</v>
      </c>
      <c r="I345" s="11"/>
      <c r="J345" s="11"/>
    </row>
    <row r="346" spans="1:10" hidden="1" x14ac:dyDescent="0.2">
      <c r="A346" s="11" t="s">
        <v>620</v>
      </c>
      <c r="B346" s="11" t="s">
        <v>932</v>
      </c>
      <c r="C346" s="11" t="s">
        <v>933</v>
      </c>
      <c r="D346" s="6">
        <v>1</v>
      </c>
      <c r="E346" s="11" t="s">
        <v>934</v>
      </c>
      <c r="F346" s="11" t="s">
        <v>901</v>
      </c>
      <c r="G346" s="11" t="s">
        <v>900</v>
      </c>
      <c r="H346" s="11">
        <v>1</v>
      </c>
      <c r="I346" s="11"/>
      <c r="J346" s="11"/>
    </row>
    <row r="347" spans="1:10" hidden="1" x14ac:dyDescent="0.2">
      <c r="A347" s="11" t="s">
        <v>620</v>
      </c>
      <c r="B347" s="11" t="s">
        <v>932</v>
      </c>
      <c r="C347" s="11" t="s">
        <v>931</v>
      </c>
      <c r="D347" s="6">
        <v>1</v>
      </c>
      <c r="E347" s="11" t="s">
        <v>934</v>
      </c>
      <c r="F347" s="11" t="s">
        <v>901</v>
      </c>
      <c r="G347" s="11" t="s">
        <v>900</v>
      </c>
      <c r="H347" s="11">
        <v>1</v>
      </c>
      <c r="I347" s="11"/>
      <c r="J347" s="11"/>
    </row>
    <row r="348" spans="1:10" hidden="1" x14ac:dyDescent="0.2">
      <c r="A348" s="11" t="s">
        <v>620</v>
      </c>
      <c r="B348" s="11" t="s">
        <v>932</v>
      </c>
      <c r="C348" s="11" t="s">
        <v>154</v>
      </c>
      <c r="D348" s="6">
        <v>2</v>
      </c>
      <c r="E348" s="11" t="s">
        <v>934</v>
      </c>
      <c r="F348" s="11" t="s">
        <v>901</v>
      </c>
      <c r="G348" s="11" t="s">
        <v>900</v>
      </c>
      <c r="H348" s="11">
        <v>1</v>
      </c>
      <c r="I348" s="11"/>
      <c r="J348" s="11"/>
    </row>
    <row r="349" spans="1:10" hidden="1" x14ac:dyDescent="0.2">
      <c r="A349" s="11" t="s">
        <v>620</v>
      </c>
      <c r="B349" s="11" t="s">
        <v>932</v>
      </c>
      <c r="C349" s="11" t="s">
        <v>156</v>
      </c>
      <c r="D349" s="6">
        <v>2</v>
      </c>
      <c r="E349" s="11" t="s">
        <v>934</v>
      </c>
      <c r="F349" s="11" t="s">
        <v>901</v>
      </c>
      <c r="G349" s="11" t="s">
        <v>900</v>
      </c>
      <c r="H349" s="11">
        <v>1</v>
      </c>
      <c r="I349" s="11"/>
      <c r="J349" s="11"/>
    </row>
    <row r="350" spans="1:10" hidden="1" x14ac:dyDescent="0.2">
      <c r="A350" s="11" t="s">
        <v>620</v>
      </c>
      <c r="B350" s="11" t="s">
        <v>932</v>
      </c>
      <c r="C350" s="11" t="s">
        <v>158</v>
      </c>
      <c r="D350" s="6">
        <v>1</v>
      </c>
      <c r="E350" s="11" t="s">
        <v>934</v>
      </c>
      <c r="F350" s="11" t="s">
        <v>901</v>
      </c>
      <c r="G350" s="11" t="s">
        <v>900</v>
      </c>
      <c r="H350" s="11">
        <v>1</v>
      </c>
      <c r="I350" s="11"/>
      <c r="J350" s="11"/>
    </row>
    <row r="351" spans="1:10" hidden="1" x14ac:dyDescent="0.2">
      <c r="A351" s="11" t="s">
        <v>620</v>
      </c>
      <c r="B351" s="11" t="s">
        <v>932</v>
      </c>
      <c r="C351" s="11" t="s">
        <v>183</v>
      </c>
      <c r="D351" s="6">
        <v>1</v>
      </c>
      <c r="E351" s="11" t="s">
        <v>934</v>
      </c>
      <c r="F351" s="11" t="s">
        <v>901</v>
      </c>
      <c r="G351" s="11" t="s">
        <v>900</v>
      </c>
      <c r="H351" s="11">
        <v>1</v>
      </c>
      <c r="I351" s="11"/>
      <c r="J351" s="11"/>
    </row>
    <row r="352" spans="1:10" hidden="1" x14ac:dyDescent="0.2">
      <c r="A352" s="11" t="s">
        <v>620</v>
      </c>
      <c r="B352" s="11" t="s">
        <v>935</v>
      </c>
      <c r="C352" s="11" t="s">
        <v>936</v>
      </c>
      <c r="D352" s="6">
        <v>1</v>
      </c>
      <c r="E352" s="11" t="s">
        <v>937</v>
      </c>
      <c r="F352" s="11" t="s">
        <v>901</v>
      </c>
      <c r="G352" s="11" t="s">
        <v>900</v>
      </c>
      <c r="H352" s="11">
        <v>1</v>
      </c>
      <c r="I352" s="11"/>
      <c r="J352" s="11"/>
    </row>
    <row r="353" spans="1:10" hidden="1" x14ac:dyDescent="0.2">
      <c r="A353" s="11" t="s">
        <v>620</v>
      </c>
      <c r="B353" s="11" t="s">
        <v>935</v>
      </c>
      <c r="C353" s="11" t="s">
        <v>931</v>
      </c>
      <c r="D353" s="6">
        <v>1</v>
      </c>
      <c r="E353" s="11" t="s">
        <v>934</v>
      </c>
      <c r="F353" s="11" t="s">
        <v>901</v>
      </c>
      <c r="G353" s="11" t="s">
        <v>900</v>
      </c>
      <c r="H353" s="11">
        <v>1</v>
      </c>
      <c r="I353" s="11"/>
      <c r="J353" s="11"/>
    </row>
    <row r="354" spans="1:10" hidden="1" x14ac:dyDescent="0.2">
      <c r="A354" s="11" t="s">
        <v>620</v>
      </c>
      <c r="B354" s="11" t="s">
        <v>935</v>
      </c>
      <c r="C354" s="11" t="s">
        <v>154</v>
      </c>
      <c r="D354" s="6">
        <v>2</v>
      </c>
      <c r="E354" s="11" t="s">
        <v>934</v>
      </c>
      <c r="F354" s="11" t="s">
        <v>901</v>
      </c>
      <c r="G354" s="11" t="s">
        <v>900</v>
      </c>
      <c r="H354" s="11">
        <v>1</v>
      </c>
      <c r="I354" s="11"/>
      <c r="J354" s="11"/>
    </row>
    <row r="355" spans="1:10" hidden="1" x14ac:dyDescent="0.2">
      <c r="A355" s="11" t="s">
        <v>620</v>
      </c>
      <c r="B355" s="11" t="s">
        <v>935</v>
      </c>
      <c r="C355" s="11" t="s">
        <v>156</v>
      </c>
      <c r="D355" s="6">
        <v>2</v>
      </c>
      <c r="E355" s="11" t="s">
        <v>934</v>
      </c>
      <c r="F355" s="11" t="s">
        <v>901</v>
      </c>
      <c r="G355" s="11" t="s">
        <v>900</v>
      </c>
      <c r="H355" s="11">
        <v>1</v>
      </c>
      <c r="I355" s="11"/>
      <c r="J355" s="11"/>
    </row>
    <row r="356" spans="1:10" hidden="1" x14ac:dyDescent="0.2">
      <c r="A356" s="11" t="s">
        <v>620</v>
      </c>
      <c r="B356" s="11" t="s">
        <v>935</v>
      </c>
      <c r="C356" s="11" t="s">
        <v>158</v>
      </c>
      <c r="D356" s="6">
        <v>1</v>
      </c>
      <c r="E356" s="11" t="s">
        <v>934</v>
      </c>
      <c r="F356" s="11" t="s">
        <v>901</v>
      </c>
      <c r="G356" s="11" t="s">
        <v>900</v>
      </c>
      <c r="H356" s="11">
        <v>1</v>
      </c>
      <c r="I356" s="11"/>
      <c r="J356" s="11"/>
    </row>
    <row r="357" spans="1:10" hidden="1" x14ac:dyDescent="0.2">
      <c r="A357" s="11" t="s">
        <v>620</v>
      </c>
      <c r="B357" s="11" t="s">
        <v>935</v>
      </c>
      <c r="C357" s="11" t="s">
        <v>183</v>
      </c>
      <c r="D357" s="6">
        <v>1</v>
      </c>
      <c r="E357" s="11" t="s">
        <v>934</v>
      </c>
      <c r="F357" s="11" t="s">
        <v>901</v>
      </c>
      <c r="G357" s="11" t="s">
        <v>900</v>
      </c>
      <c r="H357" s="11">
        <v>1</v>
      </c>
      <c r="I357" s="11"/>
      <c r="J357" s="11"/>
    </row>
    <row r="358" spans="1:10" hidden="1" x14ac:dyDescent="0.2">
      <c r="A358" s="11" t="s">
        <v>619</v>
      </c>
      <c r="B358" s="11" t="s">
        <v>525</v>
      </c>
      <c r="C358" s="11" t="s">
        <v>180</v>
      </c>
      <c r="D358" s="6">
        <v>1</v>
      </c>
      <c r="E358" s="11" t="s">
        <v>526</v>
      </c>
      <c r="F358" s="11" t="s">
        <v>901</v>
      </c>
      <c r="G358" s="11" t="s">
        <v>900</v>
      </c>
      <c r="H358" s="11"/>
      <c r="I358" s="11"/>
      <c r="J358" s="11"/>
    </row>
    <row r="359" spans="1:10" hidden="1" x14ac:dyDescent="0.2">
      <c r="A359" s="11" t="s">
        <v>619</v>
      </c>
      <c r="B359" s="11" t="s">
        <v>525</v>
      </c>
      <c r="C359" s="11" t="s">
        <v>181</v>
      </c>
      <c r="D359" s="6">
        <v>1</v>
      </c>
      <c r="E359" s="11" t="s">
        <v>526</v>
      </c>
      <c r="F359" s="11" t="s">
        <v>901</v>
      </c>
      <c r="G359" s="11" t="s">
        <v>900</v>
      </c>
      <c r="H359" s="11"/>
      <c r="I359" s="11"/>
      <c r="J359" s="11"/>
    </row>
    <row r="360" spans="1:10" hidden="1" x14ac:dyDescent="0.2">
      <c r="A360" s="11" t="s">
        <v>178</v>
      </c>
      <c r="B360" s="11" t="s">
        <v>535</v>
      </c>
      <c r="C360" s="11" t="s">
        <v>185</v>
      </c>
      <c r="D360" s="6">
        <v>1</v>
      </c>
      <c r="E360" s="11" t="s">
        <v>534</v>
      </c>
      <c r="F360" s="11" t="s">
        <v>901</v>
      </c>
      <c r="G360" s="11" t="s">
        <v>900</v>
      </c>
      <c r="H360" s="11">
        <v>1</v>
      </c>
      <c r="I360" s="11"/>
      <c r="J360" s="11"/>
    </row>
    <row r="361" spans="1:10" hidden="1" x14ac:dyDescent="0.2">
      <c r="A361" s="11" t="s">
        <v>178</v>
      </c>
      <c r="B361" s="11" t="s">
        <v>535</v>
      </c>
      <c r="C361" s="11" t="s">
        <v>186</v>
      </c>
      <c r="D361" s="6">
        <v>1</v>
      </c>
      <c r="E361" s="11" t="s">
        <v>534</v>
      </c>
      <c r="F361" s="11" t="s">
        <v>901</v>
      </c>
      <c r="G361" s="11" t="s">
        <v>900</v>
      </c>
      <c r="H361" s="11">
        <v>1</v>
      </c>
      <c r="I361" s="11"/>
      <c r="J361" s="11"/>
    </row>
    <row r="362" spans="1:10" hidden="1" x14ac:dyDescent="0.2">
      <c r="A362" s="11" t="s">
        <v>178</v>
      </c>
      <c r="B362" s="11" t="s">
        <v>535</v>
      </c>
      <c r="C362" s="11" t="s">
        <v>187</v>
      </c>
      <c r="D362" s="6">
        <v>2</v>
      </c>
      <c r="E362" s="11" t="s">
        <v>534</v>
      </c>
      <c r="F362" s="11" t="s">
        <v>901</v>
      </c>
      <c r="G362" s="11" t="s">
        <v>900</v>
      </c>
      <c r="H362" s="11">
        <v>1</v>
      </c>
      <c r="I362" s="11"/>
      <c r="J362" s="11"/>
    </row>
    <row r="363" spans="1:10" hidden="1" x14ac:dyDescent="0.2">
      <c r="A363" s="11" t="s">
        <v>178</v>
      </c>
      <c r="B363" s="11" t="s">
        <v>618</v>
      </c>
      <c r="C363" s="11" t="s">
        <v>196</v>
      </c>
      <c r="D363" s="6">
        <v>1</v>
      </c>
      <c r="E363" s="11" t="s">
        <v>617</v>
      </c>
      <c r="F363" s="11" t="s">
        <v>901</v>
      </c>
      <c r="G363" s="11" t="s">
        <v>900</v>
      </c>
      <c r="H363" s="11">
        <v>1</v>
      </c>
      <c r="I363" s="11"/>
      <c r="J363" s="11"/>
    </row>
    <row r="364" spans="1:10" hidden="1" x14ac:dyDescent="0.2">
      <c r="A364" s="11" t="s">
        <v>178</v>
      </c>
      <c r="B364" s="11" t="s">
        <v>618</v>
      </c>
      <c r="C364" s="11" t="s">
        <v>198</v>
      </c>
      <c r="D364" s="6">
        <v>1</v>
      </c>
      <c r="E364" s="11" t="s">
        <v>617</v>
      </c>
      <c r="F364" s="11" t="s">
        <v>901</v>
      </c>
      <c r="G364" s="11" t="s">
        <v>900</v>
      </c>
      <c r="H364" s="11">
        <v>1</v>
      </c>
      <c r="I364" s="11"/>
      <c r="J364" s="11"/>
    </row>
    <row r="365" spans="1:10" hidden="1" x14ac:dyDescent="0.2">
      <c r="A365" s="11" t="s">
        <v>178</v>
      </c>
      <c r="B365" s="11" t="s">
        <v>618</v>
      </c>
      <c r="C365" s="11" t="s">
        <v>199</v>
      </c>
      <c r="D365" s="6">
        <v>2</v>
      </c>
      <c r="E365" s="11" t="s">
        <v>617</v>
      </c>
      <c r="F365" s="11" t="s">
        <v>901</v>
      </c>
      <c r="G365" s="11" t="s">
        <v>900</v>
      </c>
      <c r="H365" s="11">
        <v>1</v>
      </c>
      <c r="I365" s="11"/>
      <c r="J365" s="11"/>
    </row>
    <row r="366" spans="1:10" hidden="1" x14ac:dyDescent="0.2">
      <c r="A366" s="11" t="s">
        <v>245</v>
      </c>
      <c r="B366" s="11" t="s">
        <v>541</v>
      </c>
      <c r="C366" s="11" t="s">
        <v>228</v>
      </c>
      <c r="D366" s="6">
        <v>1</v>
      </c>
      <c r="E366" s="11" t="s">
        <v>540</v>
      </c>
      <c r="F366" s="11" t="s">
        <v>901</v>
      </c>
      <c r="G366" s="11" t="s">
        <v>900</v>
      </c>
      <c r="H366" s="11"/>
      <c r="I366" s="11"/>
      <c r="J366" s="11"/>
    </row>
    <row r="367" spans="1:10" hidden="1" x14ac:dyDescent="0.2">
      <c r="A367" s="11" t="s">
        <v>245</v>
      </c>
      <c r="B367" s="11" t="s">
        <v>541</v>
      </c>
      <c r="C367" s="11" t="s">
        <v>229</v>
      </c>
      <c r="D367" s="6">
        <v>3</v>
      </c>
      <c r="E367" s="11" t="s">
        <v>540</v>
      </c>
      <c r="F367" s="11" t="s">
        <v>901</v>
      </c>
      <c r="G367" s="11" t="s">
        <v>900</v>
      </c>
      <c r="H367" s="11"/>
      <c r="I367" s="11"/>
      <c r="J367" s="11"/>
    </row>
    <row r="368" spans="1:10" hidden="1" x14ac:dyDescent="0.2">
      <c r="A368" s="11" t="s">
        <v>567</v>
      </c>
      <c r="B368" s="11" t="s">
        <v>568</v>
      </c>
      <c r="C368" s="11" t="s">
        <v>244</v>
      </c>
      <c r="D368" s="6">
        <v>1</v>
      </c>
      <c r="E368" s="11" t="s">
        <v>571</v>
      </c>
      <c r="F368" s="11" t="s">
        <v>901</v>
      </c>
      <c r="G368" s="11" t="s">
        <v>900</v>
      </c>
      <c r="H368" s="11">
        <v>1</v>
      </c>
      <c r="I368" s="11"/>
      <c r="J368" s="11"/>
    </row>
    <row r="369" spans="1:10" hidden="1" x14ac:dyDescent="0.2">
      <c r="A369" s="11" t="s">
        <v>567</v>
      </c>
      <c r="B369" s="11" t="s">
        <v>568</v>
      </c>
      <c r="C369" s="11" t="s">
        <v>237</v>
      </c>
      <c r="D369" s="6">
        <v>2</v>
      </c>
      <c r="E369" s="11" t="s">
        <v>571</v>
      </c>
      <c r="F369" s="11" t="s">
        <v>901</v>
      </c>
      <c r="G369" s="11" t="s">
        <v>900</v>
      </c>
      <c r="H369" s="11">
        <v>1</v>
      </c>
      <c r="I369" s="11"/>
      <c r="J369" s="11"/>
    </row>
    <row r="370" spans="1:10" hidden="1" x14ac:dyDescent="0.2">
      <c r="A370" s="11" t="s">
        <v>567</v>
      </c>
      <c r="B370" s="11" t="s">
        <v>568</v>
      </c>
      <c r="C370" s="11" t="s">
        <v>230</v>
      </c>
      <c r="D370" s="6">
        <v>1</v>
      </c>
      <c r="E370" s="11" t="s">
        <v>571</v>
      </c>
      <c r="F370" s="11" t="s">
        <v>901</v>
      </c>
      <c r="G370" s="11" t="s">
        <v>900</v>
      </c>
      <c r="H370" s="11">
        <v>1</v>
      </c>
      <c r="I370" s="11"/>
      <c r="J370" s="11"/>
    </row>
    <row r="371" spans="1:10" hidden="1" x14ac:dyDescent="0.2">
      <c r="A371" s="11" t="s">
        <v>567</v>
      </c>
      <c r="B371" s="11" t="s">
        <v>568</v>
      </c>
      <c r="C371" s="11" t="s">
        <v>189</v>
      </c>
      <c r="D371" s="6">
        <v>1</v>
      </c>
      <c r="E371" s="11" t="s">
        <v>571</v>
      </c>
      <c r="F371" s="11" t="s">
        <v>901</v>
      </c>
      <c r="G371" s="11" t="s">
        <v>900</v>
      </c>
      <c r="H371" s="11">
        <v>1</v>
      </c>
      <c r="I371" s="11"/>
      <c r="J371" s="11"/>
    </row>
    <row r="372" spans="1:10" hidden="1" x14ac:dyDescent="0.2">
      <c r="A372" s="11" t="s">
        <v>567</v>
      </c>
      <c r="B372" s="11" t="s">
        <v>568</v>
      </c>
      <c r="C372" s="11" t="s">
        <v>191</v>
      </c>
      <c r="D372" s="6">
        <v>1</v>
      </c>
      <c r="E372" s="11" t="s">
        <v>571</v>
      </c>
      <c r="F372" s="11" t="s">
        <v>901</v>
      </c>
      <c r="G372" s="11" t="s">
        <v>900</v>
      </c>
      <c r="H372" s="11">
        <v>1</v>
      </c>
      <c r="I372" s="11"/>
      <c r="J372" s="11"/>
    </row>
    <row r="373" spans="1:10" hidden="1" x14ac:dyDescent="0.2">
      <c r="A373" s="11" t="s">
        <v>567</v>
      </c>
      <c r="B373" s="11" t="s">
        <v>568</v>
      </c>
      <c r="C373" s="11" t="s">
        <v>569</v>
      </c>
      <c r="D373" s="6">
        <v>1</v>
      </c>
      <c r="E373" s="11" t="s">
        <v>571</v>
      </c>
      <c r="F373" s="11" t="s">
        <v>901</v>
      </c>
      <c r="G373" s="11" t="s">
        <v>900</v>
      </c>
      <c r="H373" s="11">
        <v>1</v>
      </c>
      <c r="I373" s="11"/>
      <c r="J373" s="11"/>
    </row>
    <row r="374" spans="1:10" hidden="1" x14ac:dyDescent="0.2">
      <c r="A374" s="11" t="s">
        <v>567</v>
      </c>
      <c r="B374" s="11" t="s">
        <v>572</v>
      </c>
      <c r="C374" s="11" t="s">
        <v>243</v>
      </c>
      <c r="D374" s="6">
        <v>1</v>
      </c>
      <c r="E374" s="11" t="s">
        <v>580</v>
      </c>
      <c r="F374" s="11" t="s">
        <v>901</v>
      </c>
      <c r="G374" s="11" t="s">
        <v>900</v>
      </c>
      <c r="H374" s="11">
        <v>1</v>
      </c>
      <c r="I374" s="11"/>
      <c r="J374" s="11"/>
    </row>
    <row r="375" spans="1:10" hidden="1" x14ac:dyDescent="0.2">
      <c r="A375" s="11" t="s">
        <v>567</v>
      </c>
      <c r="B375" s="11" t="s">
        <v>572</v>
      </c>
      <c r="C375" s="11" t="s">
        <v>235</v>
      </c>
      <c r="D375" s="6">
        <v>2</v>
      </c>
      <c r="E375" s="11" t="s">
        <v>580</v>
      </c>
      <c r="F375" s="11" t="s">
        <v>901</v>
      </c>
      <c r="G375" s="11" t="s">
        <v>900</v>
      </c>
      <c r="H375" s="11">
        <v>1</v>
      </c>
      <c r="I375" s="11"/>
      <c r="J375" s="11"/>
    </row>
    <row r="376" spans="1:10" hidden="1" x14ac:dyDescent="0.2">
      <c r="A376" s="11" t="s">
        <v>567</v>
      </c>
      <c r="B376" s="11" t="s">
        <v>572</v>
      </c>
      <c r="C376" s="11" t="s">
        <v>230</v>
      </c>
      <c r="D376" s="6">
        <v>1</v>
      </c>
      <c r="E376" s="11" t="s">
        <v>580</v>
      </c>
      <c r="F376" s="11" t="s">
        <v>901</v>
      </c>
      <c r="G376" s="11" t="s">
        <v>900</v>
      </c>
      <c r="H376" s="11">
        <v>1</v>
      </c>
      <c r="I376" s="11"/>
      <c r="J376" s="11"/>
    </row>
    <row r="377" spans="1:10" hidden="1" x14ac:dyDescent="0.2">
      <c r="A377" s="11" t="s">
        <v>567</v>
      </c>
      <c r="B377" s="11" t="s">
        <v>572</v>
      </c>
      <c r="C377" s="11" t="s">
        <v>193</v>
      </c>
      <c r="D377" s="6">
        <v>1</v>
      </c>
      <c r="E377" s="11" t="s">
        <v>580</v>
      </c>
      <c r="F377" s="11" t="s">
        <v>901</v>
      </c>
      <c r="G377" s="11" t="s">
        <v>900</v>
      </c>
      <c r="H377" s="11">
        <v>1</v>
      </c>
      <c r="I377" s="11"/>
      <c r="J377" s="11"/>
    </row>
    <row r="378" spans="1:10" hidden="1" x14ac:dyDescent="0.2">
      <c r="A378" s="11" t="s">
        <v>567</v>
      </c>
      <c r="B378" s="11" t="s">
        <v>572</v>
      </c>
      <c r="C378" s="11" t="s">
        <v>191</v>
      </c>
      <c r="D378" s="6">
        <v>1</v>
      </c>
      <c r="E378" s="11" t="s">
        <v>580</v>
      </c>
      <c r="F378" s="11" t="s">
        <v>901</v>
      </c>
      <c r="G378" s="11" t="s">
        <v>900</v>
      </c>
      <c r="H378" s="11">
        <v>1</v>
      </c>
      <c r="I378" s="11"/>
      <c r="J378" s="11"/>
    </row>
    <row r="379" spans="1:10" hidden="1" x14ac:dyDescent="0.2">
      <c r="A379" s="11" t="s">
        <v>567</v>
      </c>
      <c r="B379" s="11" t="s">
        <v>572</v>
      </c>
      <c r="C379" s="11" t="s">
        <v>584</v>
      </c>
      <c r="D379" s="6">
        <v>1</v>
      </c>
      <c r="E379" s="11" t="s">
        <v>580</v>
      </c>
      <c r="F379" s="11" t="s">
        <v>901</v>
      </c>
      <c r="G379" s="11" t="s">
        <v>900</v>
      </c>
      <c r="H379" s="11">
        <v>1</v>
      </c>
      <c r="I379" s="11"/>
      <c r="J379" s="11"/>
    </row>
    <row r="380" spans="1:10" hidden="1" x14ac:dyDescent="0.2">
      <c r="A380" s="11" t="s">
        <v>567</v>
      </c>
      <c r="B380" s="11" t="s">
        <v>573</v>
      </c>
      <c r="C380" s="11" t="s">
        <v>242</v>
      </c>
      <c r="D380" s="6">
        <v>1</v>
      </c>
      <c r="E380" s="11" t="s">
        <v>581</v>
      </c>
      <c r="F380" s="11" t="s">
        <v>901</v>
      </c>
      <c r="G380" s="11" t="s">
        <v>900</v>
      </c>
      <c r="H380" s="11">
        <v>1</v>
      </c>
      <c r="I380" s="11"/>
      <c r="J380" s="11"/>
    </row>
    <row r="381" spans="1:10" hidden="1" x14ac:dyDescent="0.2">
      <c r="A381" s="11" t="s">
        <v>567</v>
      </c>
      <c r="B381" s="11" t="s">
        <v>573</v>
      </c>
      <c r="C381" s="11" t="s">
        <v>234</v>
      </c>
      <c r="D381" s="6">
        <v>2</v>
      </c>
      <c r="E381" s="11" t="s">
        <v>581</v>
      </c>
      <c r="F381" s="11" t="s">
        <v>901</v>
      </c>
      <c r="G381" s="11" t="s">
        <v>900</v>
      </c>
      <c r="H381" s="11">
        <v>1</v>
      </c>
      <c r="I381" s="11"/>
      <c r="J381" s="11"/>
    </row>
    <row r="382" spans="1:10" hidden="1" x14ac:dyDescent="0.2">
      <c r="A382" s="11" t="s">
        <v>567</v>
      </c>
      <c r="B382" s="11" t="s">
        <v>573</v>
      </c>
      <c r="C382" s="11" t="s">
        <v>230</v>
      </c>
      <c r="D382" s="6">
        <v>1</v>
      </c>
      <c r="E382" s="11" t="s">
        <v>581</v>
      </c>
      <c r="F382" s="11" t="s">
        <v>901</v>
      </c>
      <c r="G382" s="11" t="s">
        <v>900</v>
      </c>
      <c r="H382" s="11">
        <v>1</v>
      </c>
      <c r="I382" s="11"/>
      <c r="J382" s="11"/>
    </row>
    <row r="383" spans="1:10" hidden="1" x14ac:dyDescent="0.2">
      <c r="A383" s="11" t="s">
        <v>567</v>
      </c>
      <c r="B383" s="11" t="s">
        <v>573</v>
      </c>
      <c r="C383" s="11" t="s">
        <v>232</v>
      </c>
      <c r="D383" s="6">
        <v>1</v>
      </c>
      <c r="E383" s="11" t="s">
        <v>581</v>
      </c>
      <c r="F383" s="11" t="s">
        <v>901</v>
      </c>
      <c r="G383" s="11" t="s">
        <v>900</v>
      </c>
      <c r="H383" s="11">
        <v>1</v>
      </c>
      <c r="I383" s="11"/>
      <c r="J383" s="11"/>
    </row>
    <row r="384" spans="1:10" hidden="1" x14ac:dyDescent="0.2">
      <c r="A384" s="11" t="s">
        <v>567</v>
      </c>
      <c r="B384" s="11" t="s">
        <v>573</v>
      </c>
      <c r="C384" s="11" t="s">
        <v>191</v>
      </c>
      <c r="D384" s="6">
        <v>1</v>
      </c>
      <c r="E384" s="11" t="s">
        <v>581</v>
      </c>
      <c r="F384" s="11" t="s">
        <v>901</v>
      </c>
      <c r="G384" s="11" t="s">
        <v>900</v>
      </c>
      <c r="H384" s="11">
        <v>1</v>
      </c>
      <c r="I384" s="11"/>
      <c r="J384" s="11"/>
    </row>
    <row r="385" spans="1:10" hidden="1" x14ac:dyDescent="0.2">
      <c r="A385" s="11" t="s">
        <v>567</v>
      </c>
      <c r="B385" s="11" t="s">
        <v>573</v>
      </c>
      <c r="C385" s="11" t="s">
        <v>584</v>
      </c>
      <c r="D385" s="6">
        <v>1</v>
      </c>
      <c r="E385" s="11" t="s">
        <v>581</v>
      </c>
      <c r="F385" s="11" t="s">
        <v>901</v>
      </c>
      <c r="G385" s="11" t="s">
        <v>900</v>
      </c>
      <c r="H385" s="11">
        <v>1</v>
      </c>
      <c r="I385" s="11"/>
      <c r="J385" s="11"/>
    </row>
    <row r="386" spans="1:10" hidden="1" x14ac:dyDescent="0.2">
      <c r="A386" s="11" t="s">
        <v>567</v>
      </c>
      <c r="B386" s="11" t="s">
        <v>574</v>
      </c>
      <c r="C386" s="11" t="s">
        <v>241</v>
      </c>
      <c r="D386" s="6">
        <v>1</v>
      </c>
      <c r="E386" s="11" t="s">
        <v>582</v>
      </c>
      <c r="F386" s="11" t="s">
        <v>901</v>
      </c>
      <c r="G386" s="11" t="s">
        <v>900</v>
      </c>
      <c r="H386" s="11">
        <v>1</v>
      </c>
      <c r="I386" s="11"/>
      <c r="J386" s="11"/>
    </row>
    <row r="387" spans="1:10" hidden="1" x14ac:dyDescent="0.2">
      <c r="A387" s="11" t="s">
        <v>567</v>
      </c>
      <c r="B387" s="11" t="s">
        <v>574</v>
      </c>
      <c r="C387" s="11" t="s">
        <v>193</v>
      </c>
      <c r="D387" s="6">
        <v>2</v>
      </c>
      <c r="E387" s="11" t="s">
        <v>582</v>
      </c>
      <c r="F387" s="11" t="s">
        <v>901</v>
      </c>
      <c r="G387" s="11" t="s">
        <v>900</v>
      </c>
      <c r="H387" s="11">
        <v>1</v>
      </c>
      <c r="I387" s="11"/>
      <c r="J387" s="11"/>
    </row>
    <row r="388" spans="1:10" hidden="1" x14ac:dyDescent="0.2">
      <c r="A388" s="11" t="s">
        <v>567</v>
      </c>
      <c r="B388" s="11" t="s">
        <v>574</v>
      </c>
      <c r="C388" s="11" t="s">
        <v>230</v>
      </c>
      <c r="D388" s="6">
        <v>1</v>
      </c>
      <c r="E388" s="11" t="s">
        <v>582</v>
      </c>
      <c r="F388" s="11" t="s">
        <v>901</v>
      </c>
      <c r="G388" s="11" t="s">
        <v>900</v>
      </c>
      <c r="H388" s="11">
        <v>1</v>
      </c>
      <c r="I388" s="11"/>
      <c r="J388" s="11"/>
    </row>
    <row r="389" spans="1:10" hidden="1" x14ac:dyDescent="0.2">
      <c r="A389" s="11" t="s">
        <v>567</v>
      </c>
      <c r="B389" s="11" t="s">
        <v>574</v>
      </c>
      <c r="C389" s="11" t="s">
        <v>247</v>
      </c>
      <c r="D389" s="6">
        <v>1</v>
      </c>
      <c r="E389" s="11" t="s">
        <v>582</v>
      </c>
      <c r="F389" s="11" t="s">
        <v>901</v>
      </c>
      <c r="G389" s="11" t="s">
        <v>900</v>
      </c>
      <c r="H389" s="11">
        <v>1</v>
      </c>
      <c r="I389" s="11"/>
      <c r="J389" s="11"/>
    </row>
    <row r="390" spans="1:10" hidden="1" x14ac:dyDescent="0.2">
      <c r="A390" s="11" t="s">
        <v>567</v>
      </c>
      <c r="B390" s="11" t="s">
        <v>574</v>
      </c>
      <c r="C390" s="11" t="s">
        <v>249</v>
      </c>
      <c r="D390" s="6">
        <v>1</v>
      </c>
      <c r="E390" s="11" t="s">
        <v>582</v>
      </c>
      <c r="F390" s="11" t="s">
        <v>901</v>
      </c>
      <c r="G390" s="11" t="s">
        <v>900</v>
      </c>
      <c r="H390" s="11">
        <v>1</v>
      </c>
      <c r="I390" s="11"/>
      <c r="J390" s="11"/>
    </row>
    <row r="391" spans="1:10" hidden="1" x14ac:dyDescent="0.2">
      <c r="A391" s="11" t="s">
        <v>567</v>
      </c>
      <c r="B391" s="11" t="s">
        <v>574</v>
      </c>
      <c r="C391" s="11" t="s">
        <v>576</v>
      </c>
      <c r="D391" s="6">
        <v>1</v>
      </c>
      <c r="E391" s="11" t="s">
        <v>582</v>
      </c>
      <c r="F391" s="11" t="s">
        <v>901</v>
      </c>
      <c r="G391" s="11" t="s">
        <v>900</v>
      </c>
      <c r="H391" s="11">
        <v>1</v>
      </c>
      <c r="I391" s="11"/>
      <c r="J391" s="11"/>
    </row>
    <row r="392" spans="1:10" hidden="1" x14ac:dyDescent="0.2">
      <c r="A392" s="11" t="s">
        <v>567</v>
      </c>
      <c r="B392" s="11" t="s">
        <v>575</v>
      </c>
      <c r="C392" s="11" t="s">
        <v>190</v>
      </c>
      <c r="D392" s="6">
        <v>1</v>
      </c>
      <c r="E392" s="11" t="s">
        <v>583</v>
      </c>
      <c r="F392" s="11" t="s">
        <v>901</v>
      </c>
      <c r="G392" s="11" t="s">
        <v>900</v>
      </c>
      <c r="H392" s="11">
        <v>1</v>
      </c>
      <c r="I392" s="11"/>
      <c r="J392" s="11"/>
    </row>
    <row r="393" spans="1:10" hidden="1" x14ac:dyDescent="0.2">
      <c r="A393" s="11" t="s">
        <v>567</v>
      </c>
      <c r="B393" s="11" t="s">
        <v>575</v>
      </c>
      <c r="C393" s="11" t="s">
        <v>232</v>
      </c>
      <c r="D393" s="6">
        <v>2</v>
      </c>
      <c r="E393" s="11" t="s">
        <v>583</v>
      </c>
      <c r="F393" s="11" t="s">
        <v>901</v>
      </c>
      <c r="G393" s="11" t="s">
        <v>900</v>
      </c>
      <c r="H393" s="11">
        <v>1</v>
      </c>
      <c r="I393" s="11"/>
      <c r="J393" s="11"/>
    </row>
    <row r="394" spans="1:10" hidden="1" x14ac:dyDescent="0.2">
      <c r="A394" s="11" t="s">
        <v>567</v>
      </c>
      <c r="B394" s="11" t="s">
        <v>575</v>
      </c>
      <c r="C394" s="11" t="s">
        <v>230</v>
      </c>
      <c r="D394" s="6">
        <v>1</v>
      </c>
      <c r="E394" s="11" t="s">
        <v>583</v>
      </c>
      <c r="F394" s="11" t="s">
        <v>901</v>
      </c>
      <c r="G394" s="11" t="s">
        <v>900</v>
      </c>
      <c r="H394" s="11">
        <v>1</v>
      </c>
      <c r="I394" s="11"/>
      <c r="J394" s="11"/>
    </row>
    <row r="395" spans="1:10" hidden="1" x14ac:dyDescent="0.2">
      <c r="A395" s="11" t="s">
        <v>567</v>
      </c>
      <c r="B395" s="11" t="s">
        <v>575</v>
      </c>
      <c r="C395" s="11" t="s">
        <v>248</v>
      </c>
      <c r="D395" s="6">
        <v>1</v>
      </c>
      <c r="E395" s="11" t="s">
        <v>583</v>
      </c>
      <c r="F395" s="11" t="s">
        <v>901</v>
      </c>
      <c r="G395" s="11" t="s">
        <v>900</v>
      </c>
      <c r="H395" s="11">
        <v>1</v>
      </c>
      <c r="I395" s="11"/>
      <c r="J395" s="11"/>
    </row>
    <row r="396" spans="1:10" hidden="1" x14ac:dyDescent="0.2">
      <c r="A396" s="11" t="s">
        <v>567</v>
      </c>
      <c r="B396" s="11" t="s">
        <v>575</v>
      </c>
      <c r="C396" s="11" t="s">
        <v>249</v>
      </c>
      <c r="D396" s="6">
        <v>1</v>
      </c>
      <c r="E396" s="11" t="s">
        <v>583</v>
      </c>
      <c r="F396" s="11" t="s">
        <v>901</v>
      </c>
      <c r="G396" s="11" t="s">
        <v>900</v>
      </c>
      <c r="H396" s="11">
        <v>1</v>
      </c>
      <c r="I396" s="11"/>
      <c r="J396" s="11"/>
    </row>
    <row r="397" spans="1:10" hidden="1" x14ac:dyDescent="0.2">
      <c r="A397" s="11" t="s">
        <v>567</v>
      </c>
      <c r="B397" s="11" t="s">
        <v>575</v>
      </c>
      <c r="C397" s="11" t="s">
        <v>576</v>
      </c>
      <c r="D397" s="6">
        <v>1</v>
      </c>
      <c r="E397" s="11" t="s">
        <v>583</v>
      </c>
      <c r="F397" s="11" t="s">
        <v>901</v>
      </c>
      <c r="G397" s="11" t="s">
        <v>900</v>
      </c>
      <c r="H397" s="11">
        <v>1</v>
      </c>
      <c r="I397" s="11"/>
      <c r="J397" s="11"/>
    </row>
    <row r="398" spans="1:10" hidden="1" x14ac:dyDescent="0.2">
      <c r="A398" s="11" t="s">
        <v>593</v>
      </c>
      <c r="B398" s="11" t="s">
        <v>602</v>
      </c>
      <c r="C398" s="11" t="s">
        <v>90</v>
      </c>
      <c r="D398" s="6">
        <v>1</v>
      </c>
      <c r="E398" s="11" t="s">
        <v>595</v>
      </c>
      <c r="F398" s="11" t="s">
        <v>901</v>
      </c>
      <c r="G398" s="11" t="s">
        <v>900</v>
      </c>
      <c r="H398" s="11">
        <v>1</v>
      </c>
      <c r="I398" s="11">
        <v>0</v>
      </c>
      <c r="J398" s="11"/>
    </row>
    <row r="399" spans="1:10" hidden="1" x14ac:dyDescent="0.2">
      <c r="A399" s="11" t="s">
        <v>593</v>
      </c>
      <c r="B399" s="11" t="s">
        <v>602</v>
      </c>
      <c r="C399" s="11" t="s">
        <v>141</v>
      </c>
      <c r="D399" s="6">
        <v>3</v>
      </c>
      <c r="E399" s="11" t="s">
        <v>595</v>
      </c>
      <c r="F399" s="11" t="s">
        <v>901</v>
      </c>
      <c r="G399" s="11" t="s">
        <v>900</v>
      </c>
      <c r="H399" s="11">
        <v>1</v>
      </c>
      <c r="I399" s="11">
        <v>0</v>
      </c>
      <c r="J399" s="11"/>
    </row>
    <row r="400" spans="1:10" hidden="1" x14ac:dyDescent="0.2">
      <c r="A400" s="11" t="s">
        <v>593</v>
      </c>
      <c r="B400" s="11" t="s">
        <v>602</v>
      </c>
      <c r="C400" s="11" t="s">
        <v>108</v>
      </c>
      <c r="D400" s="6">
        <v>3</v>
      </c>
      <c r="E400" s="11" t="s">
        <v>595</v>
      </c>
      <c r="F400" s="11" t="s">
        <v>901</v>
      </c>
      <c r="G400" s="11" t="s">
        <v>900</v>
      </c>
      <c r="H400" s="11">
        <v>1</v>
      </c>
      <c r="I400" s="11">
        <v>0</v>
      </c>
      <c r="J400" s="11"/>
    </row>
    <row r="401" spans="1:10" hidden="1" x14ac:dyDescent="0.2">
      <c r="A401" s="11" t="s">
        <v>593</v>
      </c>
      <c r="B401" s="11" t="s">
        <v>594</v>
      </c>
      <c r="C401" s="11" t="s">
        <v>69</v>
      </c>
      <c r="D401" s="6">
        <v>1</v>
      </c>
      <c r="E401" s="11" t="s">
        <v>599</v>
      </c>
      <c r="F401" s="11" t="s">
        <v>901</v>
      </c>
      <c r="G401" s="11" t="s">
        <v>900</v>
      </c>
      <c r="H401" s="11">
        <v>1</v>
      </c>
      <c r="I401" s="11">
        <v>0</v>
      </c>
      <c r="J401" s="11"/>
    </row>
    <row r="402" spans="1:10" hidden="1" x14ac:dyDescent="0.2">
      <c r="A402" s="11" t="s">
        <v>593</v>
      </c>
      <c r="B402" s="11" t="s">
        <v>594</v>
      </c>
      <c r="C402" s="11" t="s">
        <v>83</v>
      </c>
      <c r="D402" s="6">
        <v>3</v>
      </c>
      <c r="E402" s="11" t="s">
        <v>599</v>
      </c>
      <c r="F402" s="11" t="s">
        <v>901</v>
      </c>
      <c r="G402" s="11" t="s">
        <v>900</v>
      </c>
      <c r="H402" s="11">
        <v>1</v>
      </c>
      <c r="I402" s="11">
        <v>0</v>
      </c>
      <c r="J402" s="11"/>
    </row>
    <row r="403" spans="1:10" hidden="1" x14ac:dyDescent="0.2">
      <c r="A403" s="11" t="s">
        <v>593</v>
      </c>
      <c r="B403" s="11" t="s">
        <v>594</v>
      </c>
      <c r="C403" s="11" t="s">
        <v>476</v>
      </c>
      <c r="D403" s="6">
        <v>1</v>
      </c>
      <c r="E403" s="11" t="s">
        <v>599</v>
      </c>
      <c r="F403" s="11" t="s">
        <v>901</v>
      </c>
      <c r="G403" s="11" t="s">
        <v>900</v>
      </c>
      <c r="H403" s="11">
        <v>1</v>
      </c>
      <c r="I403" s="11">
        <v>0</v>
      </c>
      <c r="J403" s="11"/>
    </row>
    <row r="404" spans="1:10" hidden="1" x14ac:dyDescent="0.2">
      <c r="A404" s="11" t="s">
        <v>593</v>
      </c>
      <c r="B404" s="11" t="s">
        <v>597</v>
      </c>
      <c r="C404" s="11" t="s">
        <v>98</v>
      </c>
      <c r="D404" s="6">
        <v>1</v>
      </c>
      <c r="E404" s="11" t="s">
        <v>596</v>
      </c>
      <c r="F404" s="11" t="s">
        <v>901</v>
      </c>
      <c r="G404" s="11" t="s">
        <v>900</v>
      </c>
      <c r="H404" s="11">
        <v>1</v>
      </c>
      <c r="I404" s="11">
        <v>0</v>
      </c>
      <c r="J404" s="11"/>
    </row>
    <row r="405" spans="1:10" hidden="1" x14ac:dyDescent="0.2">
      <c r="A405" s="11" t="s">
        <v>593</v>
      </c>
      <c r="B405" s="11" t="s">
        <v>597</v>
      </c>
      <c r="C405" s="11" t="s">
        <v>149</v>
      </c>
      <c r="D405" s="6">
        <v>3</v>
      </c>
      <c r="E405" s="11" t="s">
        <v>596</v>
      </c>
      <c r="F405" s="11" t="s">
        <v>901</v>
      </c>
      <c r="G405" s="11" t="s">
        <v>900</v>
      </c>
      <c r="H405" s="11">
        <v>1</v>
      </c>
      <c r="I405" s="11">
        <v>0</v>
      </c>
      <c r="J405" s="11"/>
    </row>
    <row r="406" spans="1:10" hidden="1" x14ac:dyDescent="0.2">
      <c r="A406" s="11" t="s">
        <v>593</v>
      </c>
      <c r="B406" s="11" t="s">
        <v>597</v>
      </c>
      <c r="C406" s="11" t="s">
        <v>476</v>
      </c>
      <c r="D406" s="6">
        <v>1</v>
      </c>
      <c r="E406" s="11" t="s">
        <v>596</v>
      </c>
      <c r="F406" s="11" t="s">
        <v>901</v>
      </c>
      <c r="G406" s="11" t="s">
        <v>900</v>
      </c>
      <c r="H406" s="11">
        <v>1</v>
      </c>
      <c r="I406" s="11">
        <v>0</v>
      </c>
      <c r="J406" s="11"/>
    </row>
    <row r="407" spans="1:10" hidden="1" x14ac:dyDescent="0.2">
      <c r="A407" s="11" t="s">
        <v>593</v>
      </c>
      <c r="B407" s="11" t="s">
        <v>600</v>
      </c>
      <c r="C407" s="11" t="s">
        <v>598</v>
      </c>
      <c r="D407" s="6">
        <v>1</v>
      </c>
      <c r="E407" s="11" t="s">
        <v>601</v>
      </c>
      <c r="F407" s="11" t="s">
        <v>901</v>
      </c>
      <c r="G407" s="11" t="s">
        <v>900</v>
      </c>
      <c r="H407" s="11">
        <v>1</v>
      </c>
      <c r="I407" s="11">
        <v>0</v>
      </c>
      <c r="J407" s="11"/>
    </row>
    <row r="408" spans="1:10" hidden="1" x14ac:dyDescent="0.2">
      <c r="A408" s="11" t="s">
        <v>593</v>
      </c>
      <c r="B408" s="11" t="s">
        <v>600</v>
      </c>
      <c r="C408" s="11" t="s">
        <v>251</v>
      </c>
      <c r="D408" s="6">
        <v>3</v>
      </c>
      <c r="E408" s="11" t="s">
        <v>601</v>
      </c>
      <c r="F408" s="11" t="s">
        <v>901</v>
      </c>
      <c r="G408" s="11" t="s">
        <v>900</v>
      </c>
      <c r="H408" s="11">
        <v>1</v>
      </c>
      <c r="I408" s="11">
        <v>0</v>
      </c>
      <c r="J408" s="11"/>
    </row>
    <row r="409" spans="1:10" hidden="1" x14ac:dyDescent="0.2">
      <c r="A409" s="11" t="s">
        <v>593</v>
      </c>
      <c r="B409" s="11" t="s">
        <v>600</v>
      </c>
      <c r="C409" s="11" t="s">
        <v>476</v>
      </c>
      <c r="D409" s="6">
        <v>1</v>
      </c>
      <c r="E409" s="11" t="s">
        <v>601</v>
      </c>
      <c r="F409" s="11" t="s">
        <v>901</v>
      </c>
      <c r="G409" s="11" t="s">
        <v>900</v>
      </c>
      <c r="H409" s="11">
        <v>1</v>
      </c>
      <c r="I409" s="11">
        <v>0</v>
      </c>
      <c r="J409" s="11"/>
    </row>
    <row r="410" spans="1:10" hidden="1" x14ac:dyDescent="0.2">
      <c r="A410" s="11" t="s">
        <v>624</v>
      </c>
      <c r="B410" s="11" t="s">
        <v>758</v>
      </c>
      <c r="C410" s="11" t="s">
        <v>12</v>
      </c>
      <c r="D410" s="6">
        <v>2</v>
      </c>
      <c r="E410" s="11" t="s">
        <v>795</v>
      </c>
      <c r="F410" s="11" t="s">
        <v>901</v>
      </c>
      <c r="G410" s="11" t="s">
        <v>900</v>
      </c>
      <c r="H410" s="11">
        <v>1</v>
      </c>
      <c r="I410" s="11">
        <v>0</v>
      </c>
      <c r="J410" s="11"/>
    </row>
    <row r="411" spans="1:10" hidden="1" x14ac:dyDescent="0.2">
      <c r="A411" s="11" t="s">
        <v>624</v>
      </c>
      <c r="B411" s="11" t="s">
        <v>758</v>
      </c>
      <c r="C411" s="11" t="s">
        <v>631</v>
      </c>
      <c r="D411" s="6">
        <v>1</v>
      </c>
      <c r="E411" s="11" t="s">
        <v>795</v>
      </c>
      <c r="F411" s="11" t="s">
        <v>901</v>
      </c>
      <c r="G411" s="11" t="s">
        <v>900</v>
      </c>
      <c r="H411" s="11">
        <v>0</v>
      </c>
      <c r="I411" s="11">
        <v>1</v>
      </c>
      <c r="J411" s="11"/>
    </row>
    <row r="412" spans="1:10" hidden="1" x14ac:dyDescent="0.2">
      <c r="A412" s="11" t="s">
        <v>624</v>
      </c>
      <c r="B412" s="11" t="s">
        <v>758</v>
      </c>
      <c r="C412" s="11" t="s">
        <v>630</v>
      </c>
      <c r="D412" s="6">
        <v>5</v>
      </c>
      <c r="E412" s="11" t="s">
        <v>795</v>
      </c>
      <c r="F412" s="11" t="s">
        <v>901</v>
      </c>
      <c r="G412" s="11" t="s">
        <v>900</v>
      </c>
      <c r="H412" s="11">
        <v>0</v>
      </c>
      <c r="I412" s="11">
        <v>1</v>
      </c>
      <c r="J412" s="11"/>
    </row>
    <row r="413" spans="1:10" hidden="1" x14ac:dyDescent="0.2">
      <c r="A413" s="11" t="s">
        <v>624</v>
      </c>
      <c r="B413" s="11" t="s">
        <v>758</v>
      </c>
      <c r="C413" s="11" t="s">
        <v>636</v>
      </c>
      <c r="D413" s="6">
        <v>5</v>
      </c>
      <c r="E413" s="11" t="s">
        <v>795</v>
      </c>
      <c r="F413" s="11" t="s">
        <v>901</v>
      </c>
      <c r="G413" s="11" t="s">
        <v>900</v>
      </c>
      <c r="H413" s="11">
        <v>0</v>
      </c>
      <c r="I413" s="11">
        <v>1</v>
      </c>
      <c r="J413" s="11"/>
    </row>
    <row r="414" spans="1:10" hidden="1" x14ac:dyDescent="0.2">
      <c r="A414" s="11" t="s">
        <v>624</v>
      </c>
      <c r="B414" s="11" t="s">
        <v>758</v>
      </c>
      <c r="C414" s="11" t="s">
        <v>15</v>
      </c>
      <c r="D414" s="6">
        <v>4</v>
      </c>
      <c r="E414" s="11" t="s">
        <v>795</v>
      </c>
      <c r="F414" s="11" t="s">
        <v>901</v>
      </c>
      <c r="G414" s="11" t="s">
        <v>900</v>
      </c>
      <c r="H414" s="11">
        <v>0</v>
      </c>
      <c r="I414" s="11">
        <v>1</v>
      </c>
      <c r="J414" s="11"/>
    </row>
    <row r="415" spans="1:10" hidden="1" x14ac:dyDescent="0.2">
      <c r="A415" s="11" t="s">
        <v>624</v>
      </c>
      <c r="B415" s="11" t="s">
        <v>758</v>
      </c>
      <c r="C415" s="11" t="s">
        <v>13</v>
      </c>
      <c r="D415" s="6">
        <v>1</v>
      </c>
      <c r="E415" s="11" t="s">
        <v>795</v>
      </c>
      <c r="F415" s="11" t="s">
        <v>901</v>
      </c>
      <c r="G415" s="11" t="s">
        <v>900</v>
      </c>
      <c r="H415" s="11">
        <v>0</v>
      </c>
      <c r="I415" s="11">
        <v>1</v>
      </c>
      <c r="J415" s="11"/>
    </row>
    <row r="416" spans="1:10" hidden="1" x14ac:dyDescent="0.2">
      <c r="A416" s="11" t="s">
        <v>624</v>
      </c>
      <c r="B416" s="11" t="s">
        <v>758</v>
      </c>
      <c r="C416" s="11" t="s">
        <v>638</v>
      </c>
      <c r="D416" s="6">
        <v>1</v>
      </c>
      <c r="E416" s="11" t="s">
        <v>795</v>
      </c>
      <c r="F416" s="11" t="s">
        <v>901</v>
      </c>
      <c r="G416" s="11" t="s">
        <v>900</v>
      </c>
      <c r="H416" s="11">
        <v>1</v>
      </c>
      <c r="I416" s="11">
        <v>1</v>
      </c>
      <c r="J416" s="11"/>
    </row>
    <row r="417" spans="1:10" hidden="1" x14ac:dyDescent="0.2">
      <c r="A417" s="11" t="s">
        <v>624</v>
      </c>
      <c r="B417" s="11" t="s">
        <v>758</v>
      </c>
      <c r="C417" s="11" t="s">
        <v>637</v>
      </c>
      <c r="D417" s="6">
        <v>21</v>
      </c>
      <c r="E417" s="11" t="s">
        <v>795</v>
      </c>
      <c r="F417" s="11" t="s">
        <v>901</v>
      </c>
      <c r="G417" s="11" t="s">
        <v>900</v>
      </c>
      <c r="H417" s="11">
        <v>1</v>
      </c>
      <c r="I417" s="11">
        <v>1</v>
      </c>
      <c r="J417" s="11"/>
    </row>
    <row r="418" spans="1:10" hidden="1" x14ac:dyDescent="0.2">
      <c r="A418" s="11" t="s">
        <v>624</v>
      </c>
      <c r="B418" s="11" t="s">
        <v>758</v>
      </c>
      <c r="C418" s="11" t="s">
        <v>759</v>
      </c>
      <c r="D418" s="6">
        <v>1</v>
      </c>
      <c r="E418" s="11" t="s">
        <v>795</v>
      </c>
      <c r="F418" s="11" t="s">
        <v>901</v>
      </c>
      <c r="G418" s="11" t="s">
        <v>900</v>
      </c>
      <c r="H418" s="11">
        <v>1</v>
      </c>
      <c r="I418" s="11">
        <v>0</v>
      </c>
      <c r="J418" s="11"/>
    </row>
    <row r="419" spans="1:10" hidden="1" x14ac:dyDescent="0.2">
      <c r="A419" s="11" t="s">
        <v>624</v>
      </c>
      <c r="B419" s="11" t="s">
        <v>758</v>
      </c>
      <c r="C419" s="11" t="s">
        <v>629</v>
      </c>
      <c r="D419" s="6">
        <v>1</v>
      </c>
      <c r="E419" s="11" t="s">
        <v>795</v>
      </c>
      <c r="F419" s="11" t="s">
        <v>901</v>
      </c>
      <c r="G419" s="11" t="s">
        <v>900</v>
      </c>
      <c r="H419" s="11">
        <v>1</v>
      </c>
      <c r="I419" s="11">
        <v>0</v>
      </c>
      <c r="J419" s="11"/>
    </row>
    <row r="420" spans="1:10" hidden="1" x14ac:dyDescent="0.2">
      <c r="A420" s="11" t="s">
        <v>624</v>
      </c>
      <c r="B420" s="11" t="s">
        <v>758</v>
      </c>
      <c r="C420" s="11" t="s">
        <v>634</v>
      </c>
      <c r="D420" s="6">
        <v>1</v>
      </c>
      <c r="E420" s="11" t="s">
        <v>795</v>
      </c>
      <c r="F420" s="11" t="s">
        <v>901</v>
      </c>
      <c r="G420" s="11" t="s">
        <v>900</v>
      </c>
      <c r="H420" s="11">
        <v>1</v>
      </c>
      <c r="I420" s="11">
        <v>0</v>
      </c>
      <c r="J420" s="11"/>
    </row>
    <row r="421" spans="1:10" hidden="1" x14ac:dyDescent="0.2">
      <c r="A421" s="11" t="s">
        <v>624</v>
      </c>
      <c r="B421" s="11" t="s">
        <v>758</v>
      </c>
      <c r="C421" s="11" t="s">
        <v>938</v>
      </c>
      <c r="D421" s="6">
        <v>1</v>
      </c>
      <c r="E421" s="11" t="s">
        <v>795</v>
      </c>
      <c r="F421" s="11" t="s">
        <v>901</v>
      </c>
      <c r="G421" s="11" t="s">
        <v>900</v>
      </c>
      <c r="H421" s="11">
        <v>1</v>
      </c>
      <c r="I421" s="11">
        <v>0</v>
      </c>
      <c r="J421" s="11"/>
    </row>
    <row r="422" spans="1:10" hidden="1" x14ac:dyDescent="0.2">
      <c r="A422" s="11" t="s">
        <v>624</v>
      </c>
      <c r="B422" s="11" t="s">
        <v>758</v>
      </c>
      <c r="C422" s="11" t="s">
        <v>740</v>
      </c>
      <c r="D422" s="6">
        <v>15</v>
      </c>
      <c r="E422" s="11" t="s">
        <v>795</v>
      </c>
      <c r="F422" s="11" t="s">
        <v>901</v>
      </c>
      <c r="G422" s="11" t="s">
        <v>900</v>
      </c>
      <c r="H422" s="11">
        <v>1</v>
      </c>
      <c r="I422" s="11">
        <v>0</v>
      </c>
      <c r="J422" s="11"/>
    </row>
    <row r="423" spans="1:10" hidden="1" x14ac:dyDescent="0.2">
      <c r="A423" s="11" t="s">
        <v>624</v>
      </c>
      <c r="B423" s="11" t="s">
        <v>758</v>
      </c>
      <c r="C423" s="11" t="s">
        <v>776</v>
      </c>
      <c r="D423" s="6">
        <v>15</v>
      </c>
      <c r="E423" s="11" t="s">
        <v>795</v>
      </c>
      <c r="F423" s="11" t="s">
        <v>901</v>
      </c>
      <c r="G423" s="11" t="s">
        <v>900</v>
      </c>
      <c r="H423" s="11">
        <v>1</v>
      </c>
      <c r="I423" s="11">
        <v>0</v>
      </c>
      <c r="J423" s="11"/>
    </row>
    <row r="424" spans="1:10" hidden="1" x14ac:dyDescent="0.2">
      <c r="A424" s="11" t="s">
        <v>624</v>
      </c>
      <c r="B424" s="11" t="s">
        <v>758</v>
      </c>
      <c r="C424" s="11" t="s">
        <v>756</v>
      </c>
      <c r="D424" s="6">
        <v>1</v>
      </c>
      <c r="E424" s="11" t="s">
        <v>795</v>
      </c>
      <c r="F424" s="11" t="s">
        <v>901</v>
      </c>
      <c r="G424" s="11" t="s">
        <v>900</v>
      </c>
      <c r="H424" s="11">
        <v>1</v>
      </c>
      <c r="I424" s="11">
        <v>0</v>
      </c>
      <c r="J424" s="11"/>
    </row>
    <row r="425" spans="1:10" hidden="1" x14ac:dyDescent="0.2">
      <c r="A425" s="11" t="s">
        <v>624</v>
      </c>
      <c r="B425" s="11" t="s">
        <v>758</v>
      </c>
      <c r="C425" s="11" t="s">
        <v>763</v>
      </c>
      <c r="D425" s="6">
        <v>1</v>
      </c>
      <c r="E425" s="11" t="s">
        <v>795</v>
      </c>
      <c r="F425" s="11" t="s">
        <v>901</v>
      </c>
      <c r="G425" s="11" t="s">
        <v>900</v>
      </c>
      <c r="H425" s="11">
        <v>1</v>
      </c>
      <c r="I425" s="11">
        <v>0</v>
      </c>
      <c r="J425" s="11"/>
    </row>
    <row r="426" spans="1:10" hidden="1" x14ac:dyDescent="0.2">
      <c r="A426" s="11" t="s">
        <v>624</v>
      </c>
      <c r="B426" s="11" t="s">
        <v>758</v>
      </c>
      <c r="C426" s="11" t="s">
        <v>768</v>
      </c>
      <c r="D426" s="6">
        <v>1</v>
      </c>
      <c r="E426" s="11" t="s">
        <v>795</v>
      </c>
      <c r="F426" s="11" t="s">
        <v>901</v>
      </c>
      <c r="G426" s="11" t="s">
        <v>900</v>
      </c>
      <c r="H426" s="11">
        <v>1</v>
      </c>
      <c r="I426" s="11">
        <v>0</v>
      </c>
      <c r="J426" s="11"/>
    </row>
    <row r="427" spans="1:10" hidden="1" x14ac:dyDescent="0.2">
      <c r="A427" s="11" t="s">
        <v>624</v>
      </c>
      <c r="B427" s="11" t="s">
        <v>758</v>
      </c>
      <c r="C427" s="11" t="s">
        <v>765</v>
      </c>
      <c r="D427" s="6">
        <v>1</v>
      </c>
      <c r="E427" s="11" t="s">
        <v>795</v>
      </c>
      <c r="F427" s="11" t="s">
        <v>901</v>
      </c>
      <c r="G427" s="11" t="s">
        <v>900</v>
      </c>
      <c r="H427" s="11">
        <v>1</v>
      </c>
      <c r="I427" s="11">
        <v>0</v>
      </c>
      <c r="J427" s="11"/>
    </row>
    <row r="428" spans="1:10" hidden="1" x14ac:dyDescent="0.2">
      <c r="A428" s="11" t="s">
        <v>624</v>
      </c>
      <c r="B428" s="11" t="s">
        <v>758</v>
      </c>
      <c r="C428" s="11" t="s">
        <v>771</v>
      </c>
      <c r="D428" s="6">
        <v>1</v>
      </c>
      <c r="E428" s="11" t="s">
        <v>795</v>
      </c>
      <c r="F428" s="11" t="s">
        <v>901</v>
      </c>
      <c r="G428" s="11" t="s">
        <v>900</v>
      </c>
      <c r="H428" s="11">
        <v>1</v>
      </c>
      <c r="I428" s="11">
        <v>0</v>
      </c>
      <c r="J428" s="11"/>
    </row>
    <row r="429" spans="1:10" hidden="1" x14ac:dyDescent="0.2">
      <c r="A429" s="11" t="s">
        <v>624</v>
      </c>
      <c r="B429" s="11" t="s">
        <v>758</v>
      </c>
      <c r="C429" s="11" t="s">
        <v>1300</v>
      </c>
      <c r="D429" s="6">
        <v>2</v>
      </c>
      <c r="E429" s="11" t="s">
        <v>795</v>
      </c>
      <c r="F429" s="11" t="s">
        <v>901</v>
      </c>
      <c r="G429" s="11" t="s">
        <v>900</v>
      </c>
      <c r="H429" s="11">
        <v>1</v>
      </c>
      <c r="I429" s="11">
        <v>0</v>
      </c>
      <c r="J429" s="11"/>
    </row>
    <row r="430" spans="1:10" hidden="1" x14ac:dyDescent="0.2">
      <c r="A430" s="11" t="s">
        <v>624</v>
      </c>
      <c r="B430" s="11" t="s">
        <v>758</v>
      </c>
      <c r="C430" s="11" t="s">
        <v>237</v>
      </c>
      <c r="D430" s="6">
        <v>15</v>
      </c>
      <c r="E430" s="11" t="s">
        <v>795</v>
      </c>
      <c r="F430" s="11" t="s">
        <v>901</v>
      </c>
      <c r="G430" s="11" t="s">
        <v>900</v>
      </c>
      <c r="H430" s="11">
        <v>1</v>
      </c>
      <c r="I430" s="11">
        <v>0</v>
      </c>
      <c r="J430" s="11"/>
    </row>
    <row r="431" spans="1:10" hidden="1" x14ac:dyDescent="0.2">
      <c r="A431" s="11" t="s">
        <v>624</v>
      </c>
      <c r="B431" s="11" t="s">
        <v>758</v>
      </c>
      <c r="C431" s="11" t="s">
        <v>191</v>
      </c>
      <c r="D431" s="6">
        <v>15</v>
      </c>
      <c r="E431" s="11" t="s">
        <v>795</v>
      </c>
      <c r="F431" s="11" t="s">
        <v>901</v>
      </c>
      <c r="G431" s="11" t="s">
        <v>900</v>
      </c>
      <c r="H431" s="11">
        <v>1</v>
      </c>
      <c r="I431" s="11">
        <v>0</v>
      </c>
      <c r="J431" s="11"/>
    </row>
    <row r="432" spans="1:10" hidden="1" x14ac:dyDescent="0.2">
      <c r="A432" s="11" t="s">
        <v>624</v>
      </c>
      <c r="B432" s="11" t="s">
        <v>758</v>
      </c>
      <c r="C432" s="11" t="s">
        <v>779</v>
      </c>
      <c r="D432" s="6">
        <v>1</v>
      </c>
      <c r="E432" s="11" t="s">
        <v>795</v>
      </c>
      <c r="F432" s="11" t="s">
        <v>901</v>
      </c>
      <c r="G432" s="11" t="s">
        <v>900</v>
      </c>
      <c r="H432" s="11">
        <v>1</v>
      </c>
      <c r="I432" s="11">
        <v>0</v>
      </c>
      <c r="J432" s="11"/>
    </row>
    <row r="433" spans="1:10" hidden="1" x14ac:dyDescent="0.2">
      <c r="A433" s="11" t="s">
        <v>624</v>
      </c>
      <c r="B433" s="11" t="s">
        <v>758</v>
      </c>
      <c r="C433" s="11" t="s">
        <v>566</v>
      </c>
      <c r="D433" s="6">
        <v>2</v>
      </c>
      <c r="E433" s="11" t="s">
        <v>795</v>
      </c>
      <c r="F433" s="11" t="s">
        <v>901</v>
      </c>
      <c r="G433" s="11" t="s">
        <v>900</v>
      </c>
      <c r="H433" s="11">
        <v>1</v>
      </c>
      <c r="I433" s="11">
        <v>0</v>
      </c>
      <c r="J433" s="11"/>
    </row>
    <row r="434" spans="1:10" hidden="1" x14ac:dyDescent="0.2">
      <c r="A434" s="11" t="s">
        <v>624</v>
      </c>
      <c r="B434" s="11" t="s">
        <v>758</v>
      </c>
      <c r="C434" s="11" t="s">
        <v>612</v>
      </c>
      <c r="D434" s="6">
        <v>1</v>
      </c>
      <c r="E434" s="11" t="s">
        <v>795</v>
      </c>
      <c r="F434" s="11" t="s">
        <v>901</v>
      </c>
      <c r="G434" s="11" t="s">
        <v>900</v>
      </c>
      <c r="H434" s="11">
        <v>1</v>
      </c>
      <c r="I434" s="11">
        <v>0</v>
      </c>
      <c r="J434" s="11"/>
    </row>
    <row r="435" spans="1:10" hidden="1" x14ac:dyDescent="0.2">
      <c r="A435" s="11" t="s">
        <v>624</v>
      </c>
      <c r="B435" s="11" t="s">
        <v>879</v>
      </c>
      <c r="C435" s="11" t="s">
        <v>12</v>
      </c>
      <c r="D435" s="6">
        <v>1</v>
      </c>
      <c r="E435" s="11" t="s">
        <v>880</v>
      </c>
      <c r="F435" s="11" t="s">
        <v>901</v>
      </c>
      <c r="G435" s="11" t="s">
        <v>900</v>
      </c>
      <c r="H435" s="11">
        <v>1</v>
      </c>
      <c r="I435" s="11"/>
      <c r="J435" s="11"/>
    </row>
    <row r="436" spans="1:10" hidden="1" x14ac:dyDescent="0.2">
      <c r="A436" s="11" t="s">
        <v>624</v>
      </c>
      <c r="B436" s="11" t="s">
        <v>879</v>
      </c>
      <c r="C436" s="11" t="s">
        <v>14</v>
      </c>
      <c r="D436" s="6">
        <v>1</v>
      </c>
      <c r="E436" s="11" t="s">
        <v>880</v>
      </c>
      <c r="F436" s="11" t="s">
        <v>901</v>
      </c>
      <c r="G436" s="11" t="s">
        <v>900</v>
      </c>
      <c r="H436" s="11"/>
      <c r="I436" s="11">
        <v>1</v>
      </c>
      <c r="J436" s="11"/>
    </row>
    <row r="437" spans="1:10" hidden="1" x14ac:dyDescent="0.2">
      <c r="A437" s="11" t="s">
        <v>624</v>
      </c>
      <c r="B437" s="11" t="s">
        <v>879</v>
      </c>
      <c r="C437" s="11" t="s">
        <v>630</v>
      </c>
      <c r="D437" s="6">
        <v>4</v>
      </c>
      <c r="E437" s="11" t="s">
        <v>880</v>
      </c>
      <c r="F437" s="11" t="s">
        <v>901</v>
      </c>
      <c r="G437" s="11" t="s">
        <v>900</v>
      </c>
      <c r="H437" s="11"/>
      <c r="I437" s="11">
        <v>1</v>
      </c>
      <c r="J437" s="11"/>
    </row>
    <row r="438" spans="1:10" hidden="1" x14ac:dyDescent="0.2">
      <c r="A438" s="11" t="s">
        <v>624</v>
      </c>
      <c r="B438" s="11" t="s">
        <v>879</v>
      </c>
      <c r="C438" s="11" t="s">
        <v>636</v>
      </c>
      <c r="D438" s="6">
        <v>3</v>
      </c>
      <c r="E438" s="11" t="s">
        <v>880</v>
      </c>
      <c r="F438" s="11" t="s">
        <v>901</v>
      </c>
      <c r="G438" s="11" t="s">
        <v>900</v>
      </c>
      <c r="H438" s="11"/>
      <c r="I438" s="11">
        <v>1</v>
      </c>
      <c r="J438" s="11"/>
    </row>
    <row r="439" spans="1:10" hidden="1" x14ac:dyDescent="0.2">
      <c r="A439" s="11" t="s">
        <v>624</v>
      </c>
      <c r="B439" s="11" t="s">
        <v>879</v>
      </c>
      <c r="C439" s="11" t="s">
        <v>15</v>
      </c>
      <c r="D439" s="6">
        <v>4</v>
      </c>
      <c r="E439" s="11" t="s">
        <v>880</v>
      </c>
      <c r="F439" s="11" t="s">
        <v>901</v>
      </c>
      <c r="G439" s="11" t="s">
        <v>900</v>
      </c>
      <c r="H439" s="11"/>
      <c r="I439" s="11">
        <v>1</v>
      </c>
      <c r="J439" s="11"/>
    </row>
    <row r="440" spans="1:10" hidden="1" x14ac:dyDescent="0.2">
      <c r="A440" s="11" t="s">
        <v>624</v>
      </c>
      <c r="B440" s="11" t="s">
        <v>879</v>
      </c>
      <c r="C440" s="11" t="s">
        <v>13</v>
      </c>
      <c r="D440" s="6">
        <v>1</v>
      </c>
      <c r="E440" s="11" t="s">
        <v>880</v>
      </c>
      <c r="F440" s="11" t="s">
        <v>901</v>
      </c>
      <c r="G440" s="11" t="s">
        <v>900</v>
      </c>
      <c r="H440" s="11"/>
      <c r="I440" s="11">
        <v>1</v>
      </c>
      <c r="J440" s="11"/>
    </row>
    <row r="441" spans="1:10" hidden="1" x14ac:dyDescent="0.2">
      <c r="A441" s="11" t="s">
        <v>624</v>
      </c>
      <c r="B441" s="11" t="s">
        <v>879</v>
      </c>
      <c r="C441" s="11" t="s">
        <v>637</v>
      </c>
      <c r="D441" s="6">
        <v>19</v>
      </c>
      <c r="E441" s="11" t="s">
        <v>880</v>
      </c>
      <c r="F441" s="11" t="s">
        <v>901</v>
      </c>
      <c r="G441" s="11" t="s">
        <v>900</v>
      </c>
      <c r="H441" s="11">
        <v>1</v>
      </c>
      <c r="I441" s="11"/>
      <c r="J441" s="11"/>
    </row>
    <row r="442" spans="1:10" hidden="1" x14ac:dyDescent="0.2">
      <c r="A442" s="11" t="s">
        <v>624</v>
      </c>
      <c r="B442" s="11" t="s">
        <v>879</v>
      </c>
      <c r="C442" s="11" t="s">
        <v>759</v>
      </c>
      <c r="D442" s="6">
        <v>1</v>
      </c>
      <c r="E442" s="11" t="s">
        <v>880</v>
      </c>
      <c r="F442" s="11" t="s">
        <v>901</v>
      </c>
      <c r="G442" s="11" t="s">
        <v>900</v>
      </c>
      <c r="H442" s="11">
        <v>1</v>
      </c>
      <c r="I442" s="11"/>
      <c r="J442" s="11"/>
    </row>
    <row r="443" spans="1:10" hidden="1" x14ac:dyDescent="0.2">
      <c r="A443" s="11" t="s">
        <v>624</v>
      </c>
      <c r="B443" s="11" t="s">
        <v>879</v>
      </c>
      <c r="C443" s="11" t="s">
        <v>629</v>
      </c>
      <c r="D443" s="6">
        <v>2</v>
      </c>
      <c r="E443" s="11" t="s">
        <v>880</v>
      </c>
      <c r="F443" s="11" t="s">
        <v>901</v>
      </c>
      <c r="G443" s="11" t="s">
        <v>900</v>
      </c>
      <c r="H443" s="11">
        <v>1</v>
      </c>
      <c r="I443" s="11">
        <v>1</v>
      </c>
      <c r="J443" s="11"/>
    </row>
    <row r="444" spans="1:10" hidden="1" x14ac:dyDescent="0.2">
      <c r="A444" s="11" t="s">
        <v>624</v>
      </c>
      <c r="B444" s="11" t="s">
        <v>879</v>
      </c>
      <c r="C444" s="11" t="s">
        <v>634</v>
      </c>
      <c r="D444" s="6">
        <v>1</v>
      </c>
      <c r="E444" s="11" t="s">
        <v>880</v>
      </c>
      <c r="F444" s="11" t="s">
        <v>901</v>
      </c>
      <c r="G444" s="11" t="s">
        <v>900</v>
      </c>
      <c r="H444" s="11">
        <v>1</v>
      </c>
      <c r="I444" s="11"/>
      <c r="J444" s="11"/>
    </row>
    <row r="445" spans="1:10" hidden="1" x14ac:dyDescent="0.2">
      <c r="A445" s="11" t="s">
        <v>624</v>
      </c>
      <c r="B445" s="11" t="s">
        <v>879</v>
      </c>
      <c r="C445" s="11" t="s">
        <v>625</v>
      </c>
      <c r="D445" s="6">
        <v>1</v>
      </c>
      <c r="E445" s="11" t="s">
        <v>880</v>
      </c>
      <c r="F445" s="11" t="s">
        <v>901</v>
      </c>
      <c r="G445" s="11" t="s">
        <v>900</v>
      </c>
      <c r="H445" s="11">
        <v>1</v>
      </c>
      <c r="I445" s="11"/>
      <c r="J445" s="11"/>
    </row>
    <row r="446" spans="1:10" hidden="1" x14ac:dyDescent="0.2">
      <c r="A446" s="11" t="s">
        <v>624</v>
      </c>
      <c r="B446" s="11" t="s">
        <v>879</v>
      </c>
      <c r="C446" s="11" t="s">
        <v>237</v>
      </c>
      <c r="D446" s="6">
        <v>13</v>
      </c>
      <c r="E446" s="11" t="s">
        <v>880</v>
      </c>
      <c r="F446" s="11" t="s">
        <v>901</v>
      </c>
      <c r="G446" s="11" t="s">
        <v>900</v>
      </c>
      <c r="H446" s="11">
        <v>1</v>
      </c>
      <c r="I446" s="11"/>
      <c r="J446" s="11"/>
    </row>
    <row r="447" spans="1:10" hidden="1" x14ac:dyDescent="0.2">
      <c r="A447" s="11" t="s">
        <v>624</v>
      </c>
      <c r="B447" s="11" t="s">
        <v>879</v>
      </c>
      <c r="C447" s="11" t="s">
        <v>191</v>
      </c>
      <c r="D447" s="6">
        <v>13</v>
      </c>
      <c r="E447" s="11" t="s">
        <v>880</v>
      </c>
      <c r="F447" s="11" t="s">
        <v>901</v>
      </c>
      <c r="G447" s="11" t="s">
        <v>900</v>
      </c>
      <c r="H447" s="11">
        <v>1</v>
      </c>
      <c r="I447" s="11"/>
      <c r="J447" s="11"/>
    </row>
    <row r="448" spans="1:10" hidden="1" x14ac:dyDescent="0.2">
      <c r="A448" s="11" t="s">
        <v>624</v>
      </c>
      <c r="B448" s="11" t="s">
        <v>879</v>
      </c>
      <c r="C448" s="11" t="s">
        <v>779</v>
      </c>
      <c r="D448" s="6">
        <v>1</v>
      </c>
      <c r="E448" s="11" t="s">
        <v>880</v>
      </c>
      <c r="F448" s="11" t="s">
        <v>901</v>
      </c>
      <c r="G448" s="11" t="s">
        <v>900</v>
      </c>
      <c r="H448" s="11">
        <v>1</v>
      </c>
      <c r="I448" s="11"/>
      <c r="J448" s="11"/>
    </row>
    <row r="449" spans="1:10" hidden="1" x14ac:dyDescent="0.2">
      <c r="A449" s="11" t="s">
        <v>624</v>
      </c>
      <c r="B449" s="11" t="s">
        <v>879</v>
      </c>
      <c r="C449" s="11" t="s">
        <v>768</v>
      </c>
      <c r="D449" s="6">
        <v>1</v>
      </c>
      <c r="E449" s="11" t="s">
        <v>880</v>
      </c>
      <c r="F449" s="11" t="s">
        <v>901</v>
      </c>
      <c r="G449" s="11" t="s">
        <v>900</v>
      </c>
      <c r="H449" s="11">
        <v>1</v>
      </c>
      <c r="I449" s="11"/>
      <c r="J449" s="11"/>
    </row>
    <row r="450" spans="1:10" hidden="1" x14ac:dyDescent="0.2">
      <c r="A450" s="11" t="s">
        <v>624</v>
      </c>
      <c r="B450" s="11" t="s">
        <v>879</v>
      </c>
      <c r="C450" s="11" t="s">
        <v>765</v>
      </c>
      <c r="D450" s="6">
        <v>1</v>
      </c>
      <c r="E450" s="11" t="s">
        <v>880</v>
      </c>
      <c r="F450" s="11" t="s">
        <v>901</v>
      </c>
      <c r="G450" s="11" t="s">
        <v>900</v>
      </c>
      <c r="H450" s="11">
        <v>1</v>
      </c>
      <c r="I450" s="11"/>
      <c r="J450" s="11"/>
    </row>
    <row r="451" spans="1:10" hidden="1" x14ac:dyDescent="0.2">
      <c r="A451" s="11" t="s">
        <v>624</v>
      </c>
      <c r="B451" s="11" t="s">
        <v>879</v>
      </c>
      <c r="C451" s="11" t="s">
        <v>938</v>
      </c>
      <c r="D451" s="6">
        <v>1</v>
      </c>
      <c r="E451" s="11" t="s">
        <v>880</v>
      </c>
      <c r="F451" s="11" t="s">
        <v>901</v>
      </c>
      <c r="G451" s="11" t="s">
        <v>900</v>
      </c>
      <c r="H451" s="11">
        <v>1</v>
      </c>
      <c r="I451" s="11"/>
      <c r="J451" s="11"/>
    </row>
    <row r="452" spans="1:10" hidden="1" x14ac:dyDescent="0.2">
      <c r="A452" s="11" t="s">
        <v>624</v>
      </c>
      <c r="B452" s="11" t="s">
        <v>879</v>
      </c>
      <c r="C452" s="11" t="s">
        <v>771</v>
      </c>
      <c r="D452" s="6">
        <v>1</v>
      </c>
      <c r="E452" s="11" t="s">
        <v>880</v>
      </c>
      <c r="F452" s="11" t="s">
        <v>901</v>
      </c>
      <c r="G452" s="11" t="s">
        <v>900</v>
      </c>
      <c r="H452" s="11">
        <v>1</v>
      </c>
      <c r="I452" s="11"/>
      <c r="J452" s="11"/>
    </row>
    <row r="453" spans="1:10" hidden="1" x14ac:dyDescent="0.2">
      <c r="A453" s="11" t="s">
        <v>624</v>
      </c>
      <c r="B453" s="11" t="s">
        <v>879</v>
      </c>
      <c r="C453" s="11" t="s">
        <v>882</v>
      </c>
      <c r="D453" s="6">
        <v>1</v>
      </c>
      <c r="E453" s="11" t="s">
        <v>880</v>
      </c>
      <c r="F453" s="11" t="s">
        <v>901</v>
      </c>
      <c r="G453" s="11" t="s">
        <v>900</v>
      </c>
      <c r="H453" s="11">
        <v>1</v>
      </c>
      <c r="I453" s="11">
        <v>1</v>
      </c>
      <c r="J453" s="11"/>
    </row>
    <row r="454" spans="1:10" hidden="1" x14ac:dyDescent="0.2">
      <c r="A454" s="11" t="s">
        <v>624</v>
      </c>
      <c r="B454" s="11" t="s">
        <v>879</v>
      </c>
      <c r="C454" s="11" t="s">
        <v>884</v>
      </c>
      <c r="D454" s="6">
        <v>1</v>
      </c>
      <c r="E454" s="11" t="s">
        <v>880</v>
      </c>
      <c r="F454" s="11" t="s">
        <v>901</v>
      </c>
      <c r="G454" s="11" t="s">
        <v>900</v>
      </c>
      <c r="H454" s="11">
        <v>1</v>
      </c>
      <c r="I454" s="11"/>
      <c r="J454" s="11"/>
    </row>
    <row r="455" spans="1:10" hidden="1" x14ac:dyDescent="0.2">
      <c r="A455" s="11" t="s">
        <v>624</v>
      </c>
      <c r="B455" s="11" t="s">
        <v>879</v>
      </c>
      <c r="C455" s="11" t="s">
        <v>786</v>
      </c>
      <c r="D455" s="6">
        <v>19</v>
      </c>
      <c r="E455" s="11" t="s">
        <v>880</v>
      </c>
      <c r="F455" s="11" t="s">
        <v>901</v>
      </c>
      <c r="G455" s="11" t="s">
        <v>900</v>
      </c>
      <c r="H455" s="11">
        <v>1</v>
      </c>
      <c r="I455" s="11"/>
      <c r="J455" s="11"/>
    </row>
    <row r="456" spans="1:10" hidden="1" x14ac:dyDescent="0.2">
      <c r="A456" s="11" t="s">
        <v>624</v>
      </c>
      <c r="B456" s="11" t="s">
        <v>879</v>
      </c>
      <c r="C456" s="11" t="s">
        <v>564</v>
      </c>
      <c r="D456" s="6">
        <v>1</v>
      </c>
      <c r="E456" s="11" t="s">
        <v>880</v>
      </c>
      <c r="F456" s="11" t="s">
        <v>901</v>
      </c>
      <c r="G456" s="11" t="s">
        <v>900</v>
      </c>
      <c r="H456" s="11">
        <v>1</v>
      </c>
      <c r="I456" s="11"/>
      <c r="J456" s="11"/>
    </row>
    <row r="457" spans="1:10" hidden="1" x14ac:dyDescent="0.2">
      <c r="A457" s="11" t="s">
        <v>624</v>
      </c>
      <c r="B457" s="11" t="s">
        <v>879</v>
      </c>
      <c r="C457" s="11" t="s">
        <v>612</v>
      </c>
      <c r="D457" s="6">
        <v>0.5</v>
      </c>
      <c r="E457" s="11" t="s">
        <v>880</v>
      </c>
      <c r="F457" s="11" t="s">
        <v>901</v>
      </c>
      <c r="G457" s="11" t="s">
        <v>900</v>
      </c>
      <c r="H457" s="11">
        <v>1</v>
      </c>
      <c r="I457" s="11"/>
      <c r="J457" s="11"/>
    </row>
    <row r="458" spans="1:10" hidden="1" x14ac:dyDescent="0.2">
      <c r="A458" s="11" t="s">
        <v>624</v>
      </c>
      <c r="B458" s="11" t="s">
        <v>887</v>
      </c>
      <c r="C458" s="11" t="s">
        <v>12</v>
      </c>
      <c r="D458" s="6">
        <v>1</v>
      </c>
      <c r="E458" s="11" t="s">
        <v>888</v>
      </c>
      <c r="F458" s="11" t="s">
        <v>901</v>
      </c>
      <c r="G458" s="11" t="s">
        <v>900</v>
      </c>
      <c r="H458" s="11">
        <v>1</v>
      </c>
      <c r="I458" s="11"/>
      <c r="J458" s="11"/>
    </row>
    <row r="459" spans="1:10" hidden="1" x14ac:dyDescent="0.2">
      <c r="A459" s="11" t="s">
        <v>624</v>
      </c>
      <c r="B459" s="11" t="s">
        <v>887</v>
      </c>
      <c r="C459" s="11" t="s">
        <v>14</v>
      </c>
      <c r="D459" s="6">
        <v>1</v>
      </c>
      <c r="E459" s="11" t="s">
        <v>888</v>
      </c>
      <c r="F459" s="11" t="s">
        <v>901</v>
      </c>
      <c r="G459" s="11" t="s">
        <v>900</v>
      </c>
      <c r="H459" s="11"/>
      <c r="I459" s="11">
        <v>1</v>
      </c>
      <c r="J459" s="11"/>
    </row>
    <row r="460" spans="1:10" hidden="1" x14ac:dyDescent="0.2">
      <c r="A460" s="11" t="s">
        <v>624</v>
      </c>
      <c r="B460" s="11" t="s">
        <v>887</v>
      </c>
      <c r="C460" s="11" t="s">
        <v>630</v>
      </c>
      <c r="D460" s="6">
        <v>3</v>
      </c>
      <c r="E460" s="11" t="s">
        <v>888</v>
      </c>
      <c r="F460" s="11" t="s">
        <v>901</v>
      </c>
      <c r="G460" s="11" t="s">
        <v>900</v>
      </c>
      <c r="H460" s="11"/>
      <c r="I460" s="11">
        <v>1</v>
      </c>
      <c r="J460" s="11"/>
    </row>
    <row r="461" spans="1:10" hidden="1" x14ac:dyDescent="0.2">
      <c r="A461" s="11" t="s">
        <v>624</v>
      </c>
      <c r="B461" s="11" t="s">
        <v>887</v>
      </c>
      <c r="C461" s="11" t="s">
        <v>636</v>
      </c>
      <c r="D461" s="6">
        <v>4</v>
      </c>
      <c r="E461" s="11" t="s">
        <v>888</v>
      </c>
      <c r="F461" s="11" t="s">
        <v>901</v>
      </c>
      <c r="G461" s="11" t="s">
        <v>900</v>
      </c>
      <c r="H461" s="11"/>
      <c r="I461" s="11">
        <v>1</v>
      </c>
      <c r="J461" s="11"/>
    </row>
    <row r="462" spans="1:10" hidden="1" x14ac:dyDescent="0.2">
      <c r="A462" s="11" t="s">
        <v>624</v>
      </c>
      <c r="B462" s="11" t="s">
        <v>887</v>
      </c>
      <c r="C462" s="11" t="s">
        <v>15</v>
      </c>
      <c r="D462" s="6">
        <v>5</v>
      </c>
      <c r="E462" s="11" t="s">
        <v>888</v>
      </c>
      <c r="F462" s="11" t="s">
        <v>901</v>
      </c>
      <c r="G462" s="11" t="s">
        <v>900</v>
      </c>
      <c r="H462" s="11"/>
      <c r="I462" s="11">
        <v>1</v>
      </c>
      <c r="J462" s="11"/>
    </row>
    <row r="463" spans="1:10" hidden="1" x14ac:dyDescent="0.2">
      <c r="A463" s="11" t="s">
        <v>624</v>
      </c>
      <c r="B463" s="11" t="s">
        <v>887</v>
      </c>
      <c r="C463" s="11" t="s">
        <v>13</v>
      </c>
      <c r="D463" s="6">
        <v>1</v>
      </c>
      <c r="E463" s="11" t="s">
        <v>888</v>
      </c>
      <c r="F463" s="11" t="s">
        <v>901</v>
      </c>
      <c r="G463" s="11" t="s">
        <v>900</v>
      </c>
      <c r="H463" s="11"/>
      <c r="I463" s="11">
        <v>1</v>
      </c>
      <c r="J463" s="11"/>
    </row>
    <row r="464" spans="1:10" hidden="1" x14ac:dyDescent="0.2">
      <c r="A464" s="11" t="s">
        <v>624</v>
      </c>
      <c r="B464" s="11" t="s">
        <v>887</v>
      </c>
      <c r="C464" s="11" t="s">
        <v>637</v>
      </c>
      <c r="D464" s="6">
        <v>18</v>
      </c>
      <c r="E464" s="11" t="s">
        <v>888</v>
      </c>
      <c r="F464" s="11" t="s">
        <v>901</v>
      </c>
      <c r="G464" s="11" t="s">
        <v>900</v>
      </c>
      <c r="H464" s="11">
        <v>1</v>
      </c>
      <c r="I464" s="11"/>
      <c r="J464" s="11"/>
    </row>
    <row r="465" spans="1:10" hidden="1" x14ac:dyDescent="0.2">
      <c r="A465" s="11" t="s">
        <v>624</v>
      </c>
      <c r="B465" s="11" t="s">
        <v>887</v>
      </c>
      <c r="C465" s="11" t="s">
        <v>759</v>
      </c>
      <c r="D465" s="6">
        <v>1</v>
      </c>
      <c r="E465" s="11" t="s">
        <v>888</v>
      </c>
      <c r="F465" s="11" t="s">
        <v>901</v>
      </c>
      <c r="G465" s="11" t="s">
        <v>900</v>
      </c>
      <c r="H465" s="11">
        <v>1</v>
      </c>
      <c r="I465" s="11"/>
      <c r="J465" s="11"/>
    </row>
    <row r="466" spans="1:10" hidden="1" x14ac:dyDescent="0.2">
      <c r="A466" s="11" t="s">
        <v>624</v>
      </c>
      <c r="B466" s="11" t="s">
        <v>887</v>
      </c>
      <c r="C466" s="11" t="s">
        <v>629</v>
      </c>
      <c r="D466" s="6">
        <v>2</v>
      </c>
      <c r="E466" s="11" t="s">
        <v>888</v>
      </c>
      <c r="F466" s="11" t="s">
        <v>901</v>
      </c>
      <c r="G466" s="11" t="s">
        <v>900</v>
      </c>
      <c r="H466" s="11">
        <v>1</v>
      </c>
      <c r="I466" s="11">
        <v>1</v>
      </c>
      <c r="J466" s="11"/>
    </row>
    <row r="467" spans="1:10" hidden="1" x14ac:dyDescent="0.2">
      <c r="A467" s="11" t="s">
        <v>624</v>
      </c>
      <c r="B467" s="11" t="s">
        <v>887</v>
      </c>
      <c r="C467" s="11" t="s">
        <v>625</v>
      </c>
      <c r="D467" s="6">
        <v>1</v>
      </c>
      <c r="E467" s="11" t="s">
        <v>888</v>
      </c>
      <c r="F467" s="11" t="s">
        <v>901</v>
      </c>
      <c r="G467" s="11" t="s">
        <v>900</v>
      </c>
      <c r="H467" s="11">
        <v>1</v>
      </c>
      <c r="I467" s="11"/>
      <c r="J467" s="11"/>
    </row>
    <row r="468" spans="1:10" hidden="1" x14ac:dyDescent="0.2">
      <c r="A468" s="11" t="s">
        <v>624</v>
      </c>
      <c r="B468" s="11" t="s">
        <v>887</v>
      </c>
      <c r="C468" s="11" t="s">
        <v>237</v>
      </c>
      <c r="D468" s="6">
        <v>16</v>
      </c>
      <c r="E468" s="11" t="s">
        <v>888</v>
      </c>
      <c r="F468" s="11" t="s">
        <v>901</v>
      </c>
      <c r="G468" s="11" t="s">
        <v>900</v>
      </c>
      <c r="H468" s="11">
        <v>1</v>
      </c>
      <c r="I468" s="11"/>
      <c r="J468" s="11"/>
    </row>
    <row r="469" spans="1:10" hidden="1" x14ac:dyDescent="0.2">
      <c r="A469" s="11" t="s">
        <v>624</v>
      </c>
      <c r="B469" s="11" t="s">
        <v>887</v>
      </c>
      <c r="C469" s="11" t="s">
        <v>191</v>
      </c>
      <c r="D469" s="6">
        <v>16</v>
      </c>
      <c r="E469" s="11" t="s">
        <v>888</v>
      </c>
      <c r="F469" s="11" t="s">
        <v>901</v>
      </c>
      <c r="G469" s="11" t="s">
        <v>900</v>
      </c>
      <c r="H469" s="11">
        <v>1</v>
      </c>
      <c r="I469" s="11"/>
      <c r="J469" s="11"/>
    </row>
    <row r="470" spans="1:10" hidden="1" x14ac:dyDescent="0.2">
      <c r="A470" s="11" t="s">
        <v>624</v>
      </c>
      <c r="B470" s="11" t="s">
        <v>887</v>
      </c>
      <c r="C470" s="11" t="s">
        <v>779</v>
      </c>
      <c r="D470" s="6">
        <v>1</v>
      </c>
      <c r="E470" s="11" t="s">
        <v>888</v>
      </c>
      <c r="F470" s="11" t="s">
        <v>901</v>
      </c>
      <c r="G470" s="11" t="s">
        <v>900</v>
      </c>
      <c r="H470" s="11">
        <v>1</v>
      </c>
      <c r="I470" s="11"/>
      <c r="J470" s="11"/>
    </row>
    <row r="471" spans="1:10" hidden="1" x14ac:dyDescent="0.2">
      <c r="A471" s="11" t="s">
        <v>624</v>
      </c>
      <c r="B471" s="11" t="s">
        <v>887</v>
      </c>
      <c r="C471" s="11" t="s">
        <v>768</v>
      </c>
      <c r="D471" s="6">
        <v>1</v>
      </c>
      <c r="E471" s="11" t="s">
        <v>888</v>
      </c>
      <c r="F471" s="11" t="s">
        <v>901</v>
      </c>
      <c r="G471" s="11" t="s">
        <v>900</v>
      </c>
      <c r="H471" s="11">
        <v>1</v>
      </c>
      <c r="I471" s="11"/>
      <c r="J471" s="11"/>
    </row>
    <row r="472" spans="1:10" hidden="1" x14ac:dyDescent="0.2">
      <c r="A472" s="11" t="s">
        <v>624</v>
      </c>
      <c r="B472" s="11" t="s">
        <v>887</v>
      </c>
      <c r="C472" s="11" t="s">
        <v>765</v>
      </c>
      <c r="D472" s="6">
        <v>1</v>
      </c>
      <c r="E472" s="11" t="s">
        <v>888</v>
      </c>
      <c r="F472" s="11" t="s">
        <v>901</v>
      </c>
      <c r="G472" s="11" t="s">
        <v>900</v>
      </c>
      <c r="H472" s="11">
        <v>1</v>
      </c>
      <c r="I472" s="11"/>
      <c r="J472" s="11"/>
    </row>
    <row r="473" spans="1:10" hidden="1" x14ac:dyDescent="0.2">
      <c r="A473" s="11" t="s">
        <v>624</v>
      </c>
      <c r="B473" s="11" t="s">
        <v>887</v>
      </c>
      <c r="C473" s="11" t="s">
        <v>938</v>
      </c>
      <c r="D473" s="6">
        <v>1</v>
      </c>
      <c r="E473" s="11" t="s">
        <v>888</v>
      </c>
      <c r="F473" s="11" t="s">
        <v>901</v>
      </c>
      <c r="G473" s="11" t="s">
        <v>900</v>
      </c>
      <c r="H473" s="11">
        <v>1</v>
      </c>
      <c r="I473" s="11"/>
      <c r="J473" s="11"/>
    </row>
    <row r="474" spans="1:10" hidden="1" x14ac:dyDescent="0.2">
      <c r="A474" s="11" t="s">
        <v>624</v>
      </c>
      <c r="B474" s="11" t="s">
        <v>887</v>
      </c>
      <c r="C474" s="11" t="s">
        <v>771</v>
      </c>
      <c r="D474" s="6">
        <v>1</v>
      </c>
      <c r="E474" s="11" t="s">
        <v>888</v>
      </c>
      <c r="F474" s="11" t="s">
        <v>901</v>
      </c>
      <c r="G474" s="11" t="s">
        <v>900</v>
      </c>
      <c r="H474" s="11">
        <v>1</v>
      </c>
      <c r="I474" s="11"/>
      <c r="J474" s="11"/>
    </row>
    <row r="475" spans="1:10" hidden="1" x14ac:dyDescent="0.2">
      <c r="A475" s="11" t="s">
        <v>624</v>
      </c>
      <c r="B475" s="11" t="s">
        <v>887</v>
      </c>
      <c r="C475" s="11" t="s">
        <v>882</v>
      </c>
      <c r="D475" s="6">
        <v>1</v>
      </c>
      <c r="E475" s="11" t="s">
        <v>888</v>
      </c>
      <c r="F475" s="11" t="s">
        <v>901</v>
      </c>
      <c r="G475" s="11" t="s">
        <v>900</v>
      </c>
      <c r="H475" s="11">
        <v>1</v>
      </c>
      <c r="I475" s="11">
        <v>1</v>
      </c>
      <c r="J475" s="11"/>
    </row>
    <row r="476" spans="1:10" hidden="1" x14ac:dyDescent="0.2">
      <c r="A476" s="11" t="s">
        <v>624</v>
      </c>
      <c r="B476" s="11" t="s">
        <v>887</v>
      </c>
      <c r="C476" s="11" t="s">
        <v>884</v>
      </c>
      <c r="D476" s="6">
        <v>1</v>
      </c>
      <c r="E476" s="11" t="s">
        <v>888</v>
      </c>
      <c r="F476" s="11" t="s">
        <v>901</v>
      </c>
      <c r="G476" s="11" t="s">
        <v>900</v>
      </c>
      <c r="H476" s="11">
        <v>1</v>
      </c>
      <c r="I476" s="11"/>
      <c r="J476" s="11"/>
    </row>
    <row r="477" spans="1:10" hidden="1" x14ac:dyDescent="0.2">
      <c r="A477" s="11" t="s">
        <v>624</v>
      </c>
      <c r="B477" s="11" t="s">
        <v>887</v>
      </c>
      <c r="C477" s="11" t="s">
        <v>786</v>
      </c>
      <c r="D477" s="6">
        <v>19</v>
      </c>
      <c r="E477" s="11" t="s">
        <v>888</v>
      </c>
      <c r="F477" s="11" t="s">
        <v>901</v>
      </c>
      <c r="G477" s="11" t="s">
        <v>900</v>
      </c>
      <c r="H477" s="11">
        <v>1</v>
      </c>
      <c r="I477" s="11"/>
      <c r="J477" s="11"/>
    </row>
    <row r="478" spans="1:10" hidden="1" x14ac:dyDescent="0.2">
      <c r="A478" s="11" t="s">
        <v>624</v>
      </c>
      <c r="B478" s="11" t="s">
        <v>887</v>
      </c>
      <c r="C478" s="11" t="s">
        <v>564</v>
      </c>
      <c r="D478" s="6">
        <v>1</v>
      </c>
      <c r="E478" s="11" t="s">
        <v>888</v>
      </c>
      <c r="F478" s="11" t="s">
        <v>901</v>
      </c>
      <c r="G478" s="11" t="s">
        <v>900</v>
      </c>
      <c r="H478" s="11">
        <v>1</v>
      </c>
      <c r="I478" s="11"/>
      <c r="J478" s="11"/>
    </row>
    <row r="479" spans="1:10" hidden="1" x14ac:dyDescent="0.2">
      <c r="A479" s="11" t="s">
        <v>624</v>
      </c>
      <c r="B479" s="11" t="s">
        <v>887</v>
      </c>
      <c r="C479" s="11" t="s">
        <v>612</v>
      </c>
      <c r="D479" s="6">
        <v>0.5</v>
      </c>
      <c r="E479" s="11" t="s">
        <v>888</v>
      </c>
      <c r="F479" s="11" t="s">
        <v>901</v>
      </c>
      <c r="G479" s="11" t="s">
        <v>900</v>
      </c>
      <c r="H479" s="11">
        <v>1</v>
      </c>
      <c r="I479" s="11"/>
      <c r="J479" s="11"/>
    </row>
    <row r="480" spans="1:10" hidden="1" x14ac:dyDescent="0.2">
      <c r="A480" s="11" t="s">
        <v>624</v>
      </c>
      <c r="B480" s="11" t="s">
        <v>872</v>
      </c>
      <c r="C480" s="11" t="s">
        <v>853</v>
      </c>
      <c r="D480" s="6">
        <v>2</v>
      </c>
      <c r="E480" s="11" t="s">
        <v>875</v>
      </c>
      <c r="F480" s="11" t="s">
        <v>901</v>
      </c>
      <c r="G480" s="11" t="s">
        <v>900</v>
      </c>
      <c r="H480" s="11"/>
      <c r="I480" s="11">
        <v>1</v>
      </c>
      <c r="J480" s="11"/>
    </row>
    <row r="481" spans="1:10" hidden="1" x14ac:dyDescent="0.2">
      <c r="A481" s="11" t="s">
        <v>624</v>
      </c>
      <c r="B481" s="11" t="s">
        <v>872</v>
      </c>
      <c r="C481" s="11" t="s">
        <v>1118</v>
      </c>
      <c r="D481" s="6">
        <v>1</v>
      </c>
      <c r="E481" s="11" t="s">
        <v>875</v>
      </c>
      <c r="F481" s="11" t="s">
        <v>901</v>
      </c>
      <c r="G481" s="11" t="s">
        <v>900</v>
      </c>
      <c r="H481" s="11"/>
      <c r="I481" s="11">
        <v>1</v>
      </c>
      <c r="J481" s="11"/>
    </row>
    <row r="482" spans="1:10" hidden="1" x14ac:dyDescent="0.2">
      <c r="A482" s="11" t="s">
        <v>624</v>
      </c>
      <c r="B482" s="11" t="s">
        <v>872</v>
      </c>
      <c r="C482" s="11" t="s">
        <v>1117</v>
      </c>
      <c r="D482" s="6">
        <v>1</v>
      </c>
      <c r="E482" s="11" t="s">
        <v>875</v>
      </c>
      <c r="F482" s="11" t="s">
        <v>901</v>
      </c>
      <c r="G482" s="11" t="s">
        <v>900</v>
      </c>
      <c r="H482" s="11"/>
      <c r="I482" s="11">
        <v>1</v>
      </c>
      <c r="J482" s="11"/>
    </row>
    <row r="483" spans="1:10" hidden="1" x14ac:dyDescent="0.2">
      <c r="A483" s="11" t="s">
        <v>624</v>
      </c>
      <c r="B483" s="11" t="s">
        <v>872</v>
      </c>
      <c r="C483" s="11" t="s">
        <v>855</v>
      </c>
      <c r="D483" s="6">
        <v>1</v>
      </c>
      <c r="E483" s="11" t="s">
        <v>875</v>
      </c>
      <c r="F483" s="11" t="s">
        <v>901</v>
      </c>
      <c r="G483" s="11" t="s">
        <v>900</v>
      </c>
      <c r="H483" s="11"/>
      <c r="I483" s="11">
        <v>1</v>
      </c>
      <c r="J483" s="11"/>
    </row>
    <row r="484" spans="1:10" x14ac:dyDescent="0.2">
      <c r="A484" s="11" t="s">
        <v>787</v>
      </c>
      <c r="B484" s="11" t="s">
        <v>788</v>
      </c>
      <c r="C484" s="11" t="s">
        <v>786</v>
      </c>
      <c r="D484" s="6">
        <v>15</v>
      </c>
      <c r="E484" s="11" t="s">
        <v>794</v>
      </c>
      <c r="F484" s="11" t="s">
        <v>901</v>
      </c>
      <c r="G484" s="11" t="s">
        <v>900</v>
      </c>
      <c r="H484" s="11">
        <v>1</v>
      </c>
      <c r="I484" s="11"/>
      <c r="J484" s="11"/>
    </row>
    <row r="485" spans="1:10" x14ac:dyDescent="0.2">
      <c r="A485" s="11" t="s">
        <v>787</v>
      </c>
      <c r="B485" s="11" t="s">
        <v>788</v>
      </c>
      <c r="C485" s="11" t="s">
        <v>790</v>
      </c>
      <c r="D485" s="6">
        <v>1</v>
      </c>
      <c r="E485" s="11" t="s">
        <v>794</v>
      </c>
      <c r="F485" s="11" t="s">
        <v>901</v>
      </c>
      <c r="G485" s="11" t="s">
        <v>900</v>
      </c>
      <c r="H485" s="11">
        <v>1</v>
      </c>
      <c r="I485" s="11"/>
      <c r="J485" s="11"/>
    </row>
    <row r="486" spans="1:10" x14ac:dyDescent="0.2">
      <c r="A486" s="11" t="s">
        <v>787</v>
      </c>
      <c r="B486" s="11" t="s">
        <v>788</v>
      </c>
      <c r="C486" s="11" t="s">
        <v>12</v>
      </c>
      <c r="D486" s="6">
        <v>1</v>
      </c>
      <c r="E486" s="11" t="s">
        <v>794</v>
      </c>
      <c r="F486" s="11" t="s">
        <v>901</v>
      </c>
      <c r="G486" s="11" t="s">
        <v>900</v>
      </c>
      <c r="H486" s="11">
        <v>1</v>
      </c>
      <c r="I486" s="11"/>
      <c r="J486" s="11"/>
    </row>
    <row r="487" spans="1:10" x14ac:dyDescent="0.2">
      <c r="A487" s="11" t="s">
        <v>787</v>
      </c>
      <c r="B487" s="11" t="s">
        <v>788</v>
      </c>
      <c r="C487" s="11" t="s">
        <v>13</v>
      </c>
      <c r="D487" s="6">
        <v>1</v>
      </c>
      <c r="E487" s="11" t="s">
        <v>794</v>
      </c>
      <c r="F487" s="11" t="s">
        <v>901</v>
      </c>
      <c r="G487" s="11" t="s">
        <v>900</v>
      </c>
      <c r="H487" s="11">
        <v>1</v>
      </c>
      <c r="I487" s="11"/>
      <c r="J487" s="11"/>
    </row>
    <row r="488" spans="1:10" x14ac:dyDescent="0.2">
      <c r="A488" s="11" t="s">
        <v>787</v>
      </c>
      <c r="B488" s="11" t="s">
        <v>788</v>
      </c>
      <c r="C488" s="11" t="s">
        <v>629</v>
      </c>
      <c r="D488" s="6">
        <v>1</v>
      </c>
      <c r="E488" s="11" t="s">
        <v>794</v>
      </c>
      <c r="F488" s="11" t="s">
        <v>901</v>
      </c>
      <c r="G488" s="11" t="s">
        <v>900</v>
      </c>
      <c r="H488" s="11">
        <v>1</v>
      </c>
      <c r="I488" s="11"/>
      <c r="J488" s="11"/>
    </row>
    <row r="489" spans="1:10" x14ac:dyDescent="0.2">
      <c r="A489" s="11" t="s">
        <v>787</v>
      </c>
      <c r="B489" s="11" t="s">
        <v>788</v>
      </c>
      <c r="C489" s="11" t="s">
        <v>637</v>
      </c>
      <c r="D489" s="6">
        <v>4</v>
      </c>
      <c r="E489" s="11" t="s">
        <v>794</v>
      </c>
      <c r="F489" s="11" t="s">
        <v>901</v>
      </c>
      <c r="G489" s="11" t="s">
        <v>900</v>
      </c>
      <c r="H489" s="11">
        <v>1</v>
      </c>
      <c r="I489" s="11"/>
      <c r="J489" s="11"/>
    </row>
    <row r="490" spans="1:10" x14ac:dyDescent="0.2">
      <c r="A490" s="11" t="s">
        <v>787</v>
      </c>
      <c r="B490" s="11" t="s">
        <v>788</v>
      </c>
      <c r="C490" s="11" t="s">
        <v>939</v>
      </c>
      <c r="D490" s="6">
        <v>1</v>
      </c>
      <c r="E490" s="11" t="s">
        <v>794</v>
      </c>
      <c r="F490" s="11" t="s">
        <v>901</v>
      </c>
      <c r="G490" s="11" t="s">
        <v>900</v>
      </c>
      <c r="H490" s="11">
        <v>1</v>
      </c>
      <c r="I490" s="11"/>
      <c r="J490" s="11"/>
    </row>
    <row r="491" spans="1:10" x14ac:dyDescent="0.2">
      <c r="A491" s="11" t="s">
        <v>787</v>
      </c>
      <c r="B491" s="11" t="s">
        <v>788</v>
      </c>
      <c r="C491" s="11" t="s">
        <v>791</v>
      </c>
      <c r="D491" s="6">
        <v>3</v>
      </c>
      <c r="E491" s="11" t="s">
        <v>794</v>
      </c>
      <c r="F491" s="11" t="s">
        <v>901</v>
      </c>
      <c r="G491" s="11" t="s">
        <v>900</v>
      </c>
      <c r="H491" s="11">
        <v>1</v>
      </c>
      <c r="I491" s="11"/>
      <c r="J491" s="11"/>
    </row>
    <row r="492" spans="1:10" x14ac:dyDescent="0.2">
      <c r="A492" s="11" t="s">
        <v>787</v>
      </c>
      <c r="B492" s="11" t="s">
        <v>788</v>
      </c>
      <c r="C492" s="11" t="s">
        <v>792</v>
      </c>
      <c r="D492" s="6">
        <v>1</v>
      </c>
      <c r="E492" s="11" t="s">
        <v>794</v>
      </c>
      <c r="F492" s="11" t="s">
        <v>901</v>
      </c>
      <c r="G492" s="11" t="s">
        <v>900</v>
      </c>
      <c r="H492" s="11">
        <v>1</v>
      </c>
      <c r="I492" s="11"/>
      <c r="J492" s="11"/>
    </row>
    <row r="493" spans="1:10" x14ac:dyDescent="0.2">
      <c r="A493" s="11" t="s">
        <v>787</v>
      </c>
      <c r="B493" s="11" t="s">
        <v>788</v>
      </c>
      <c r="C493" s="11" t="s">
        <v>703</v>
      </c>
      <c r="D493" s="6">
        <v>2</v>
      </c>
      <c r="E493" s="11" t="s">
        <v>794</v>
      </c>
      <c r="F493" s="11" t="s">
        <v>901</v>
      </c>
      <c r="G493" s="11" t="s">
        <v>900</v>
      </c>
      <c r="H493" s="11">
        <v>1</v>
      </c>
      <c r="I493" s="11"/>
      <c r="J493" s="11"/>
    </row>
    <row r="494" spans="1:10" x14ac:dyDescent="0.2">
      <c r="A494" s="11" t="s">
        <v>787</v>
      </c>
      <c r="B494" s="11" t="s">
        <v>788</v>
      </c>
      <c r="C494" s="11" t="s">
        <v>793</v>
      </c>
      <c r="D494" s="6">
        <v>5</v>
      </c>
      <c r="E494" s="11" t="s">
        <v>794</v>
      </c>
      <c r="F494" s="11" t="s">
        <v>901</v>
      </c>
      <c r="G494" s="11" t="s">
        <v>900</v>
      </c>
      <c r="H494" s="11">
        <v>1</v>
      </c>
      <c r="I494" s="11"/>
      <c r="J494" s="11"/>
    </row>
    <row r="495" spans="1:10" x14ac:dyDescent="0.2">
      <c r="A495" s="11" t="s">
        <v>787</v>
      </c>
      <c r="B495" s="11" t="s">
        <v>788</v>
      </c>
      <c r="C495" s="11" t="s">
        <v>737</v>
      </c>
      <c r="D495" s="6">
        <v>1</v>
      </c>
      <c r="E495" s="11" t="s">
        <v>794</v>
      </c>
      <c r="F495" s="11" t="s">
        <v>901</v>
      </c>
      <c r="G495" s="11" t="s">
        <v>900</v>
      </c>
      <c r="H495" s="11">
        <v>1</v>
      </c>
      <c r="I495" s="11"/>
      <c r="J495" s="11"/>
    </row>
    <row r="496" spans="1:10" x14ac:dyDescent="0.2">
      <c r="A496" s="11" t="s">
        <v>787</v>
      </c>
      <c r="B496" s="11" t="s">
        <v>788</v>
      </c>
      <c r="C496" s="11" t="s">
        <v>826</v>
      </c>
      <c r="D496" s="6">
        <v>1</v>
      </c>
      <c r="E496" s="11" t="s">
        <v>794</v>
      </c>
      <c r="F496" s="11" t="s">
        <v>901</v>
      </c>
      <c r="G496" s="11" t="s">
        <v>900</v>
      </c>
      <c r="H496" s="11">
        <v>1</v>
      </c>
      <c r="I496" s="11"/>
      <c r="J496" s="11"/>
    </row>
    <row r="497" spans="1:10" x14ac:dyDescent="0.2">
      <c r="A497" s="11" t="s">
        <v>787</v>
      </c>
      <c r="B497" s="11" t="s">
        <v>788</v>
      </c>
      <c r="C497" s="11" t="s">
        <v>829</v>
      </c>
      <c r="D497" s="6">
        <v>1</v>
      </c>
      <c r="E497" s="11" t="s">
        <v>794</v>
      </c>
      <c r="F497" s="11" t="s">
        <v>901</v>
      </c>
      <c r="G497" s="11" t="s">
        <v>900</v>
      </c>
      <c r="H497" s="11">
        <v>1</v>
      </c>
      <c r="I497" s="11"/>
      <c r="J497" s="11"/>
    </row>
    <row r="498" spans="1:10" x14ac:dyDescent="0.2">
      <c r="A498" s="11" t="s">
        <v>787</v>
      </c>
      <c r="B498" s="11" t="s">
        <v>788</v>
      </c>
      <c r="C498" s="11" t="s">
        <v>771</v>
      </c>
      <c r="D498" s="6">
        <v>1</v>
      </c>
      <c r="E498" s="11" t="s">
        <v>794</v>
      </c>
      <c r="F498" s="11" t="s">
        <v>901</v>
      </c>
      <c r="G498" s="11" t="s">
        <v>900</v>
      </c>
      <c r="H498" s="11">
        <v>1</v>
      </c>
      <c r="I498" s="11"/>
      <c r="J498" s="11"/>
    </row>
    <row r="499" spans="1:10" x14ac:dyDescent="0.2">
      <c r="A499" s="11" t="s">
        <v>787</v>
      </c>
      <c r="B499" s="11" t="s">
        <v>788</v>
      </c>
      <c r="C499" s="11" t="s">
        <v>566</v>
      </c>
      <c r="D499" s="6">
        <v>1</v>
      </c>
      <c r="E499" s="11" t="s">
        <v>794</v>
      </c>
      <c r="F499" s="11" t="s">
        <v>901</v>
      </c>
      <c r="G499" s="11" t="s">
        <v>900</v>
      </c>
      <c r="H499" s="11">
        <v>1</v>
      </c>
      <c r="I499" s="11"/>
      <c r="J499" s="11"/>
    </row>
    <row r="500" spans="1:10" x14ac:dyDescent="0.2">
      <c r="A500" s="11" t="s">
        <v>787</v>
      </c>
      <c r="B500" s="11" t="s">
        <v>788</v>
      </c>
      <c r="C500" s="11" t="s">
        <v>612</v>
      </c>
      <c r="D500" s="6">
        <v>1</v>
      </c>
      <c r="E500" s="11" t="s">
        <v>794</v>
      </c>
      <c r="F500" s="11" t="s">
        <v>901</v>
      </c>
      <c r="G500" s="11" t="s">
        <v>900</v>
      </c>
      <c r="H500" s="11">
        <v>1</v>
      </c>
      <c r="I500" s="11"/>
      <c r="J500" s="11"/>
    </row>
    <row r="501" spans="1:10" hidden="1" x14ac:dyDescent="0.2">
      <c r="A501" s="11" t="s">
        <v>620</v>
      </c>
      <c r="B501" s="11" t="s">
        <v>988</v>
      </c>
      <c r="C501" s="11" t="s">
        <v>978</v>
      </c>
      <c r="D501" s="6">
        <v>1</v>
      </c>
      <c r="E501" s="11" t="s">
        <v>937</v>
      </c>
      <c r="F501" s="11" t="s">
        <v>901</v>
      </c>
      <c r="G501" s="11" t="s">
        <v>900</v>
      </c>
      <c r="H501" s="11">
        <v>1</v>
      </c>
      <c r="I501" s="11"/>
      <c r="J501" s="11"/>
    </row>
    <row r="502" spans="1:10" hidden="1" x14ac:dyDescent="0.2">
      <c r="A502" s="11" t="s">
        <v>620</v>
      </c>
      <c r="B502" s="11" t="s">
        <v>988</v>
      </c>
      <c r="C502" s="11" t="s">
        <v>989</v>
      </c>
      <c r="D502" s="6">
        <v>1</v>
      </c>
      <c r="E502" s="11" t="s">
        <v>937</v>
      </c>
      <c r="F502" s="11" t="s">
        <v>901</v>
      </c>
      <c r="G502" s="11" t="s">
        <v>900</v>
      </c>
      <c r="H502" s="11">
        <v>1</v>
      </c>
      <c r="I502" s="11"/>
      <c r="J502" s="11"/>
    </row>
    <row r="503" spans="1:10" hidden="1" x14ac:dyDescent="0.2">
      <c r="A503" s="11" t="s">
        <v>620</v>
      </c>
      <c r="B503" s="11" t="s">
        <v>988</v>
      </c>
      <c r="C503" s="11" t="s">
        <v>156</v>
      </c>
      <c r="D503" s="6">
        <v>1</v>
      </c>
      <c r="E503" s="11" t="s">
        <v>937</v>
      </c>
      <c r="F503" s="11" t="s">
        <v>901</v>
      </c>
      <c r="G503" s="11" t="s">
        <v>900</v>
      </c>
      <c r="H503" s="11">
        <v>1</v>
      </c>
      <c r="I503" s="11"/>
      <c r="J503" s="11"/>
    </row>
    <row r="504" spans="1:10" hidden="1" x14ac:dyDescent="0.2">
      <c r="A504" s="11" t="s">
        <v>620</v>
      </c>
      <c r="B504" s="11" t="s">
        <v>988</v>
      </c>
      <c r="C504" s="11" t="s">
        <v>877</v>
      </c>
      <c r="D504" s="6">
        <v>1</v>
      </c>
      <c r="E504" s="11" t="s">
        <v>937</v>
      </c>
      <c r="F504" s="11" t="s">
        <v>901</v>
      </c>
      <c r="G504" s="11" t="s">
        <v>900</v>
      </c>
      <c r="H504" s="11">
        <v>1</v>
      </c>
      <c r="I504" s="11"/>
      <c r="J504" s="11"/>
    </row>
    <row r="505" spans="1:10" hidden="1" x14ac:dyDescent="0.2">
      <c r="A505" s="11" t="s">
        <v>620</v>
      </c>
      <c r="B505" s="11" t="s">
        <v>988</v>
      </c>
      <c r="C505" s="11" t="s">
        <v>811</v>
      </c>
      <c r="D505" s="6">
        <v>1</v>
      </c>
      <c r="E505" s="11" t="s">
        <v>937</v>
      </c>
      <c r="F505" s="11" t="s">
        <v>901</v>
      </c>
      <c r="G505" s="11" t="s">
        <v>900</v>
      </c>
      <c r="H505" s="11">
        <v>1</v>
      </c>
      <c r="I505" s="11"/>
      <c r="J505" s="11"/>
    </row>
    <row r="506" spans="1:10" x14ac:dyDescent="0.2">
      <c r="A506" s="11" t="s">
        <v>787</v>
      </c>
      <c r="B506" s="11" t="s">
        <v>979</v>
      </c>
      <c r="C506" s="11" t="s">
        <v>12</v>
      </c>
      <c r="D506" s="6">
        <v>1</v>
      </c>
      <c r="E506" s="11" t="s">
        <v>980</v>
      </c>
      <c r="F506" s="11" t="s">
        <v>901</v>
      </c>
      <c r="G506" s="11" t="s">
        <v>900</v>
      </c>
      <c r="H506" s="11"/>
      <c r="I506" s="11"/>
      <c r="J506" s="11"/>
    </row>
    <row r="507" spans="1:10" x14ac:dyDescent="0.2">
      <c r="A507" s="11" t="s">
        <v>787</v>
      </c>
      <c r="B507" s="11" t="s">
        <v>979</v>
      </c>
      <c r="C507" s="11" t="s">
        <v>13</v>
      </c>
      <c r="D507" s="6">
        <v>2</v>
      </c>
      <c r="E507" s="11" t="s">
        <v>980</v>
      </c>
      <c r="F507" s="11" t="s">
        <v>901</v>
      </c>
      <c r="G507" s="11" t="s">
        <v>900</v>
      </c>
      <c r="H507" s="11"/>
      <c r="I507" s="11"/>
      <c r="J507" s="11"/>
    </row>
    <row r="508" spans="1:10" x14ac:dyDescent="0.2">
      <c r="A508" s="11" t="s">
        <v>787</v>
      </c>
      <c r="B508" s="11" t="s">
        <v>979</v>
      </c>
      <c r="C508" s="11" t="s">
        <v>629</v>
      </c>
      <c r="D508" s="6">
        <v>1</v>
      </c>
      <c r="E508" s="11" t="s">
        <v>980</v>
      </c>
      <c r="F508" s="11" t="s">
        <v>901</v>
      </c>
      <c r="G508" s="11" t="s">
        <v>900</v>
      </c>
      <c r="H508" s="11"/>
      <c r="I508" s="11"/>
    </row>
    <row r="509" spans="1:10" x14ac:dyDescent="0.2">
      <c r="A509" s="11" t="s">
        <v>787</v>
      </c>
      <c r="B509" s="11" t="s">
        <v>979</v>
      </c>
      <c r="C509" s="11" t="s">
        <v>18</v>
      </c>
      <c r="D509" s="6">
        <v>2</v>
      </c>
      <c r="E509" s="11" t="s">
        <v>980</v>
      </c>
      <c r="F509" s="11" t="s">
        <v>901</v>
      </c>
      <c r="G509" s="11" t="s">
        <v>900</v>
      </c>
      <c r="H509" s="11"/>
      <c r="I509" s="11"/>
    </row>
    <row r="510" spans="1:10" x14ac:dyDescent="0.2">
      <c r="A510" s="11" t="s">
        <v>787</v>
      </c>
      <c r="B510" s="11" t="s">
        <v>979</v>
      </c>
      <c r="C510" s="11" t="s">
        <v>637</v>
      </c>
      <c r="D510" s="6">
        <v>6</v>
      </c>
      <c r="E510" s="11" t="s">
        <v>980</v>
      </c>
      <c r="F510" s="11" t="s">
        <v>901</v>
      </c>
      <c r="G510" s="11" t="s">
        <v>900</v>
      </c>
      <c r="H510" s="11"/>
      <c r="I510" s="11"/>
    </row>
    <row r="511" spans="1:10" x14ac:dyDescent="0.2">
      <c r="A511" s="11" t="s">
        <v>787</v>
      </c>
      <c r="B511" s="11" t="s">
        <v>979</v>
      </c>
      <c r="C511" s="11" t="s">
        <v>829</v>
      </c>
      <c r="D511" s="6">
        <v>1</v>
      </c>
      <c r="E511" s="11" t="s">
        <v>980</v>
      </c>
      <c r="F511" s="11" t="s">
        <v>901</v>
      </c>
      <c r="G511" s="11" t="s">
        <v>900</v>
      </c>
      <c r="H511" s="11"/>
      <c r="I511" s="11"/>
    </row>
    <row r="512" spans="1:10" x14ac:dyDescent="0.2">
      <c r="A512" s="11" t="s">
        <v>787</v>
      </c>
      <c r="B512" s="11" t="s">
        <v>979</v>
      </c>
      <c r="C512" s="11" t="s">
        <v>981</v>
      </c>
      <c r="D512" s="6">
        <v>1</v>
      </c>
      <c r="E512" s="11" t="s">
        <v>980</v>
      </c>
      <c r="F512" s="11" t="s">
        <v>901</v>
      </c>
      <c r="G512" s="11" t="s">
        <v>900</v>
      </c>
      <c r="H512" s="11"/>
      <c r="I512" s="11"/>
    </row>
    <row r="513" spans="1:9" x14ac:dyDescent="0.2">
      <c r="A513" s="11" t="s">
        <v>787</v>
      </c>
      <c r="B513" s="11" t="s">
        <v>979</v>
      </c>
      <c r="C513" s="11" t="s">
        <v>698</v>
      </c>
      <c r="D513" s="6">
        <v>1</v>
      </c>
      <c r="E513" s="11" t="s">
        <v>980</v>
      </c>
      <c r="F513" s="11" t="s">
        <v>901</v>
      </c>
      <c r="G513" s="11" t="s">
        <v>900</v>
      </c>
      <c r="H513" s="11"/>
      <c r="I513" s="11"/>
    </row>
    <row r="514" spans="1:9" x14ac:dyDescent="0.2">
      <c r="A514" s="11" t="s">
        <v>787</v>
      </c>
      <c r="B514" s="11" t="s">
        <v>979</v>
      </c>
      <c r="C514" s="11" t="s">
        <v>696</v>
      </c>
      <c r="D514" s="6">
        <v>1</v>
      </c>
      <c r="E514" s="11" t="s">
        <v>980</v>
      </c>
      <c r="F514" s="11" t="s">
        <v>901</v>
      </c>
      <c r="G514" s="11" t="s">
        <v>900</v>
      </c>
      <c r="H514" s="11"/>
      <c r="I514" s="11"/>
    </row>
    <row r="515" spans="1:9" x14ac:dyDescent="0.2">
      <c r="A515" s="11" t="s">
        <v>787</v>
      </c>
      <c r="B515" s="11" t="s">
        <v>979</v>
      </c>
      <c r="C515" s="11" t="s">
        <v>726</v>
      </c>
      <c r="D515" s="6">
        <v>1</v>
      </c>
      <c r="E515" s="11" t="s">
        <v>980</v>
      </c>
      <c r="F515" s="11" t="s">
        <v>901</v>
      </c>
      <c r="G515" s="11" t="s">
        <v>900</v>
      </c>
      <c r="H515" s="11"/>
      <c r="I515" s="11"/>
    </row>
    <row r="516" spans="1:9" x14ac:dyDescent="0.2">
      <c r="A516" s="11" t="s">
        <v>787</v>
      </c>
      <c r="B516" s="11" t="s">
        <v>979</v>
      </c>
      <c r="C516" s="11" t="s">
        <v>737</v>
      </c>
      <c r="D516" s="6">
        <v>1</v>
      </c>
      <c r="E516" s="11" t="s">
        <v>980</v>
      </c>
      <c r="F516" s="11" t="s">
        <v>901</v>
      </c>
      <c r="G516" s="11" t="s">
        <v>900</v>
      </c>
      <c r="H516" s="11"/>
      <c r="I516" s="11"/>
    </row>
    <row r="517" spans="1:9" x14ac:dyDescent="0.2">
      <c r="A517" s="11" t="s">
        <v>787</v>
      </c>
      <c r="B517" s="11" t="s">
        <v>979</v>
      </c>
      <c r="C517" s="11" t="s">
        <v>703</v>
      </c>
      <c r="D517" s="6">
        <v>10</v>
      </c>
      <c r="E517" s="11" t="s">
        <v>980</v>
      </c>
      <c r="F517" s="11" t="s">
        <v>901</v>
      </c>
      <c r="G517" s="11" t="s">
        <v>900</v>
      </c>
      <c r="H517" s="11"/>
      <c r="I517" s="11"/>
    </row>
    <row r="518" spans="1:9" x14ac:dyDescent="0.2">
      <c r="A518" s="11" t="s">
        <v>787</v>
      </c>
      <c r="B518" s="11" t="s">
        <v>979</v>
      </c>
      <c r="C518" s="11" t="s">
        <v>692</v>
      </c>
      <c r="D518" s="6">
        <v>4</v>
      </c>
      <c r="E518" s="11" t="s">
        <v>980</v>
      </c>
      <c r="F518" s="11" t="s">
        <v>901</v>
      </c>
      <c r="G518" s="11" t="s">
        <v>900</v>
      </c>
      <c r="H518" s="11"/>
      <c r="I518" s="11"/>
    </row>
    <row r="519" spans="1:9" x14ac:dyDescent="0.2">
      <c r="A519" s="11" t="s">
        <v>787</v>
      </c>
      <c r="B519" s="11" t="s">
        <v>979</v>
      </c>
      <c r="C519" s="11" t="s">
        <v>790</v>
      </c>
      <c r="D519" s="6">
        <v>1</v>
      </c>
      <c r="E519" s="11" t="s">
        <v>980</v>
      </c>
      <c r="F519" s="11" t="s">
        <v>901</v>
      </c>
      <c r="G519" s="11" t="s">
        <v>900</v>
      </c>
      <c r="H519" s="11"/>
      <c r="I519" s="11"/>
    </row>
    <row r="520" spans="1:9" x14ac:dyDescent="0.2">
      <c r="A520" s="11" t="s">
        <v>787</v>
      </c>
      <c r="B520" s="11" t="s">
        <v>979</v>
      </c>
      <c r="C520" s="11" t="s">
        <v>564</v>
      </c>
      <c r="D520" s="6">
        <v>1</v>
      </c>
      <c r="E520" s="11" t="s">
        <v>980</v>
      </c>
      <c r="F520" s="11" t="s">
        <v>901</v>
      </c>
      <c r="G520" s="11" t="s">
        <v>900</v>
      </c>
      <c r="H520" s="11"/>
      <c r="I520" s="11"/>
    </row>
    <row r="521" spans="1:9" x14ac:dyDescent="0.2">
      <c r="A521" s="11" t="s">
        <v>787</v>
      </c>
      <c r="B521" s="11" t="s">
        <v>979</v>
      </c>
      <c r="C521" s="11" t="s">
        <v>889</v>
      </c>
      <c r="D521" s="6">
        <v>1</v>
      </c>
      <c r="E521" s="11" t="s">
        <v>980</v>
      </c>
      <c r="F521" s="11" t="s">
        <v>901</v>
      </c>
      <c r="G521" s="11" t="s">
        <v>900</v>
      </c>
      <c r="H521" s="11"/>
      <c r="I521" s="11"/>
    </row>
    <row r="522" spans="1:9" x14ac:dyDescent="0.2">
      <c r="A522" s="11" t="s">
        <v>787</v>
      </c>
      <c r="B522" s="11" t="s">
        <v>979</v>
      </c>
      <c r="C522" s="11" t="s">
        <v>890</v>
      </c>
      <c r="D522" s="6">
        <v>1</v>
      </c>
      <c r="E522" s="11" t="s">
        <v>980</v>
      </c>
      <c r="F522" s="11" t="s">
        <v>901</v>
      </c>
      <c r="G522" s="11" t="s">
        <v>900</v>
      </c>
      <c r="H522" s="11"/>
      <c r="I522" s="11"/>
    </row>
    <row r="523" spans="1:9" x14ac:dyDescent="0.2">
      <c r="A523" s="11" t="s">
        <v>787</v>
      </c>
      <c r="B523" s="11" t="s">
        <v>979</v>
      </c>
      <c r="C523" s="11" t="s">
        <v>882</v>
      </c>
      <c r="D523" s="6">
        <v>1</v>
      </c>
      <c r="E523" s="11" t="s">
        <v>980</v>
      </c>
      <c r="F523" s="11" t="s">
        <v>901</v>
      </c>
      <c r="G523" s="11" t="s">
        <v>900</v>
      </c>
      <c r="H523" s="11"/>
      <c r="I523" s="11"/>
    </row>
    <row r="524" spans="1:9" x14ac:dyDescent="0.2">
      <c r="A524" s="11" t="s">
        <v>787</v>
      </c>
      <c r="B524" s="11" t="s">
        <v>979</v>
      </c>
      <c r="C524" s="11" t="s">
        <v>884</v>
      </c>
      <c r="D524" s="6">
        <v>1</v>
      </c>
      <c r="E524" s="11" t="s">
        <v>980</v>
      </c>
      <c r="F524" s="11" t="s">
        <v>901</v>
      </c>
      <c r="G524" s="11" t="s">
        <v>900</v>
      </c>
      <c r="H524" s="11"/>
      <c r="I524" s="11"/>
    </row>
    <row r="525" spans="1:9" hidden="1" x14ac:dyDescent="0.2">
      <c r="A525" s="11" t="s">
        <v>620</v>
      </c>
      <c r="B525" s="11" t="s">
        <v>988</v>
      </c>
      <c r="C525" s="11" t="s">
        <v>158</v>
      </c>
      <c r="D525" s="6">
        <v>1</v>
      </c>
      <c r="E525" s="11" t="s">
        <v>937</v>
      </c>
      <c r="F525" s="11" t="s">
        <v>901</v>
      </c>
      <c r="G525" s="11" t="s">
        <v>900</v>
      </c>
      <c r="H525" s="11">
        <v>1</v>
      </c>
      <c r="I525" s="11"/>
    </row>
    <row r="526" spans="1:9" hidden="1" x14ac:dyDescent="0.2">
      <c r="A526" s="11" t="s">
        <v>620</v>
      </c>
      <c r="B526" s="11" t="s">
        <v>988</v>
      </c>
      <c r="C526" s="11" t="s">
        <v>990</v>
      </c>
      <c r="D526" s="6">
        <v>1</v>
      </c>
      <c r="E526" s="11" t="s">
        <v>937</v>
      </c>
      <c r="F526" s="11" t="s">
        <v>901</v>
      </c>
      <c r="G526" s="11" t="s">
        <v>900</v>
      </c>
      <c r="H526" s="11">
        <v>1</v>
      </c>
      <c r="I526" s="11"/>
    </row>
    <row r="527" spans="1:9" hidden="1" x14ac:dyDescent="0.2">
      <c r="A527" s="11" t="s">
        <v>620</v>
      </c>
      <c r="B527" s="11" t="s">
        <v>988</v>
      </c>
      <c r="C527" s="11" t="s">
        <v>991</v>
      </c>
      <c r="D527" s="6">
        <v>1</v>
      </c>
      <c r="E527" s="11" t="s">
        <v>937</v>
      </c>
      <c r="F527" s="11" t="s">
        <v>901</v>
      </c>
      <c r="G527" s="11" t="s">
        <v>900</v>
      </c>
      <c r="H527" s="11">
        <v>1</v>
      </c>
      <c r="I527" s="11"/>
    </row>
    <row r="528" spans="1:9" hidden="1" x14ac:dyDescent="0.2">
      <c r="A528" s="11" t="s">
        <v>992</v>
      </c>
      <c r="B528" s="11" t="s">
        <v>993</v>
      </c>
      <c r="C528" s="11" t="s">
        <v>994</v>
      </c>
      <c r="D528" s="6">
        <v>1</v>
      </c>
      <c r="E528" s="11" t="s">
        <v>995</v>
      </c>
      <c r="F528" s="11" t="s">
        <v>901</v>
      </c>
      <c r="G528" s="11" t="s">
        <v>900</v>
      </c>
      <c r="H528" s="11"/>
      <c r="I528" s="11"/>
    </row>
    <row r="529" spans="1:9" hidden="1" x14ac:dyDescent="0.2">
      <c r="A529" s="11" t="s">
        <v>992</v>
      </c>
      <c r="B529" s="11" t="s">
        <v>993</v>
      </c>
      <c r="C529" s="11" t="s">
        <v>996</v>
      </c>
      <c r="D529" s="6">
        <v>1</v>
      </c>
      <c r="E529" s="11" t="s">
        <v>995</v>
      </c>
      <c r="F529" s="11" t="s">
        <v>901</v>
      </c>
      <c r="G529" s="11" t="s">
        <v>900</v>
      </c>
      <c r="H529" s="11"/>
      <c r="I529" s="11"/>
    </row>
    <row r="530" spans="1:9" hidden="1" x14ac:dyDescent="0.2">
      <c r="A530" s="11" t="s">
        <v>992</v>
      </c>
      <c r="B530" s="11" t="s">
        <v>993</v>
      </c>
      <c r="C530" s="11" t="s">
        <v>997</v>
      </c>
      <c r="D530" s="6">
        <v>1</v>
      </c>
      <c r="E530" s="11" t="s">
        <v>995</v>
      </c>
      <c r="F530" s="11" t="s">
        <v>901</v>
      </c>
      <c r="G530" s="11" t="s">
        <v>900</v>
      </c>
      <c r="H530" s="11"/>
      <c r="I530" s="11"/>
    </row>
    <row r="531" spans="1:9" hidden="1" x14ac:dyDescent="0.2">
      <c r="A531" s="11" t="s">
        <v>992</v>
      </c>
      <c r="B531" s="11" t="s">
        <v>998</v>
      </c>
      <c r="C531" s="11" t="s">
        <v>852</v>
      </c>
      <c r="D531" s="6">
        <v>1</v>
      </c>
      <c r="E531" s="11" t="s">
        <v>999</v>
      </c>
      <c r="F531" s="11" t="s">
        <v>901</v>
      </c>
      <c r="G531" s="11" t="s">
        <v>900</v>
      </c>
      <c r="H531" s="11"/>
      <c r="I531" s="11"/>
    </row>
    <row r="532" spans="1:9" hidden="1" x14ac:dyDescent="0.2">
      <c r="A532" s="11" t="s">
        <v>992</v>
      </c>
      <c r="B532" s="11" t="s">
        <v>998</v>
      </c>
      <c r="C532" s="11" t="s">
        <v>851</v>
      </c>
      <c r="D532" s="6">
        <v>1</v>
      </c>
      <c r="E532" s="11" t="s">
        <v>999</v>
      </c>
      <c r="F532" s="11" t="s">
        <v>901</v>
      </c>
      <c r="G532" s="11" t="s">
        <v>900</v>
      </c>
      <c r="H532" s="11"/>
      <c r="I532" s="11"/>
    </row>
    <row r="533" spans="1:9" hidden="1" x14ac:dyDescent="0.2">
      <c r="A533" s="11" t="s">
        <v>992</v>
      </c>
      <c r="B533" s="11" t="s">
        <v>998</v>
      </c>
      <c r="C533" s="11" t="s">
        <v>997</v>
      </c>
      <c r="D533" s="6">
        <v>1</v>
      </c>
      <c r="E533" s="11" t="s">
        <v>999</v>
      </c>
      <c r="F533" s="11" t="s">
        <v>901</v>
      </c>
      <c r="G533" s="11" t="s">
        <v>900</v>
      </c>
      <c r="H533" s="11"/>
      <c r="I533" s="11"/>
    </row>
    <row r="534" spans="1:9" hidden="1" x14ac:dyDescent="0.2">
      <c r="A534" s="11" t="s">
        <v>620</v>
      </c>
      <c r="B534" s="11" t="s">
        <v>1001</v>
      </c>
      <c r="C534" s="11" t="s">
        <v>929</v>
      </c>
      <c r="D534" s="6">
        <v>1</v>
      </c>
      <c r="E534" s="11" t="s">
        <v>1002</v>
      </c>
      <c r="F534" s="11" t="s">
        <v>901</v>
      </c>
      <c r="G534" s="11" t="s">
        <v>900</v>
      </c>
      <c r="H534" s="11">
        <v>1</v>
      </c>
      <c r="I534" s="11"/>
    </row>
    <row r="535" spans="1:9" hidden="1" x14ac:dyDescent="0.2">
      <c r="A535" s="11" t="s">
        <v>620</v>
      </c>
      <c r="B535" s="11" t="s">
        <v>1001</v>
      </c>
      <c r="C535" s="11" t="s">
        <v>931</v>
      </c>
      <c r="D535" s="6">
        <v>1</v>
      </c>
      <c r="E535" s="11" t="s">
        <v>1002</v>
      </c>
      <c r="F535" s="11" t="s">
        <v>901</v>
      </c>
      <c r="G535" s="11" t="s">
        <v>900</v>
      </c>
      <c r="H535" s="11">
        <v>1</v>
      </c>
      <c r="I535" s="11"/>
    </row>
    <row r="536" spans="1:9" hidden="1" x14ac:dyDescent="0.2">
      <c r="A536" s="11" t="s">
        <v>620</v>
      </c>
      <c r="B536" s="11" t="s">
        <v>1001</v>
      </c>
      <c r="C536" s="11" t="s">
        <v>154</v>
      </c>
      <c r="D536" s="6">
        <v>1</v>
      </c>
      <c r="E536" s="11" t="s">
        <v>1002</v>
      </c>
      <c r="F536" s="11" t="s">
        <v>901</v>
      </c>
      <c r="G536" s="11" t="s">
        <v>900</v>
      </c>
      <c r="H536" s="11">
        <v>1</v>
      </c>
      <c r="I536" s="11"/>
    </row>
    <row r="537" spans="1:9" hidden="1" x14ac:dyDescent="0.2">
      <c r="A537" s="11" t="s">
        <v>620</v>
      </c>
      <c r="B537" s="11" t="s">
        <v>1001</v>
      </c>
      <c r="C537" s="11" t="s">
        <v>156</v>
      </c>
      <c r="D537" s="6">
        <v>2</v>
      </c>
      <c r="E537" s="11" t="s">
        <v>1002</v>
      </c>
      <c r="F537" s="11" t="s">
        <v>901</v>
      </c>
      <c r="G537" s="11" t="s">
        <v>900</v>
      </c>
      <c r="H537" s="11">
        <v>1</v>
      </c>
      <c r="I537" s="11"/>
    </row>
    <row r="538" spans="1:9" hidden="1" x14ac:dyDescent="0.2">
      <c r="A538" s="11" t="s">
        <v>620</v>
      </c>
      <c r="B538" s="11" t="s">
        <v>1001</v>
      </c>
      <c r="C538" s="11" t="s">
        <v>158</v>
      </c>
      <c r="D538" s="6">
        <v>1</v>
      </c>
      <c r="E538" s="11" t="s">
        <v>1002</v>
      </c>
      <c r="F538" s="11" t="s">
        <v>901</v>
      </c>
      <c r="G538" s="11" t="s">
        <v>900</v>
      </c>
      <c r="H538" s="11">
        <v>1</v>
      </c>
      <c r="I538" s="11"/>
    </row>
    <row r="539" spans="1:9" hidden="1" x14ac:dyDescent="0.2">
      <c r="A539" s="11" t="s">
        <v>620</v>
      </c>
      <c r="B539" s="11" t="s">
        <v>1001</v>
      </c>
      <c r="C539" s="11" t="s">
        <v>183</v>
      </c>
      <c r="D539" s="6">
        <v>1</v>
      </c>
      <c r="E539" s="11" t="s">
        <v>1002</v>
      </c>
      <c r="F539" s="11" t="s">
        <v>901</v>
      </c>
      <c r="G539" s="11" t="s">
        <v>900</v>
      </c>
      <c r="H539" s="11">
        <v>1</v>
      </c>
      <c r="I539" s="11"/>
    </row>
    <row r="540" spans="1:9" hidden="1" x14ac:dyDescent="0.2">
      <c r="A540" s="11" t="s">
        <v>620</v>
      </c>
      <c r="B540" s="11" t="s">
        <v>1001</v>
      </c>
      <c r="C540" s="11" t="s">
        <v>990</v>
      </c>
      <c r="D540" s="6">
        <v>1</v>
      </c>
      <c r="E540" s="11" t="s">
        <v>1002</v>
      </c>
      <c r="F540" s="11" t="s">
        <v>901</v>
      </c>
      <c r="G540" s="11" t="s">
        <v>900</v>
      </c>
      <c r="H540" s="11">
        <v>1</v>
      </c>
      <c r="I540" s="11"/>
    </row>
    <row r="541" spans="1:9" hidden="1" x14ac:dyDescent="0.2">
      <c r="A541" s="11" t="s">
        <v>29</v>
      </c>
      <c r="B541" s="11" t="s">
        <v>1000</v>
      </c>
      <c r="C541" s="11" t="s">
        <v>982</v>
      </c>
      <c r="E541" s="11" t="s">
        <v>983</v>
      </c>
      <c r="F541" s="11" t="s">
        <v>901</v>
      </c>
      <c r="G541" s="11" t="s">
        <v>900</v>
      </c>
      <c r="H541" s="11">
        <v>1</v>
      </c>
      <c r="I541" s="11"/>
    </row>
    <row r="542" spans="1:9" hidden="1" x14ac:dyDescent="0.2">
      <c r="A542" s="11" t="s">
        <v>29</v>
      </c>
      <c r="B542" s="11" t="s">
        <v>1000</v>
      </c>
      <c r="C542" s="11" t="s">
        <v>1003</v>
      </c>
      <c r="E542" s="11" t="s">
        <v>983</v>
      </c>
      <c r="F542" s="11" t="s">
        <v>901</v>
      </c>
      <c r="G542" s="11" t="s">
        <v>900</v>
      </c>
      <c r="H542" s="11">
        <v>1</v>
      </c>
      <c r="I542" s="11"/>
    </row>
    <row r="543" spans="1:9" hidden="1" x14ac:dyDescent="0.2">
      <c r="A543" s="11" t="s">
        <v>29</v>
      </c>
      <c r="B543" s="11" t="s">
        <v>1000</v>
      </c>
      <c r="C543" s="11" t="s">
        <v>1004</v>
      </c>
      <c r="E543" s="11" t="s">
        <v>983</v>
      </c>
      <c r="F543" s="11" t="s">
        <v>901</v>
      </c>
      <c r="G543" s="11" t="s">
        <v>900</v>
      </c>
      <c r="H543" s="11">
        <v>1</v>
      </c>
      <c r="I543" s="11"/>
    </row>
    <row r="544" spans="1:9" hidden="1" x14ac:dyDescent="0.2">
      <c r="A544" s="11" t="s">
        <v>29</v>
      </c>
      <c r="B544" s="11" t="s">
        <v>1000</v>
      </c>
      <c r="C544" s="11" t="s">
        <v>986</v>
      </c>
      <c r="E544" s="11" t="s">
        <v>983</v>
      </c>
      <c r="F544" s="11" t="s">
        <v>901</v>
      </c>
      <c r="G544" s="11" t="s">
        <v>900</v>
      </c>
      <c r="H544" s="11">
        <v>1</v>
      </c>
      <c r="I544" s="11"/>
    </row>
    <row r="545" spans="1:9" hidden="1" x14ac:dyDescent="0.2">
      <c r="A545" s="11" t="s">
        <v>29</v>
      </c>
      <c r="B545" s="11" t="s">
        <v>1000</v>
      </c>
      <c r="C545" s="11" t="s">
        <v>1005</v>
      </c>
      <c r="E545" s="11" t="s">
        <v>983</v>
      </c>
      <c r="F545" s="11" t="s">
        <v>901</v>
      </c>
      <c r="G545" s="11" t="s">
        <v>900</v>
      </c>
      <c r="H545" s="11">
        <v>1</v>
      </c>
      <c r="I545" s="11"/>
    </row>
    <row r="546" spans="1:9" hidden="1" x14ac:dyDescent="0.2">
      <c r="A546" s="11" t="s">
        <v>29</v>
      </c>
      <c r="B546" s="11" t="s">
        <v>1000</v>
      </c>
      <c r="C546" s="11" t="s">
        <v>1006</v>
      </c>
      <c r="E546" s="11" t="s">
        <v>983</v>
      </c>
      <c r="F546" s="11" t="s">
        <v>901</v>
      </c>
      <c r="G546" s="11" t="s">
        <v>900</v>
      </c>
      <c r="H546" s="11">
        <v>1</v>
      </c>
      <c r="I546" s="11"/>
    </row>
    <row r="547" spans="1:9" hidden="1" x14ac:dyDescent="0.2">
      <c r="A547" s="11" t="s">
        <v>29</v>
      </c>
      <c r="B547" s="11" t="s">
        <v>1000</v>
      </c>
      <c r="C547" s="11" t="s">
        <v>1007</v>
      </c>
      <c r="E547" s="11" t="s">
        <v>983</v>
      </c>
      <c r="F547" s="11" t="s">
        <v>901</v>
      </c>
      <c r="G547" s="11" t="s">
        <v>900</v>
      </c>
      <c r="H547" s="11">
        <v>1</v>
      </c>
      <c r="I547" s="11"/>
    </row>
    <row r="548" spans="1:9" hidden="1" x14ac:dyDescent="0.2">
      <c r="A548" s="11" t="s">
        <v>29</v>
      </c>
      <c r="B548" s="11" t="s">
        <v>1000</v>
      </c>
      <c r="C548" s="11" t="s">
        <v>1008</v>
      </c>
      <c r="E548" s="11" t="s">
        <v>983</v>
      </c>
      <c r="F548" s="11" t="s">
        <v>901</v>
      </c>
      <c r="G548" s="11" t="s">
        <v>900</v>
      </c>
      <c r="H548" s="11">
        <v>1</v>
      </c>
      <c r="I548" s="11"/>
    </row>
    <row r="549" spans="1:9" hidden="1" x14ac:dyDescent="0.2">
      <c r="A549" s="11" t="s">
        <v>29</v>
      </c>
      <c r="B549" s="11" t="s">
        <v>1000</v>
      </c>
      <c r="C549" s="11" t="s">
        <v>1009</v>
      </c>
      <c r="E549" s="11" t="s">
        <v>983</v>
      </c>
      <c r="F549" s="11" t="s">
        <v>901</v>
      </c>
      <c r="G549" s="11" t="s">
        <v>900</v>
      </c>
      <c r="H549" s="11">
        <v>1</v>
      </c>
      <c r="I549" s="11"/>
    </row>
    <row r="550" spans="1:9" hidden="1" x14ac:dyDescent="0.2">
      <c r="A550" s="11" t="s">
        <v>29</v>
      </c>
      <c r="B550" s="11" t="s">
        <v>1000</v>
      </c>
      <c r="C550" s="11" t="s">
        <v>1010</v>
      </c>
      <c r="E550" s="11" t="s">
        <v>983</v>
      </c>
      <c r="F550" s="11" t="s">
        <v>901</v>
      </c>
      <c r="G550" s="11" t="s">
        <v>900</v>
      </c>
      <c r="H550" s="11">
        <v>1</v>
      </c>
      <c r="I550" s="11"/>
    </row>
    <row r="551" spans="1:9" hidden="1" x14ac:dyDescent="0.2">
      <c r="A551" s="11" t="s">
        <v>29</v>
      </c>
      <c r="B551" s="11" t="s">
        <v>1000</v>
      </c>
      <c r="C551" s="11" t="s">
        <v>1011</v>
      </c>
      <c r="E551" s="11" t="s">
        <v>983</v>
      </c>
      <c r="F551" s="11" t="s">
        <v>901</v>
      </c>
      <c r="G551" s="11" t="s">
        <v>900</v>
      </c>
      <c r="H551" s="11">
        <v>1</v>
      </c>
      <c r="I551" s="11"/>
    </row>
    <row r="552" spans="1:9" hidden="1" x14ac:dyDescent="0.2">
      <c r="A552" s="11" t="s">
        <v>29</v>
      </c>
      <c r="B552" s="11" t="s">
        <v>1000</v>
      </c>
      <c r="C552" s="11" t="s">
        <v>1012</v>
      </c>
      <c r="E552" s="11" t="s">
        <v>983</v>
      </c>
      <c r="F552" s="11" t="s">
        <v>901</v>
      </c>
      <c r="G552" s="11" t="s">
        <v>900</v>
      </c>
      <c r="H552" s="11">
        <v>1</v>
      </c>
      <c r="I552" s="11"/>
    </row>
    <row r="553" spans="1:9" hidden="1" x14ac:dyDescent="0.2">
      <c r="A553" s="11" t="s">
        <v>29</v>
      </c>
      <c r="B553" s="11" t="s">
        <v>1000</v>
      </c>
      <c r="C553" s="11" t="s">
        <v>1013</v>
      </c>
      <c r="E553" s="11" t="s">
        <v>983</v>
      </c>
      <c r="F553" s="11" t="s">
        <v>901</v>
      </c>
      <c r="G553" s="11" t="s">
        <v>900</v>
      </c>
      <c r="H553" s="11">
        <v>1</v>
      </c>
      <c r="I553" s="11"/>
    </row>
    <row r="554" spans="1:9" hidden="1" x14ac:dyDescent="0.2">
      <c r="A554" s="11" t="s">
        <v>29</v>
      </c>
      <c r="B554" s="11" t="s">
        <v>1000</v>
      </c>
      <c r="C554" s="11" t="s">
        <v>1014</v>
      </c>
      <c r="E554" s="11" t="s">
        <v>983</v>
      </c>
      <c r="F554" s="11" t="s">
        <v>901</v>
      </c>
      <c r="G554" s="11" t="s">
        <v>900</v>
      </c>
      <c r="H554" s="11">
        <v>1</v>
      </c>
      <c r="I554" s="11"/>
    </row>
    <row r="555" spans="1:9" hidden="1" x14ac:dyDescent="0.2">
      <c r="A555" s="11" t="s">
        <v>29</v>
      </c>
      <c r="B555" s="11" t="s">
        <v>1000</v>
      </c>
      <c r="C555" s="11" t="s">
        <v>1015</v>
      </c>
      <c r="E555" s="11" t="s">
        <v>983</v>
      </c>
      <c r="F555" s="11" t="s">
        <v>901</v>
      </c>
      <c r="G555" s="11" t="s">
        <v>900</v>
      </c>
      <c r="H555" s="11">
        <v>1</v>
      </c>
      <c r="I555" s="11"/>
    </row>
    <row r="556" spans="1:9" hidden="1" x14ac:dyDescent="0.2">
      <c r="A556" s="11" t="s">
        <v>29</v>
      </c>
      <c r="B556" s="11" t="s">
        <v>1000</v>
      </c>
      <c r="C556" s="11" t="s">
        <v>1016</v>
      </c>
      <c r="E556" s="11" t="s">
        <v>983</v>
      </c>
      <c r="F556" s="11" t="s">
        <v>901</v>
      </c>
      <c r="G556" s="11" t="s">
        <v>900</v>
      </c>
      <c r="H556" s="11">
        <v>1</v>
      </c>
      <c r="I556" s="11"/>
    </row>
    <row r="557" spans="1:9" hidden="1" x14ac:dyDescent="0.2">
      <c r="A557" s="11" t="s">
        <v>29</v>
      </c>
      <c r="B557" s="11" t="s">
        <v>1000</v>
      </c>
      <c r="C557" s="11" t="s">
        <v>1017</v>
      </c>
      <c r="E557" s="11" t="s">
        <v>983</v>
      </c>
      <c r="F557" s="11" t="s">
        <v>901</v>
      </c>
      <c r="G557" s="11" t="s">
        <v>900</v>
      </c>
      <c r="H557" s="11">
        <v>1</v>
      </c>
      <c r="I557" s="11"/>
    </row>
    <row r="558" spans="1:9" hidden="1" x14ac:dyDescent="0.2">
      <c r="A558" s="11" t="s">
        <v>29</v>
      </c>
      <c r="B558" s="11" t="s">
        <v>1000</v>
      </c>
      <c r="C558" s="11" t="s">
        <v>1018</v>
      </c>
      <c r="E558" s="11" t="s">
        <v>983</v>
      </c>
      <c r="F558" s="11" t="s">
        <v>901</v>
      </c>
      <c r="G558" s="11" t="s">
        <v>900</v>
      </c>
      <c r="H558" s="11">
        <v>1</v>
      </c>
      <c r="I558" s="11"/>
    </row>
    <row r="559" spans="1:9" hidden="1" x14ac:dyDescent="0.2">
      <c r="A559" s="11" t="s">
        <v>29</v>
      </c>
      <c r="B559" s="11" t="s">
        <v>1000</v>
      </c>
      <c r="C559" s="11" t="s">
        <v>1019</v>
      </c>
      <c r="E559" s="11" t="s">
        <v>983</v>
      </c>
      <c r="F559" s="11" t="s">
        <v>901</v>
      </c>
      <c r="G559" s="11" t="s">
        <v>900</v>
      </c>
      <c r="H559" s="11">
        <v>1</v>
      </c>
      <c r="I559" s="11"/>
    </row>
    <row r="560" spans="1:9" hidden="1" x14ac:dyDescent="0.2">
      <c r="A560" s="11" t="s">
        <v>29</v>
      </c>
      <c r="B560" s="11" t="s">
        <v>1000</v>
      </c>
      <c r="C560" s="11" t="s">
        <v>985</v>
      </c>
      <c r="E560" s="11" t="s">
        <v>983</v>
      </c>
      <c r="F560" s="11" t="s">
        <v>901</v>
      </c>
      <c r="G560" s="11" t="s">
        <v>900</v>
      </c>
      <c r="H560" s="11">
        <v>1</v>
      </c>
      <c r="I560" s="11"/>
    </row>
    <row r="561" spans="1:9" hidden="1" x14ac:dyDescent="0.2">
      <c r="A561" s="11" t="s">
        <v>29</v>
      </c>
      <c r="B561" s="11" t="s">
        <v>1000</v>
      </c>
      <c r="C561" s="11" t="s">
        <v>1020</v>
      </c>
      <c r="E561" s="11" t="s">
        <v>983</v>
      </c>
      <c r="F561" s="11" t="s">
        <v>901</v>
      </c>
      <c r="G561" s="11" t="s">
        <v>900</v>
      </c>
      <c r="H561" s="11">
        <v>1</v>
      </c>
      <c r="I561" s="11"/>
    </row>
    <row r="562" spans="1:9" hidden="1" x14ac:dyDescent="0.2">
      <c r="A562" s="11" t="s">
        <v>29</v>
      </c>
      <c r="B562" s="11" t="s">
        <v>1000</v>
      </c>
      <c r="C562" s="11" t="s">
        <v>987</v>
      </c>
      <c r="E562" s="11" t="s">
        <v>983</v>
      </c>
      <c r="F562" s="11" t="s">
        <v>901</v>
      </c>
      <c r="G562" s="11" t="s">
        <v>900</v>
      </c>
      <c r="H562" s="11">
        <v>1</v>
      </c>
      <c r="I562" s="11"/>
    </row>
    <row r="563" spans="1:9" hidden="1" x14ac:dyDescent="0.2">
      <c r="A563" s="11" t="s">
        <v>29</v>
      </c>
      <c r="B563" s="11" t="s">
        <v>1000</v>
      </c>
      <c r="C563" s="11" t="s">
        <v>1021</v>
      </c>
      <c r="E563" s="11" t="s">
        <v>983</v>
      </c>
      <c r="F563" s="11" t="s">
        <v>901</v>
      </c>
      <c r="G563" s="11" t="s">
        <v>900</v>
      </c>
      <c r="H563" s="11">
        <v>1</v>
      </c>
      <c r="I563" s="11"/>
    </row>
    <row r="564" spans="1:9" hidden="1" x14ac:dyDescent="0.2">
      <c r="A564" s="11" t="s">
        <v>29</v>
      </c>
      <c r="B564" s="11" t="s">
        <v>1000</v>
      </c>
      <c r="C564" s="11" t="s">
        <v>1022</v>
      </c>
      <c r="E564" s="11" t="s">
        <v>983</v>
      </c>
      <c r="F564" s="11" t="s">
        <v>901</v>
      </c>
      <c r="G564" s="11" t="s">
        <v>900</v>
      </c>
      <c r="H564" s="11">
        <v>1</v>
      </c>
      <c r="I564" s="11"/>
    </row>
    <row r="565" spans="1:9" hidden="1" x14ac:dyDescent="0.2">
      <c r="A565" s="11" t="s">
        <v>29</v>
      </c>
      <c r="B565" s="11" t="s">
        <v>1000</v>
      </c>
      <c r="C565" s="11" t="s">
        <v>1023</v>
      </c>
      <c r="E565" s="11" t="s">
        <v>983</v>
      </c>
      <c r="F565" s="11" t="s">
        <v>901</v>
      </c>
      <c r="G565" s="11" t="s">
        <v>900</v>
      </c>
      <c r="H565" s="11">
        <v>1</v>
      </c>
      <c r="I565" s="11"/>
    </row>
    <row r="566" spans="1:9" hidden="1" x14ac:dyDescent="0.2">
      <c r="A566" s="11" t="s">
        <v>29</v>
      </c>
      <c r="B566" s="11" t="s">
        <v>1000</v>
      </c>
      <c r="C566" s="11" t="s">
        <v>1024</v>
      </c>
      <c r="E566" s="11" t="s">
        <v>983</v>
      </c>
      <c r="F566" s="11" t="s">
        <v>901</v>
      </c>
      <c r="G566" s="11" t="s">
        <v>900</v>
      </c>
      <c r="H566" s="11">
        <v>1</v>
      </c>
      <c r="I566" s="11"/>
    </row>
    <row r="567" spans="1:9" hidden="1" x14ac:dyDescent="0.2">
      <c r="A567" s="11" t="s">
        <v>29</v>
      </c>
      <c r="B567" s="11" t="s">
        <v>1000</v>
      </c>
      <c r="C567" s="11" t="s">
        <v>984</v>
      </c>
      <c r="E567" s="11" t="s">
        <v>983</v>
      </c>
      <c r="F567" s="11" t="s">
        <v>901</v>
      </c>
      <c r="G567" s="11" t="s">
        <v>900</v>
      </c>
      <c r="H567" s="11">
        <v>1</v>
      </c>
      <c r="I567" s="11"/>
    </row>
    <row r="568" spans="1:9" hidden="1" x14ac:dyDescent="0.2">
      <c r="A568" s="11" t="s">
        <v>29</v>
      </c>
      <c r="B568" s="11" t="s">
        <v>1000</v>
      </c>
      <c r="C568" s="11" t="s">
        <v>1025</v>
      </c>
      <c r="E568" s="11" t="s">
        <v>983</v>
      </c>
      <c r="F568" s="11" t="s">
        <v>901</v>
      </c>
      <c r="G568" s="11" t="s">
        <v>900</v>
      </c>
      <c r="H568" s="11">
        <v>1</v>
      </c>
      <c r="I568" s="11"/>
    </row>
    <row r="569" spans="1:9" hidden="1" x14ac:dyDescent="0.2">
      <c r="A569" s="11" t="s">
        <v>29</v>
      </c>
      <c r="B569" s="11" t="s">
        <v>1000</v>
      </c>
      <c r="C569" s="11" t="s">
        <v>1026</v>
      </c>
      <c r="E569" s="11" t="s">
        <v>983</v>
      </c>
      <c r="F569" s="11" t="s">
        <v>901</v>
      </c>
      <c r="G569" s="11" t="s">
        <v>900</v>
      </c>
      <c r="H569" s="11">
        <v>1</v>
      </c>
      <c r="I569" s="11"/>
    </row>
    <row r="570" spans="1:9" hidden="1" x14ac:dyDescent="0.2">
      <c r="A570" s="11" t="s">
        <v>29</v>
      </c>
      <c r="B570" s="11" t="s">
        <v>1000</v>
      </c>
      <c r="C570" s="11" t="s">
        <v>1027</v>
      </c>
      <c r="E570" s="11" t="s">
        <v>983</v>
      </c>
      <c r="F570" s="11" t="s">
        <v>901</v>
      </c>
      <c r="G570" s="11" t="s">
        <v>900</v>
      </c>
      <c r="H570" s="11">
        <v>1</v>
      </c>
      <c r="I570" s="11"/>
    </row>
    <row r="571" spans="1:9" hidden="1" x14ac:dyDescent="0.2">
      <c r="A571" s="11" t="s">
        <v>29</v>
      </c>
      <c r="B571" s="11" t="s">
        <v>1000</v>
      </c>
      <c r="C571" s="11" t="s">
        <v>1028</v>
      </c>
      <c r="E571" s="11" t="s">
        <v>983</v>
      </c>
      <c r="F571" s="11" t="s">
        <v>901</v>
      </c>
      <c r="G571" s="11" t="s">
        <v>900</v>
      </c>
      <c r="H571" s="11">
        <v>1</v>
      </c>
      <c r="I571" s="11"/>
    </row>
    <row r="572" spans="1:9" hidden="1" x14ac:dyDescent="0.2">
      <c r="A572" s="11" t="s">
        <v>29</v>
      </c>
      <c r="B572" s="11" t="s">
        <v>1000</v>
      </c>
      <c r="C572" s="11" t="s">
        <v>1029</v>
      </c>
      <c r="E572" s="11" t="s">
        <v>983</v>
      </c>
      <c r="F572" s="11" t="s">
        <v>901</v>
      </c>
      <c r="G572" s="11" t="s">
        <v>900</v>
      </c>
      <c r="H572" s="11">
        <v>1</v>
      </c>
      <c r="I572" s="11"/>
    </row>
    <row r="573" spans="1:9" hidden="1" x14ac:dyDescent="0.2">
      <c r="A573" s="11" t="s">
        <v>1100</v>
      </c>
      <c r="B573" s="11" t="s">
        <v>1101</v>
      </c>
      <c r="C573" s="11" t="s">
        <v>1102</v>
      </c>
      <c r="E573" s="11" t="s">
        <v>1103</v>
      </c>
      <c r="F573" s="11" t="s">
        <v>901</v>
      </c>
      <c r="G573" s="11" t="s">
        <v>900</v>
      </c>
      <c r="H573" s="11"/>
      <c r="I573" s="11"/>
    </row>
    <row r="574" spans="1:9" hidden="1" x14ac:dyDescent="0.2">
      <c r="A574" s="11" t="s">
        <v>1100</v>
      </c>
      <c r="B574" s="11" t="s">
        <v>1101</v>
      </c>
      <c r="C574" s="11" t="s">
        <v>1104</v>
      </c>
      <c r="E574" s="11" t="s">
        <v>1103</v>
      </c>
      <c r="F574" s="11" t="s">
        <v>901</v>
      </c>
      <c r="G574" s="11" t="s">
        <v>900</v>
      </c>
      <c r="H574" s="11"/>
      <c r="I574" s="11"/>
    </row>
    <row r="575" spans="1:9" hidden="1" x14ac:dyDescent="0.2">
      <c r="A575" s="11" t="s">
        <v>1100</v>
      </c>
      <c r="B575" s="11" t="s">
        <v>1101</v>
      </c>
      <c r="C575" s="11" t="s">
        <v>1105</v>
      </c>
      <c r="E575" s="11" t="s">
        <v>1103</v>
      </c>
      <c r="F575" s="11" t="s">
        <v>901</v>
      </c>
      <c r="G575" s="11" t="s">
        <v>900</v>
      </c>
      <c r="H575" s="11"/>
      <c r="I575" s="11"/>
    </row>
    <row r="576" spans="1:9" hidden="1" x14ac:dyDescent="0.2">
      <c r="A576" s="11" t="s">
        <v>1100</v>
      </c>
      <c r="B576" s="11" t="s">
        <v>1101</v>
      </c>
      <c r="C576" s="11" t="s">
        <v>1106</v>
      </c>
      <c r="E576" s="11" t="s">
        <v>1103</v>
      </c>
      <c r="F576" s="11" t="s">
        <v>901</v>
      </c>
      <c r="G576" s="11" t="s">
        <v>900</v>
      </c>
      <c r="H576" s="11"/>
      <c r="I576" s="11"/>
    </row>
    <row r="577" spans="1:9" hidden="1" x14ac:dyDescent="0.2">
      <c r="A577" s="11" t="s">
        <v>1100</v>
      </c>
      <c r="B577" s="11" t="s">
        <v>1101</v>
      </c>
      <c r="C577" s="11" t="s">
        <v>1107</v>
      </c>
      <c r="E577" s="11" t="s">
        <v>1103</v>
      </c>
      <c r="F577" s="11" t="s">
        <v>901</v>
      </c>
      <c r="G577" s="11" t="s">
        <v>900</v>
      </c>
      <c r="H577" s="11"/>
      <c r="I577" s="11"/>
    </row>
    <row r="578" spans="1:9" hidden="1" x14ac:dyDescent="0.2">
      <c r="A578" s="11" t="s">
        <v>29</v>
      </c>
      <c r="B578" s="11" t="s">
        <v>1108</v>
      </c>
      <c r="C578" s="11" t="s">
        <v>1109</v>
      </c>
      <c r="E578" s="11" t="s">
        <v>1110</v>
      </c>
      <c r="F578" s="11" t="s">
        <v>901</v>
      </c>
      <c r="G578" s="11" t="s">
        <v>900</v>
      </c>
      <c r="H578" s="11">
        <v>1</v>
      </c>
      <c r="I578" s="11"/>
    </row>
    <row r="579" spans="1:9" hidden="1" x14ac:dyDescent="0.2">
      <c r="A579" s="11" t="s">
        <v>29</v>
      </c>
      <c r="B579" s="11" t="s">
        <v>1108</v>
      </c>
      <c r="C579" s="11" t="s">
        <v>1111</v>
      </c>
      <c r="E579" s="11" t="s">
        <v>1110</v>
      </c>
      <c r="F579" s="11" t="s">
        <v>901</v>
      </c>
      <c r="G579" s="11" t="s">
        <v>900</v>
      </c>
      <c r="H579" s="11">
        <v>1</v>
      </c>
      <c r="I579" s="11"/>
    </row>
    <row r="580" spans="1:9" hidden="1" x14ac:dyDescent="0.2">
      <c r="A580" s="11" t="s">
        <v>29</v>
      </c>
      <c r="B580" s="11" t="s">
        <v>1108</v>
      </c>
      <c r="C580" s="11" t="s">
        <v>1112</v>
      </c>
      <c r="E580" s="11" t="s">
        <v>1110</v>
      </c>
      <c r="F580" s="11" t="s">
        <v>901</v>
      </c>
      <c r="G580" s="11" t="s">
        <v>900</v>
      </c>
      <c r="H580" s="11">
        <v>1</v>
      </c>
      <c r="I580" s="11"/>
    </row>
    <row r="581" spans="1:9" hidden="1" x14ac:dyDescent="0.2">
      <c r="A581" s="11" t="s">
        <v>29</v>
      </c>
      <c r="B581" s="11" t="s">
        <v>1108</v>
      </c>
      <c r="C581" s="11" t="s">
        <v>1113</v>
      </c>
      <c r="E581" s="11" t="s">
        <v>1110</v>
      </c>
      <c r="F581" s="11" t="s">
        <v>901</v>
      </c>
      <c r="G581" s="11" t="s">
        <v>900</v>
      </c>
      <c r="H581" s="11">
        <v>1</v>
      </c>
      <c r="I581" s="11"/>
    </row>
    <row r="582" spans="1:9" hidden="1" x14ac:dyDescent="0.2">
      <c r="A582" s="11" t="s">
        <v>29</v>
      </c>
      <c r="B582" s="11" t="s">
        <v>1108</v>
      </c>
      <c r="C582" s="11" t="s">
        <v>1114</v>
      </c>
      <c r="E582" s="11" t="s">
        <v>1110</v>
      </c>
      <c r="F582" s="11" t="s">
        <v>901</v>
      </c>
      <c r="G582" s="11" t="s">
        <v>900</v>
      </c>
      <c r="H582" s="11">
        <v>1</v>
      </c>
      <c r="I582" s="11"/>
    </row>
    <row r="583" spans="1:9" hidden="1" x14ac:dyDescent="0.2">
      <c r="A583" s="11" t="s">
        <v>29</v>
      </c>
      <c r="B583" s="11" t="s">
        <v>1108</v>
      </c>
      <c r="C583" s="11" t="s">
        <v>1115</v>
      </c>
      <c r="E583" s="11" t="s">
        <v>1110</v>
      </c>
      <c r="F583" s="11" t="s">
        <v>901</v>
      </c>
      <c r="G583" s="11" t="s">
        <v>900</v>
      </c>
      <c r="H583" s="11">
        <v>1</v>
      </c>
      <c r="I583" s="11"/>
    </row>
    <row r="584" spans="1:9" hidden="1" x14ac:dyDescent="0.2">
      <c r="A584" s="11" t="s">
        <v>29</v>
      </c>
      <c r="B584" s="11" t="s">
        <v>1108</v>
      </c>
      <c r="C584" s="11" t="s">
        <v>1116</v>
      </c>
      <c r="E584" s="11" t="s">
        <v>1110</v>
      </c>
      <c r="F584" s="11" t="s">
        <v>901</v>
      </c>
      <c r="G584" s="11" t="s">
        <v>900</v>
      </c>
      <c r="H584" s="11">
        <v>1</v>
      </c>
      <c r="I584" s="11"/>
    </row>
    <row r="585" spans="1:9" hidden="1" x14ac:dyDescent="0.2">
      <c r="A585" s="11" t="s">
        <v>624</v>
      </c>
      <c r="B585" s="11" t="s">
        <v>1294</v>
      </c>
      <c r="C585" s="11" t="s">
        <v>1232</v>
      </c>
      <c r="D585" s="6">
        <v>1</v>
      </c>
      <c r="E585" s="11" t="s">
        <v>1233</v>
      </c>
      <c r="F585" s="11" t="s">
        <v>901</v>
      </c>
      <c r="G585" s="11" t="s">
        <v>900</v>
      </c>
      <c r="H585" s="11"/>
      <c r="I585" s="11"/>
    </row>
    <row r="586" spans="1:9" hidden="1" x14ac:dyDescent="0.2">
      <c r="A586" s="11" t="s">
        <v>624</v>
      </c>
      <c r="B586" s="11" t="s">
        <v>1294</v>
      </c>
      <c r="C586" s="11" t="s">
        <v>1234</v>
      </c>
      <c r="D586" s="6">
        <v>1</v>
      </c>
      <c r="E586" s="11" t="s">
        <v>1233</v>
      </c>
      <c r="F586" s="11" t="s">
        <v>901</v>
      </c>
      <c r="G586" s="11" t="s">
        <v>900</v>
      </c>
      <c r="H586" s="11"/>
      <c r="I586" s="11"/>
    </row>
    <row r="587" spans="1:9" hidden="1" x14ac:dyDescent="0.2">
      <c r="A587" s="11" t="s">
        <v>624</v>
      </c>
      <c r="B587" s="11" t="s">
        <v>1294</v>
      </c>
      <c r="C587" s="11" t="s">
        <v>1235</v>
      </c>
      <c r="D587" s="6">
        <v>1</v>
      </c>
      <c r="E587" s="11" t="s">
        <v>1233</v>
      </c>
      <c r="F587" s="11" t="s">
        <v>901</v>
      </c>
      <c r="G587" s="11" t="s">
        <v>900</v>
      </c>
      <c r="H587" s="11"/>
      <c r="I587" s="11"/>
    </row>
    <row r="588" spans="1:9" hidden="1" x14ac:dyDescent="0.2">
      <c r="A588" s="11" t="s">
        <v>624</v>
      </c>
      <c r="B588" s="11" t="s">
        <v>1294</v>
      </c>
      <c r="C588" s="11" t="s">
        <v>1236</v>
      </c>
      <c r="D588" s="6">
        <v>1</v>
      </c>
      <c r="E588" s="11" t="s">
        <v>1233</v>
      </c>
      <c r="F588" s="11" t="s">
        <v>901</v>
      </c>
      <c r="G588" s="11" t="s">
        <v>900</v>
      </c>
      <c r="H588" s="11"/>
      <c r="I588" s="11"/>
    </row>
    <row r="589" spans="1:9" hidden="1" x14ac:dyDescent="0.2">
      <c r="A589" s="11" t="s">
        <v>624</v>
      </c>
      <c r="B589" s="11" t="s">
        <v>1294</v>
      </c>
      <c r="C589" s="11" t="s">
        <v>1237</v>
      </c>
      <c r="D589" s="6">
        <v>1</v>
      </c>
      <c r="E589" s="11" t="s">
        <v>1233</v>
      </c>
      <c r="F589" s="11" t="s">
        <v>901</v>
      </c>
      <c r="G589" s="11" t="s">
        <v>900</v>
      </c>
      <c r="H589" s="11"/>
      <c r="I589" s="11"/>
    </row>
    <row r="590" spans="1:9" hidden="1" x14ac:dyDescent="0.2">
      <c r="A590" s="11" t="s">
        <v>624</v>
      </c>
      <c r="B590" s="11" t="s">
        <v>1294</v>
      </c>
      <c r="C590" s="11" t="s">
        <v>1238</v>
      </c>
      <c r="D590" s="6">
        <v>1</v>
      </c>
      <c r="E590" s="11" t="s">
        <v>1233</v>
      </c>
      <c r="F590" s="11" t="s">
        <v>901</v>
      </c>
      <c r="G590" s="11" t="s">
        <v>900</v>
      </c>
      <c r="H590" s="11"/>
      <c r="I590" s="11"/>
    </row>
    <row r="591" spans="1:9" hidden="1" x14ac:dyDescent="0.2">
      <c r="A591" s="11" t="s">
        <v>624</v>
      </c>
      <c r="B591" s="11" t="s">
        <v>1294</v>
      </c>
      <c r="C591" s="11" t="s">
        <v>1239</v>
      </c>
      <c r="D591" s="6">
        <v>2</v>
      </c>
      <c r="E591" s="11" t="s">
        <v>1233</v>
      </c>
      <c r="F591" s="11" t="s">
        <v>901</v>
      </c>
      <c r="G591" s="11" t="s">
        <v>900</v>
      </c>
      <c r="H591" s="11"/>
      <c r="I591" s="11"/>
    </row>
    <row r="592" spans="1:9" hidden="1" x14ac:dyDescent="0.2">
      <c r="A592" s="11" t="s">
        <v>624</v>
      </c>
      <c r="B592" s="11" t="s">
        <v>1294</v>
      </c>
      <c r="C592" s="11" t="s">
        <v>1221</v>
      </c>
      <c r="D592" s="6">
        <v>4</v>
      </c>
      <c r="E592" s="11" t="s">
        <v>1233</v>
      </c>
      <c r="F592" s="11" t="s">
        <v>901</v>
      </c>
      <c r="G592" s="11" t="s">
        <v>900</v>
      </c>
      <c r="H592" s="11"/>
      <c r="I592" s="11"/>
    </row>
    <row r="593" spans="1:9" hidden="1" x14ac:dyDescent="0.2">
      <c r="A593" s="11" t="s">
        <v>624</v>
      </c>
      <c r="B593" s="11" t="s">
        <v>1294</v>
      </c>
      <c r="C593" s="11" t="s">
        <v>244</v>
      </c>
      <c r="D593" s="6">
        <v>1</v>
      </c>
      <c r="E593" s="11" t="s">
        <v>1233</v>
      </c>
      <c r="F593" s="11" t="s">
        <v>901</v>
      </c>
      <c r="G593" s="11" t="s">
        <v>900</v>
      </c>
      <c r="H593" s="11"/>
      <c r="I593" s="11"/>
    </row>
    <row r="594" spans="1:9" hidden="1" x14ac:dyDescent="0.2">
      <c r="A594" s="11" t="s">
        <v>624</v>
      </c>
      <c r="B594" s="11" t="s">
        <v>1294</v>
      </c>
      <c r="C594" s="11" t="s">
        <v>230</v>
      </c>
      <c r="D594" s="6">
        <v>1</v>
      </c>
      <c r="E594" s="11" t="s">
        <v>1233</v>
      </c>
      <c r="F594" s="11" t="s">
        <v>901</v>
      </c>
      <c r="G594" s="11" t="s">
        <v>900</v>
      </c>
      <c r="H594" s="11"/>
      <c r="I594" s="11"/>
    </row>
    <row r="595" spans="1:9" hidden="1" x14ac:dyDescent="0.2">
      <c r="A595" s="11" t="s">
        <v>624</v>
      </c>
      <c r="B595" s="11" t="s">
        <v>1294</v>
      </c>
      <c r="C595" s="11" t="s">
        <v>1219</v>
      </c>
      <c r="D595" s="6">
        <v>1</v>
      </c>
      <c r="E595" s="11" t="s">
        <v>1233</v>
      </c>
      <c r="F595" s="11" t="s">
        <v>901</v>
      </c>
      <c r="G595" s="11" t="s">
        <v>900</v>
      </c>
      <c r="H595" s="11"/>
      <c r="I595" s="11"/>
    </row>
    <row r="596" spans="1:9" hidden="1" x14ac:dyDescent="0.2">
      <c r="A596" s="11" t="s">
        <v>624</v>
      </c>
      <c r="B596" s="11" t="s">
        <v>1294</v>
      </c>
      <c r="C596" s="11" t="s">
        <v>1240</v>
      </c>
      <c r="D596" s="6">
        <v>1</v>
      </c>
      <c r="E596" s="11" t="s">
        <v>1233</v>
      </c>
      <c r="F596" s="11" t="s">
        <v>901</v>
      </c>
      <c r="G596" s="11" t="s">
        <v>900</v>
      </c>
      <c r="H596" s="11"/>
      <c r="I596" s="11"/>
    </row>
    <row r="597" spans="1:9" hidden="1" x14ac:dyDescent="0.2">
      <c r="A597" s="11" t="s">
        <v>624</v>
      </c>
      <c r="B597" s="11" t="s">
        <v>1294</v>
      </c>
      <c r="C597" s="11" t="s">
        <v>811</v>
      </c>
      <c r="D597" s="6">
        <v>1</v>
      </c>
      <c r="E597" s="11" t="s">
        <v>1233</v>
      </c>
      <c r="F597" s="11" t="s">
        <v>901</v>
      </c>
      <c r="G597" s="11" t="s">
        <v>900</v>
      </c>
      <c r="H597" s="11"/>
      <c r="I597" s="11"/>
    </row>
    <row r="598" spans="1:9" hidden="1" x14ac:dyDescent="0.2">
      <c r="A598" s="11" t="s">
        <v>624</v>
      </c>
      <c r="B598" s="11" t="s">
        <v>1294</v>
      </c>
      <c r="C598" s="11" t="s">
        <v>1241</v>
      </c>
      <c r="D598" s="6">
        <v>10</v>
      </c>
      <c r="E598" s="11" t="s">
        <v>1233</v>
      </c>
      <c r="F598" s="11" t="s">
        <v>901</v>
      </c>
      <c r="G598" s="11" t="s">
        <v>900</v>
      </c>
      <c r="H598" s="11"/>
      <c r="I598" s="11"/>
    </row>
    <row r="599" spans="1:9" hidden="1" x14ac:dyDescent="0.2">
      <c r="A599" s="11" t="s">
        <v>624</v>
      </c>
      <c r="B599" s="11" t="s">
        <v>1294</v>
      </c>
      <c r="C599" s="11" t="s">
        <v>1230</v>
      </c>
      <c r="D599" s="6">
        <v>10</v>
      </c>
      <c r="E599" s="11" t="s">
        <v>1233</v>
      </c>
      <c r="F599" s="11" t="s">
        <v>901</v>
      </c>
      <c r="G599" s="11" t="s">
        <v>900</v>
      </c>
      <c r="H599" s="11"/>
      <c r="I599" s="11"/>
    </row>
    <row r="600" spans="1:9" hidden="1" x14ac:dyDescent="0.2">
      <c r="A600" s="11" t="s">
        <v>624</v>
      </c>
      <c r="B600" s="11" t="s">
        <v>1294</v>
      </c>
      <c r="C600" s="11" t="s">
        <v>1296</v>
      </c>
      <c r="D600" s="6">
        <v>1</v>
      </c>
      <c r="E600" s="11" t="s">
        <v>1233</v>
      </c>
      <c r="F600" s="11" t="s">
        <v>901</v>
      </c>
      <c r="G600" s="11" t="s">
        <v>900</v>
      </c>
      <c r="H600" s="11"/>
      <c r="I600" s="11"/>
    </row>
    <row r="601" spans="1:9" hidden="1" x14ac:dyDescent="0.2">
      <c r="A601" s="11" t="s">
        <v>624</v>
      </c>
      <c r="B601" s="11" t="s">
        <v>1294</v>
      </c>
      <c r="C601" s="11" t="s">
        <v>12</v>
      </c>
      <c r="D601" s="6">
        <v>1</v>
      </c>
      <c r="E601" s="11" t="s">
        <v>1233</v>
      </c>
      <c r="F601" s="11" t="s">
        <v>901</v>
      </c>
      <c r="G601" s="11" t="s">
        <v>900</v>
      </c>
      <c r="H601" s="11"/>
      <c r="I601" s="11"/>
    </row>
    <row r="602" spans="1:9" hidden="1" x14ac:dyDescent="0.2">
      <c r="A602" s="11" t="s">
        <v>624</v>
      </c>
      <c r="B602" s="11" t="s">
        <v>1294</v>
      </c>
      <c r="C602" s="11" t="s">
        <v>13</v>
      </c>
      <c r="D602" s="6">
        <v>2</v>
      </c>
      <c r="E602" s="11" t="s">
        <v>1233</v>
      </c>
      <c r="F602" s="11" t="s">
        <v>901</v>
      </c>
      <c r="G602" s="11" t="s">
        <v>900</v>
      </c>
      <c r="H602" s="11"/>
      <c r="I602" s="11"/>
    </row>
    <row r="603" spans="1:9" hidden="1" x14ac:dyDescent="0.2">
      <c r="A603" s="11" t="s">
        <v>624</v>
      </c>
      <c r="B603" s="11" t="s">
        <v>1294</v>
      </c>
      <c r="C603" s="11" t="s">
        <v>629</v>
      </c>
      <c r="D603" s="6">
        <v>1</v>
      </c>
      <c r="E603" s="11" t="s">
        <v>1233</v>
      </c>
      <c r="F603" s="11" t="s">
        <v>901</v>
      </c>
      <c r="G603" s="11" t="s">
        <v>900</v>
      </c>
      <c r="H603" s="11"/>
      <c r="I603" s="11"/>
    </row>
    <row r="604" spans="1:9" hidden="1" x14ac:dyDescent="0.2">
      <c r="A604" s="11" t="s">
        <v>624</v>
      </c>
      <c r="B604" s="11" t="s">
        <v>1294</v>
      </c>
      <c r="C604" s="11" t="s">
        <v>18</v>
      </c>
      <c r="D604" s="6">
        <v>1</v>
      </c>
      <c r="E604" s="11" t="s">
        <v>1233</v>
      </c>
      <c r="F604" s="11" t="s">
        <v>901</v>
      </c>
      <c r="G604" s="11" t="s">
        <v>900</v>
      </c>
      <c r="H604" s="11"/>
      <c r="I604" s="11"/>
    </row>
    <row r="605" spans="1:9" hidden="1" x14ac:dyDescent="0.2">
      <c r="A605" s="11" t="s">
        <v>624</v>
      </c>
      <c r="B605" s="11" t="s">
        <v>1294</v>
      </c>
      <c r="C605" s="11" t="s">
        <v>634</v>
      </c>
      <c r="D605" s="6">
        <v>1</v>
      </c>
      <c r="E605" s="11" t="s">
        <v>1233</v>
      </c>
      <c r="F605" s="11" t="s">
        <v>901</v>
      </c>
      <c r="G605" s="11" t="s">
        <v>900</v>
      </c>
      <c r="H605" s="11"/>
      <c r="I605" s="11"/>
    </row>
    <row r="606" spans="1:9" hidden="1" x14ac:dyDescent="0.2">
      <c r="A606" s="11" t="s">
        <v>624</v>
      </c>
      <c r="B606" s="11" t="s">
        <v>1294</v>
      </c>
      <c r="C606" s="11" t="s">
        <v>15</v>
      </c>
      <c r="D606" s="6">
        <v>4</v>
      </c>
      <c r="E606" s="11" t="s">
        <v>1233</v>
      </c>
      <c r="F606" s="11" t="s">
        <v>901</v>
      </c>
      <c r="G606" s="11" t="s">
        <v>900</v>
      </c>
      <c r="H606" s="11"/>
      <c r="I606" s="11"/>
    </row>
    <row r="607" spans="1:9" hidden="1" x14ac:dyDescent="0.2">
      <c r="A607" s="11" t="s">
        <v>624</v>
      </c>
      <c r="B607" s="11" t="s">
        <v>1294</v>
      </c>
      <c r="C607" s="11" t="s">
        <v>757</v>
      </c>
      <c r="D607" s="6">
        <v>1</v>
      </c>
      <c r="E607" s="11" t="s">
        <v>1233</v>
      </c>
      <c r="F607" s="11" t="s">
        <v>901</v>
      </c>
      <c r="G607" s="11" t="s">
        <v>900</v>
      </c>
      <c r="H607" s="11"/>
      <c r="I607" s="11"/>
    </row>
    <row r="608" spans="1:9" hidden="1" x14ac:dyDescent="0.2">
      <c r="A608" s="11" t="s">
        <v>624</v>
      </c>
      <c r="B608" s="11" t="s">
        <v>1294</v>
      </c>
      <c r="C608" s="11" t="s">
        <v>637</v>
      </c>
      <c r="D608" s="6">
        <v>12</v>
      </c>
      <c r="E608" s="11" t="s">
        <v>1233</v>
      </c>
      <c r="F608" s="11" t="s">
        <v>901</v>
      </c>
      <c r="G608" s="11" t="s">
        <v>900</v>
      </c>
      <c r="H608" s="11"/>
      <c r="I608" s="11"/>
    </row>
    <row r="609" spans="1:9" hidden="1" x14ac:dyDescent="0.2">
      <c r="A609" s="11" t="s">
        <v>624</v>
      </c>
      <c r="B609" s="11" t="s">
        <v>1294</v>
      </c>
      <c r="C609" s="11" t="s">
        <v>1300</v>
      </c>
      <c r="D609" s="6">
        <v>1</v>
      </c>
      <c r="E609" s="11" t="s">
        <v>1233</v>
      </c>
      <c r="F609" s="11" t="s">
        <v>901</v>
      </c>
      <c r="G609" s="11" t="s">
        <v>900</v>
      </c>
      <c r="H609" s="11"/>
      <c r="I609" s="11"/>
    </row>
    <row r="610" spans="1:9" hidden="1" x14ac:dyDescent="0.2">
      <c r="A610" s="11" t="s">
        <v>624</v>
      </c>
      <c r="B610" s="11" t="s">
        <v>1294</v>
      </c>
      <c r="C610" s="11" t="s">
        <v>1242</v>
      </c>
      <c r="D610" s="6">
        <v>2</v>
      </c>
      <c r="E610" s="11" t="s">
        <v>1233</v>
      </c>
      <c r="F610" s="11" t="s">
        <v>901</v>
      </c>
      <c r="G610" s="11" t="s">
        <v>900</v>
      </c>
      <c r="H610" s="11"/>
      <c r="I610" s="11"/>
    </row>
    <row r="611" spans="1:9" hidden="1" x14ac:dyDescent="0.2">
      <c r="A611" s="11" t="s">
        <v>624</v>
      </c>
      <c r="B611" s="11" t="s">
        <v>1294</v>
      </c>
      <c r="C611" s="11" t="s">
        <v>1243</v>
      </c>
      <c r="D611" s="6">
        <v>2</v>
      </c>
      <c r="E611" s="11" t="s">
        <v>1233</v>
      </c>
      <c r="F611" s="11" t="s">
        <v>901</v>
      </c>
      <c r="G611" s="11" t="s">
        <v>900</v>
      </c>
      <c r="H611" s="11"/>
      <c r="I611" s="11"/>
    </row>
    <row r="612" spans="1:9" hidden="1" x14ac:dyDescent="0.2">
      <c r="A612" s="11" t="s">
        <v>624</v>
      </c>
      <c r="B612" s="11" t="s">
        <v>1294</v>
      </c>
      <c r="C612" s="11" t="s">
        <v>1244</v>
      </c>
      <c r="D612" s="6">
        <v>1</v>
      </c>
      <c r="E612" s="11" t="s">
        <v>1233</v>
      </c>
      <c r="F612" s="11" t="s">
        <v>901</v>
      </c>
      <c r="G612" s="11" t="s">
        <v>900</v>
      </c>
      <c r="H612" s="11"/>
      <c r="I612" s="11"/>
    </row>
    <row r="613" spans="1:9" hidden="1" x14ac:dyDescent="0.2">
      <c r="A613" s="11" t="s">
        <v>624</v>
      </c>
      <c r="B613" s="11" t="s">
        <v>1294</v>
      </c>
      <c r="C613" s="11" t="s">
        <v>220</v>
      </c>
      <c r="D613" s="6">
        <v>1</v>
      </c>
      <c r="E613" s="11" t="s">
        <v>1233</v>
      </c>
      <c r="F613" s="11" t="s">
        <v>901</v>
      </c>
      <c r="G613" s="11" t="s">
        <v>900</v>
      </c>
      <c r="H613" s="11"/>
      <c r="I613" s="11"/>
    </row>
    <row r="614" spans="1:9" hidden="1" x14ac:dyDescent="0.2">
      <c r="A614" s="11" t="s">
        <v>624</v>
      </c>
      <c r="B614" s="11" t="s">
        <v>1294</v>
      </c>
      <c r="C614" s="11" t="s">
        <v>1245</v>
      </c>
      <c r="D614" s="6">
        <v>1</v>
      </c>
      <c r="E614" s="11" t="s">
        <v>1233</v>
      </c>
      <c r="F614" s="11" t="s">
        <v>901</v>
      </c>
      <c r="G614" s="11" t="s">
        <v>900</v>
      </c>
      <c r="H614" s="11"/>
      <c r="I614" s="11"/>
    </row>
    <row r="615" spans="1:9" hidden="1" x14ac:dyDescent="0.2">
      <c r="A615" s="11" t="s">
        <v>624</v>
      </c>
      <c r="B615" s="11" t="s">
        <v>1294</v>
      </c>
      <c r="C615" s="11" t="s">
        <v>1217</v>
      </c>
      <c r="D615" s="6">
        <v>1</v>
      </c>
      <c r="E615" s="11" t="s">
        <v>1233</v>
      </c>
      <c r="F615" s="11" t="s">
        <v>901</v>
      </c>
      <c r="G615" s="11" t="s">
        <v>900</v>
      </c>
      <c r="H615" s="11"/>
      <c r="I615" s="11"/>
    </row>
    <row r="616" spans="1:9" hidden="1" x14ac:dyDescent="0.2">
      <c r="A616" s="11" t="s">
        <v>624</v>
      </c>
      <c r="B616" s="11" t="s">
        <v>1294</v>
      </c>
      <c r="C616" s="11" t="s">
        <v>1246</v>
      </c>
      <c r="D616" s="6">
        <v>1</v>
      </c>
      <c r="E616" s="11" t="s">
        <v>1233</v>
      </c>
      <c r="F616" s="11" t="s">
        <v>901</v>
      </c>
      <c r="G616" s="11" t="s">
        <v>900</v>
      </c>
      <c r="H616" s="11"/>
      <c r="I616" s="11"/>
    </row>
    <row r="617" spans="1:9" hidden="1" x14ac:dyDescent="0.2">
      <c r="A617" s="11" t="s">
        <v>624</v>
      </c>
      <c r="B617" s="11" t="s">
        <v>1294</v>
      </c>
      <c r="C617" s="11" t="s">
        <v>1247</v>
      </c>
      <c r="D617" s="6">
        <v>1</v>
      </c>
      <c r="E617" s="11" t="s">
        <v>1233</v>
      </c>
      <c r="F617" s="11" t="s">
        <v>901</v>
      </c>
      <c r="G617" s="11" t="s">
        <v>900</v>
      </c>
      <c r="H617" s="11"/>
      <c r="I617" s="11"/>
    </row>
    <row r="618" spans="1:9" hidden="1" x14ac:dyDescent="0.2">
      <c r="A618" s="11" t="s">
        <v>624</v>
      </c>
      <c r="B618" s="11" t="s">
        <v>1294</v>
      </c>
      <c r="C618" s="11" t="s">
        <v>1248</v>
      </c>
      <c r="D618" s="6">
        <v>1</v>
      </c>
      <c r="E618" s="11" t="s">
        <v>1233</v>
      </c>
      <c r="F618" s="11" t="s">
        <v>901</v>
      </c>
      <c r="G618" s="11" t="s">
        <v>900</v>
      </c>
      <c r="H618" s="11"/>
      <c r="I618" s="11"/>
    </row>
    <row r="619" spans="1:9" hidden="1" x14ac:dyDescent="0.2">
      <c r="A619" s="11" t="s">
        <v>624</v>
      </c>
      <c r="B619" s="11" t="s">
        <v>1294</v>
      </c>
      <c r="C619" s="11" t="s">
        <v>1249</v>
      </c>
      <c r="E619" s="11" t="s">
        <v>1233</v>
      </c>
      <c r="F619" s="11" t="s">
        <v>901</v>
      </c>
      <c r="G619" s="11" t="s">
        <v>900</v>
      </c>
      <c r="H619" s="11"/>
      <c r="I619" s="11"/>
    </row>
    <row r="620" spans="1:9" hidden="1" x14ac:dyDescent="0.2">
      <c r="A620" s="11" t="s">
        <v>624</v>
      </c>
      <c r="B620" s="11" t="s">
        <v>1294</v>
      </c>
      <c r="C620" s="11" t="s">
        <v>1250</v>
      </c>
      <c r="E620" s="11" t="s">
        <v>1233</v>
      </c>
      <c r="F620" s="11" t="s">
        <v>901</v>
      </c>
      <c r="G620" s="11" t="s">
        <v>900</v>
      </c>
      <c r="H620" s="11"/>
      <c r="I620" s="11"/>
    </row>
    <row r="621" spans="1:9" hidden="1" x14ac:dyDescent="0.2">
      <c r="A621" s="11" t="s">
        <v>624</v>
      </c>
      <c r="B621" s="11" t="s">
        <v>1294</v>
      </c>
      <c r="C621" s="11" t="s">
        <v>1251</v>
      </c>
      <c r="E621" s="11" t="s">
        <v>1233</v>
      </c>
      <c r="F621" s="11" t="s">
        <v>901</v>
      </c>
      <c r="G621" s="11" t="s">
        <v>900</v>
      </c>
      <c r="H621" s="11"/>
      <c r="I621" s="11"/>
    </row>
    <row r="622" spans="1:9" hidden="1" x14ac:dyDescent="0.2">
      <c r="A622" s="11" t="s">
        <v>624</v>
      </c>
      <c r="B622" s="11" t="s">
        <v>1294</v>
      </c>
      <c r="C622" s="11" t="s">
        <v>1252</v>
      </c>
      <c r="E622" s="11" t="s">
        <v>1233</v>
      </c>
      <c r="F622" s="11" t="s">
        <v>901</v>
      </c>
      <c r="G622" s="11" t="s">
        <v>900</v>
      </c>
      <c r="H622" s="11"/>
      <c r="I622" s="11"/>
    </row>
    <row r="623" spans="1:9" hidden="1" x14ac:dyDescent="0.2">
      <c r="A623" s="11" t="s">
        <v>624</v>
      </c>
      <c r="B623" s="11" t="s">
        <v>1294</v>
      </c>
      <c r="C623" s="11" t="s">
        <v>1253</v>
      </c>
      <c r="E623" s="11" t="s">
        <v>1233</v>
      </c>
      <c r="F623" s="11" t="s">
        <v>901</v>
      </c>
      <c r="G623" s="11" t="s">
        <v>900</v>
      </c>
      <c r="H623" s="11"/>
      <c r="I623" s="11"/>
    </row>
    <row r="624" spans="1:9" hidden="1" x14ac:dyDescent="0.2">
      <c r="A624" s="11" t="s">
        <v>624</v>
      </c>
      <c r="B624" s="11" t="s">
        <v>1294</v>
      </c>
      <c r="C624" s="11" t="s">
        <v>1254</v>
      </c>
      <c r="E624" s="11" t="s">
        <v>1233</v>
      </c>
      <c r="F624" s="11" t="s">
        <v>901</v>
      </c>
      <c r="G624" s="11" t="s">
        <v>900</v>
      </c>
      <c r="H624" s="11"/>
      <c r="I624" s="11"/>
    </row>
    <row r="625" spans="1:9" hidden="1" x14ac:dyDescent="0.2">
      <c r="A625" s="11" t="s">
        <v>624</v>
      </c>
      <c r="B625" s="11" t="s">
        <v>1294</v>
      </c>
      <c r="C625" s="11" t="s">
        <v>1255</v>
      </c>
      <c r="E625" s="11" t="s">
        <v>1233</v>
      </c>
      <c r="F625" s="11" t="s">
        <v>901</v>
      </c>
      <c r="G625" s="11" t="s">
        <v>900</v>
      </c>
      <c r="H625" s="11"/>
      <c r="I625" s="11"/>
    </row>
    <row r="626" spans="1:9" hidden="1" x14ac:dyDescent="0.2">
      <c r="A626" s="11" t="s">
        <v>624</v>
      </c>
      <c r="B626" s="11" t="s">
        <v>1294</v>
      </c>
      <c r="C626" s="11" t="s">
        <v>889</v>
      </c>
      <c r="D626" s="6">
        <v>1.5</v>
      </c>
      <c r="E626" s="11" t="s">
        <v>1233</v>
      </c>
      <c r="F626" s="11" t="s">
        <v>901</v>
      </c>
      <c r="G626" s="11" t="s">
        <v>900</v>
      </c>
      <c r="H626" s="11"/>
      <c r="I626" s="11"/>
    </row>
    <row r="627" spans="1:9" hidden="1" x14ac:dyDescent="0.2">
      <c r="A627" s="11" t="s">
        <v>624</v>
      </c>
      <c r="B627" s="11" t="s">
        <v>1294</v>
      </c>
      <c r="C627" s="11" t="s">
        <v>890</v>
      </c>
      <c r="D627" s="6">
        <v>1.5</v>
      </c>
      <c r="E627" s="11" t="s">
        <v>1233</v>
      </c>
      <c r="F627" s="11" t="s">
        <v>901</v>
      </c>
      <c r="G627" s="11" t="s">
        <v>900</v>
      </c>
      <c r="H627" s="11"/>
      <c r="I627" s="11"/>
    </row>
    <row r="628" spans="1:9" hidden="1" x14ac:dyDescent="0.2">
      <c r="A628" s="11" t="s">
        <v>624</v>
      </c>
      <c r="B628" s="11" t="s">
        <v>1294</v>
      </c>
      <c r="C628" s="11" t="s">
        <v>564</v>
      </c>
      <c r="D628" s="6">
        <v>1</v>
      </c>
      <c r="E628" s="11" t="s">
        <v>1233</v>
      </c>
      <c r="F628" s="11" t="s">
        <v>901</v>
      </c>
      <c r="G628" s="11" t="s">
        <v>900</v>
      </c>
      <c r="H628" s="11"/>
      <c r="I628" s="11"/>
    </row>
    <row r="629" spans="1:9" hidden="1" x14ac:dyDescent="0.2">
      <c r="A629" s="11" t="s">
        <v>624</v>
      </c>
      <c r="B629" s="11" t="s">
        <v>1294</v>
      </c>
      <c r="C629" s="11" t="s">
        <v>1255</v>
      </c>
      <c r="E629" s="11" t="s">
        <v>1233</v>
      </c>
      <c r="F629" s="11" t="s">
        <v>901</v>
      </c>
      <c r="G629" s="11" t="s">
        <v>900</v>
      </c>
      <c r="H629" s="11"/>
      <c r="I629" s="11"/>
    </row>
    <row r="630" spans="1:9" hidden="1" x14ac:dyDescent="0.2">
      <c r="A630" s="11" t="s">
        <v>624</v>
      </c>
      <c r="B630" s="11" t="s">
        <v>1294</v>
      </c>
      <c r="C630" s="11" t="s">
        <v>1301</v>
      </c>
      <c r="E630" s="11" t="s">
        <v>1233</v>
      </c>
      <c r="F630" s="11" t="s">
        <v>901</v>
      </c>
      <c r="G630" s="11" t="s">
        <v>900</v>
      </c>
      <c r="H630" s="11"/>
      <c r="I630" s="11"/>
    </row>
    <row r="631" spans="1:9" hidden="1" x14ac:dyDescent="0.2">
      <c r="A631" s="11" t="s">
        <v>624</v>
      </c>
      <c r="B631" s="11" t="s">
        <v>1294</v>
      </c>
      <c r="C631" s="11" t="s">
        <v>1302</v>
      </c>
      <c r="E631" s="11" t="s">
        <v>1233</v>
      </c>
      <c r="F631" s="11" t="s">
        <v>901</v>
      </c>
      <c r="G631" s="11" t="s">
        <v>900</v>
      </c>
      <c r="H631" s="11"/>
      <c r="I631" s="11"/>
    </row>
    <row r="632" spans="1:9" hidden="1" x14ac:dyDescent="0.2">
      <c r="A632" s="11" t="s">
        <v>1307</v>
      </c>
      <c r="B632" s="11" t="s">
        <v>1308</v>
      </c>
      <c r="C632" s="11" t="s">
        <v>1309</v>
      </c>
      <c r="D632" s="6">
        <v>1</v>
      </c>
      <c r="E632" s="11" t="s">
        <v>1310</v>
      </c>
      <c r="F632" s="11" t="s">
        <v>901</v>
      </c>
      <c r="G632" s="11" t="s">
        <v>900</v>
      </c>
      <c r="H632" s="11"/>
      <c r="I632" s="11"/>
    </row>
    <row r="633" spans="1:9" hidden="1" x14ac:dyDescent="0.2">
      <c r="A633" s="11" t="s">
        <v>1307</v>
      </c>
      <c r="B633" s="11" t="s">
        <v>1308</v>
      </c>
      <c r="C633" s="11" t="s">
        <v>1311</v>
      </c>
      <c r="D633" s="6">
        <v>1</v>
      </c>
      <c r="E633" s="11" t="s">
        <v>1310</v>
      </c>
      <c r="F633" s="11" t="s">
        <v>901</v>
      </c>
      <c r="G633" s="11" t="s">
        <v>900</v>
      </c>
      <c r="H633" s="11"/>
      <c r="I633" s="11"/>
    </row>
    <row r="634" spans="1:9" hidden="1" x14ac:dyDescent="0.2">
      <c r="A634" s="11" t="s">
        <v>1307</v>
      </c>
      <c r="B634" s="11" t="s">
        <v>1308</v>
      </c>
      <c r="C634" s="11" t="s">
        <v>997</v>
      </c>
      <c r="D634" s="6">
        <v>1</v>
      </c>
      <c r="E634" s="11" t="s">
        <v>1310</v>
      </c>
      <c r="F634" s="11" t="s">
        <v>901</v>
      </c>
      <c r="G634" s="11" t="s">
        <v>900</v>
      </c>
      <c r="H634" s="11"/>
      <c r="I634" s="11"/>
    </row>
    <row r="635" spans="1:9" hidden="1" x14ac:dyDescent="0.2">
      <c r="A635" s="11" t="s">
        <v>178</v>
      </c>
      <c r="B635" s="11" t="s">
        <v>1317</v>
      </c>
      <c r="C635" s="11" t="s">
        <v>1318</v>
      </c>
      <c r="D635" s="6">
        <v>1</v>
      </c>
      <c r="E635" s="11" t="s">
        <v>1319</v>
      </c>
      <c r="F635" s="11" t="s">
        <v>901</v>
      </c>
      <c r="G635" s="11" t="s">
        <v>900</v>
      </c>
      <c r="H635" s="11">
        <v>1</v>
      </c>
      <c r="I635" s="11"/>
    </row>
    <row r="636" spans="1:9" hidden="1" x14ac:dyDescent="0.2">
      <c r="A636" s="11" t="s">
        <v>178</v>
      </c>
      <c r="B636" s="11" t="s">
        <v>1317</v>
      </c>
      <c r="C636" s="11" t="s">
        <v>198</v>
      </c>
      <c r="D636" s="6">
        <v>1</v>
      </c>
      <c r="E636" s="11" t="s">
        <v>1319</v>
      </c>
      <c r="F636" s="11" t="s">
        <v>901</v>
      </c>
      <c r="G636" s="11" t="s">
        <v>900</v>
      </c>
      <c r="H636" s="11">
        <v>1</v>
      </c>
      <c r="I636" s="11"/>
    </row>
    <row r="637" spans="1:9" hidden="1" x14ac:dyDescent="0.2">
      <c r="A637" s="11" t="s">
        <v>178</v>
      </c>
      <c r="B637" s="11" t="s">
        <v>1317</v>
      </c>
      <c r="C637" s="11" t="s">
        <v>1237</v>
      </c>
      <c r="D637" s="6">
        <v>1</v>
      </c>
      <c r="E637" s="11" t="s">
        <v>1319</v>
      </c>
      <c r="F637" s="11" t="s">
        <v>901</v>
      </c>
      <c r="G637" s="11" t="s">
        <v>900</v>
      </c>
      <c r="H637" s="11">
        <v>1</v>
      </c>
      <c r="I637" s="11"/>
    </row>
    <row r="638" spans="1:9" hidden="1" x14ac:dyDescent="0.2">
      <c r="A638" s="11" t="s">
        <v>178</v>
      </c>
      <c r="B638" s="11" t="s">
        <v>1317</v>
      </c>
      <c r="C638" s="11" t="s">
        <v>1238</v>
      </c>
      <c r="D638" s="6">
        <v>1</v>
      </c>
      <c r="E638" s="11" t="s">
        <v>1319</v>
      </c>
      <c r="F638" s="11" t="s">
        <v>901</v>
      </c>
      <c r="G638" s="11" t="s">
        <v>900</v>
      </c>
      <c r="H638" s="11">
        <v>1</v>
      </c>
      <c r="I638" s="11"/>
    </row>
    <row r="639" spans="1:9" hidden="1" x14ac:dyDescent="0.2">
      <c r="A639" s="11" t="s">
        <v>29</v>
      </c>
      <c r="B639" s="11" t="s">
        <v>1000</v>
      </c>
      <c r="C639" s="11" t="s">
        <v>1321</v>
      </c>
      <c r="E639" s="11" t="s">
        <v>983</v>
      </c>
      <c r="F639" s="11" t="s">
        <v>901</v>
      </c>
      <c r="G639" s="11" t="s">
        <v>900</v>
      </c>
      <c r="H639" s="11">
        <v>1</v>
      </c>
      <c r="I639" s="11"/>
    </row>
    <row r="640" spans="1:9" x14ac:dyDescent="0.2">
      <c r="A640" s="11" t="s">
        <v>787</v>
      </c>
      <c r="B640" s="11" t="s">
        <v>1330</v>
      </c>
      <c r="C640" s="11" t="s">
        <v>1339</v>
      </c>
      <c r="D640" s="6">
        <v>1</v>
      </c>
      <c r="E640" s="11" t="s">
        <v>1332</v>
      </c>
      <c r="F640" s="11" t="s">
        <v>901</v>
      </c>
      <c r="G640" s="11" t="s">
        <v>900</v>
      </c>
      <c r="H640" s="11"/>
      <c r="I640" s="11"/>
    </row>
    <row r="641" spans="1:10" x14ac:dyDescent="0.2">
      <c r="A641" s="11" t="s">
        <v>787</v>
      </c>
      <c r="B641" s="11" t="s">
        <v>1330</v>
      </c>
      <c r="C641" s="11" t="s">
        <v>1340</v>
      </c>
      <c r="D641" s="6">
        <v>1</v>
      </c>
      <c r="E641" s="11" t="s">
        <v>1332</v>
      </c>
      <c r="F641" s="11" t="s">
        <v>901</v>
      </c>
      <c r="G641" s="11" t="s">
        <v>900</v>
      </c>
      <c r="H641" s="11"/>
      <c r="I641" s="11"/>
    </row>
    <row r="642" spans="1:10" x14ac:dyDescent="0.2">
      <c r="A642" s="11" t="s">
        <v>787</v>
      </c>
      <c r="B642" s="11" t="s">
        <v>1330</v>
      </c>
      <c r="C642" s="11" t="s">
        <v>1341</v>
      </c>
      <c r="D642" s="6">
        <v>1</v>
      </c>
      <c r="E642" s="11" t="s">
        <v>1332</v>
      </c>
      <c r="F642" s="11" t="s">
        <v>901</v>
      </c>
      <c r="G642" s="11" t="s">
        <v>900</v>
      </c>
      <c r="H642" s="11"/>
      <c r="I642" s="11"/>
    </row>
    <row r="643" spans="1:10" x14ac:dyDescent="0.2">
      <c r="A643" s="11" t="s">
        <v>787</v>
      </c>
      <c r="B643" s="11" t="s">
        <v>1330</v>
      </c>
      <c r="C643" s="11" t="s">
        <v>1342</v>
      </c>
      <c r="E643" s="11" t="s">
        <v>1332</v>
      </c>
      <c r="F643" s="11" t="s">
        <v>901</v>
      </c>
      <c r="G643" s="11" t="s">
        <v>900</v>
      </c>
      <c r="H643" s="11"/>
      <c r="I643" s="11"/>
    </row>
    <row r="644" spans="1:10" x14ac:dyDescent="0.2">
      <c r="A644" s="11" t="s">
        <v>787</v>
      </c>
      <c r="B644" s="11" t="s">
        <v>1330</v>
      </c>
      <c r="C644" s="11" t="s">
        <v>1343</v>
      </c>
      <c r="D644" s="6">
        <v>2</v>
      </c>
      <c r="E644" s="11" t="s">
        <v>1332</v>
      </c>
      <c r="F644" s="11" t="s">
        <v>901</v>
      </c>
      <c r="G644" s="11" t="s">
        <v>900</v>
      </c>
      <c r="H644" s="11"/>
      <c r="I644" s="11"/>
      <c r="J644" s="11"/>
    </row>
    <row r="645" spans="1:10" hidden="1" x14ac:dyDescent="0.2">
      <c r="A645" s="11" t="s">
        <v>29</v>
      </c>
      <c r="B645" s="11" t="s">
        <v>1401</v>
      </c>
      <c r="C645" s="11" t="s">
        <v>12</v>
      </c>
      <c r="E645" s="11" t="s">
        <v>1402</v>
      </c>
      <c r="F645" s="11" t="s">
        <v>901</v>
      </c>
      <c r="G645" s="11" t="s">
        <v>900</v>
      </c>
      <c r="H645" s="11">
        <v>1</v>
      </c>
      <c r="I645" s="11"/>
    </row>
    <row r="646" spans="1:10" hidden="1" x14ac:dyDescent="0.2">
      <c r="A646" s="11" t="s">
        <v>29</v>
      </c>
      <c r="B646" s="11" t="s">
        <v>1401</v>
      </c>
      <c r="C646" s="11" t="s">
        <v>625</v>
      </c>
      <c r="E646" s="11" t="s">
        <v>1402</v>
      </c>
      <c r="F646" s="11" t="s">
        <v>901</v>
      </c>
      <c r="G646" s="11" t="s">
        <v>900</v>
      </c>
      <c r="H646" s="11">
        <v>1</v>
      </c>
      <c r="I646" s="11"/>
    </row>
    <row r="647" spans="1:10" hidden="1" x14ac:dyDescent="0.2">
      <c r="A647" s="11" t="s">
        <v>29</v>
      </c>
      <c r="B647" s="11" t="s">
        <v>1401</v>
      </c>
      <c r="C647" s="11" t="s">
        <v>626</v>
      </c>
      <c r="E647" s="11" t="s">
        <v>1402</v>
      </c>
      <c r="F647" s="11" t="s">
        <v>901</v>
      </c>
      <c r="G647" s="11" t="s">
        <v>900</v>
      </c>
      <c r="H647" s="11">
        <v>1</v>
      </c>
      <c r="I647" s="11"/>
    </row>
    <row r="648" spans="1:10" hidden="1" x14ac:dyDescent="0.2">
      <c r="A648" s="11" t="s">
        <v>29</v>
      </c>
      <c r="B648" s="11" t="s">
        <v>1401</v>
      </c>
      <c r="C648" s="11" t="s">
        <v>627</v>
      </c>
      <c r="E648" s="11" t="s">
        <v>1402</v>
      </c>
      <c r="F648" s="11" t="s">
        <v>901</v>
      </c>
      <c r="G648" s="11" t="s">
        <v>900</v>
      </c>
      <c r="H648" s="11">
        <v>1</v>
      </c>
      <c r="I648" s="11"/>
    </row>
    <row r="649" spans="1:10" hidden="1" x14ac:dyDescent="0.2">
      <c r="A649" s="11" t="s">
        <v>29</v>
      </c>
      <c r="B649" s="11" t="s">
        <v>1401</v>
      </c>
      <c r="C649" s="11" t="s">
        <v>628</v>
      </c>
      <c r="E649" s="11" t="s">
        <v>1402</v>
      </c>
      <c r="F649" s="11" t="s">
        <v>901</v>
      </c>
      <c r="G649" s="11" t="s">
        <v>900</v>
      </c>
      <c r="H649" s="11">
        <v>1</v>
      </c>
      <c r="I649" s="11"/>
    </row>
    <row r="650" spans="1:10" hidden="1" x14ac:dyDescent="0.2">
      <c r="A650" s="11" t="s">
        <v>29</v>
      </c>
      <c r="B650" s="11" t="s">
        <v>1401</v>
      </c>
      <c r="C650" s="11" t="s">
        <v>13</v>
      </c>
      <c r="E650" s="11" t="s">
        <v>1402</v>
      </c>
      <c r="F650" s="11" t="s">
        <v>901</v>
      </c>
      <c r="G650" s="11" t="s">
        <v>900</v>
      </c>
      <c r="H650" s="11">
        <v>1</v>
      </c>
      <c r="I650" s="11"/>
    </row>
    <row r="651" spans="1:10" hidden="1" x14ac:dyDescent="0.2">
      <c r="A651" s="11" t="s">
        <v>29</v>
      </c>
      <c r="B651" s="11" t="s">
        <v>1401</v>
      </c>
      <c r="C651" s="11" t="s">
        <v>629</v>
      </c>
      <c r="E651" s="11" t="s">
        <v>1402</v>
      </c>
      <c r="F651" s="11" t="s">
        <v>901</v>
      </c>
      <c r="G651" s="11" t="s">
        <v>900</v>
      </c>
      <c r="H651" s="11">
        <v>1</v>
      </c>
      <c r="I651" s="11"/>
    </row>
    <row r="652" spans="1:10" hidden="1" x14ac:dyDescent="0.2">
      <c r="A652" s="11" t="s">
        <v>29</v>
      </c>
      <c r="B652" s="11" t="s">
        <v>1401</v>
      </c>
      <c r="C652" s="11" t="s">
        <v>14</v>
      </c>
      <c r="E652" s="11" t="s">
        <v>1402</v>
      </c>
      <c r="F652" s="11" t="s">
        <v>901</v>
      </c>
      <c r="G652" s="11" t="s">
        <v>900</v>
      </c>
      <c r="H652" s="11">
        <v>1</v>
      </c>
      <c r="I652" s="11"/>
    </row>
    <row r="653" spans="1:10" hidden="1" x14ac:dyDescent="0.2">
      <c r="A653" s="11" t="s">
        <v>29</v>
      </c>
      <c r="B653" s="11" t="s">
        <v>1401</v>
      </c>
      <c r="C653" s="11" t="s">
        <v>630</v>
      </c>
      <c r="E653" s="11" t="s">
        <v>1402</v>
      </c>
      <c r="F653" s="11" t="s">
        <v>901</v>
      </c>
      <c r="G653" s="11" t="s">
        <v>900</v>
      </c>
      <c r="H653" s="11">
        <v>1</v>
      </c>
      <c r="I653" s="11"/>
    </row>
    <row r="654" spans="1:10" hidden="1" x14ac:dyDescent="0.2">
      <c r="A654" s="11" t="s">
        <v>29</v>
      </c>
      <c r="B654" s="11" t="s">
        <v>1401</v>
      </c>
      <c r="C654" s="11" t="s">
        <v>631</v>
      </c>
      <c r="E654" s="11" t="s">
        <v>1402</v>
      </c>
      <c r="F654" s="11" t="s">
        <v>901</v>
      </c>
      <c r="G654" s="11" t="s">
        <v>900</v>
      </c>
      <c r="H654" s="11">
        <v>1</v>
      </c>
      <c r="I654" s="11"/>
    </row>
    <row r="655" spans="1:10" hidden="1" x14ac:dyDescent="0.2">
      <c r="A655" s="11" t="s">
        <v>29</v>
      </c>
      <c r="B655" s="11" t="s">
        <v>1401</v>
      </c>
      <c r="C655" s="11" t="s">
        <v>632</v>
      </c>
      <c r="E655" s="11" t="s">
        <v>1402</v>
      </c>
      <c r="F655" s="11" t="s">
        <v>901</v>
      </c>
      <c r="G655" s="11" t="s">
        <v>900</v>
      </c>
      <c r="H655" s="11">
        <v>1</v>
      </c>
      <c r="I655" s="11"/>
    </row>
    <row r="656" spans="1:10" hidden="1" x14ac:dyDescent="0.2">
      <c r="A656" s="11" t="s">
        <v>29</v>
      </c>
      <c r="B656" s="11" t="s">
        <v>1401</v>
      </c>
      <c r="C656" s="11" t="s">
        <v>633</v>
      </c>
      <c r="E656" s="11" t="s">
        <v>1402</v>
      </c>
      <c r="F656" s="11" t="s">
        <v>901</v>
      </c>
      <c r="G656" s="11" t="s">
        <v>900</v>
      </c>
      <c r="H656" s="11">
        <v>1</v>
      </c>
      <c r="I656" s="11"/>
    </row>
    <row r="657" spans="1:9" hidden="1" x14ac:dyDescent="0.2">
      <c r="A657" s="11" t="s">
        <v>29</v>
      </c>
      <c r="B657" s="11" t="s">
        <v>1401</v>
      </c>
      <c r="C657" s="11" t="s">
        <v>18</v>
      </c>
      <c r="E657" s="11" t="s">
        <v>1402</v>
      </c>
      <c r="F657" s="11" t="s">
        <v>901</v>
      </c>
      <c r="G657" s="11" t="s">
        <v>900</v>
      </c>
      <c r="H657" s="11">
        <v>1</v>
      </c>
      <c r="I657" s="11"/>
    </row>
    <row r="658" spans="1:9" hidden="1" x14ac:dyDescent="0.2">
      <c r="A658" s="11" t="s">
        <v>29</v>
      </c>
      <c r="B658" s="11" t="s">
        <v>1401</v>
      </c>
      <c r="C658" s="11" t="s">
        <v>634</v>
      </c>
      <c r="E658" s="11" t="s">
        <v>1402</v>
      </c>
      <c r="F658" s="11" t="s">
        <v>901</v>
      </c>
      <c r="G658" s="11" t="s">
        <v>900</v>
      </c>
      <c r="H658" s="11">
        <v>1</v>
      </c>
      <c r="I658" s="11"/>
    </row>
    <row r="659" spans="1:9" hidden="1" x14ac:dyDescent="0.2">
      <c r="A659" s="11" t="s">
        <v>29</v>
      </c>
      <c r="B659" s="11" t="s">
        <v>1401</v>
      </c>
      <c r="C659" s="11" t="s">
        <v>635</v>
      </c>
      <c r="E659" s="11" t="s">
        <v>1402</v>
      </c>
      <c r="F659" s="11" t="s">
        <v>901</v>
      </c>
      <c r="G659" s="11" t="s">
        <v>900</v>
      </c>
      <c r="H659" s="11">
        <v>1</v>
      </c>
      <c r="I659" s="11"/>
    </row>
    <row r="660" spans="1:9" hidden="1" x14ac:dyDescent="0.2">
      <c r="A660" s="11" t="s">
        <v>29</v>
      </c>
      <c r="B660" s="11" t="s">
        <v>1401</v>
      </c>
      <c r="C660" s="11" t="s">
        <v>636</v>
      </c>
      <c r="E660" s="11" t="s">
        <v>1402</v>
      </c>
      <c r="F660" s="11" t="s">
        <v>901</v>
      </c>
      <c r="G660" s="11" t="s">
        <v>900</v>
      </c>
      <c r="H660" s="11">
        <v>1</v>
      </c>
      <c r="I660" s="11"/>
    </row>
    <row r="661" spans="1:9" hidden="1" x14ac:dyDescent="0.2">
      <c r="A661" s="11" t="s">
        <v>29</v>
      </c>
      <c r="B661" s="11" t="s">
        <v>1401</v>
      </c>
      <c r="C661" s="11" t="s">
        <v>15</v>
      </c>
      <c r="E661" s="11" t="s">
        <v>1402</v>
      </c>
      <c r="F661" s="11" t="s">
        <v>901</v>
      </c>
      <c r="G661" s="11" t="s">
        <v>900</v>
      </c>
      <c r="H661" s="11">
        <v>1</v>
      </c>
      <c r="I661" s="11"/>
    </row>
    <row r="662" spans="1:9" hidden="1" x14ac:dyDescent="0.2">
      <c r="A662" s="11" t="s">
        <v>29</v>
      </c>
      <c r="B662" s="11" t="s">
        <v>1401</v>
      </c>
      <c r="C662" s="11" t="s">
        <v>637</v>
      </c>
      <c r="E662" s="11" t="s">
        <v>1402</v>
      </c>
      <c r="F662" s="11" t="s">
        <v>901</v>
      </c>
      <c r="G662" s="11" t="s">
        <v>900</v>
      </c>
      <c r="H662" s="11">
        <v>1</v>
      </c>
      <c r="I662" s="11"/>
    </row>
    <row r="663" spans="1:9" hidden="1" x14ac:dyDescent="0.2">
      <c r="A663" s="11" t="s">
        <v>29</v>
      </c>
      <c r="B663" s="11" t="s">
        <v>1401</v>
      </c>
      <c r="C663" s="11" t="s">
        <v>638</v>
      </c>
      <c r="E663" s="11" t="s">
        <v>1402</v>
      </c>
      <c r="F663" s="11" t="s">
        <v>901</v>
      </c>
      <c r="G663" s="11" t="s">
        <v>900</v>
      </c>
      <c r="H663" s="11">
        <v>1</v>
      </c>
      <c r="I663" s="11"/>
    </row>
    <row r="664" spans="1:9" hidden="1" x14ac:dyDescent="0.2">
      <c r="A664" s="11" t="s">
        <v>29</v>
      </c>
      <c r="B664" s="11" t="s">
        <v>1401</v>
      </c>
      <c r="C664" s="11" t="s">
        <v>757</v>
      </c>
      <c r="E664" s="11" t="s">
        <v>1402</v>
      </c>
      <c r="F664" s="11" t="s">
        <v>901</v>
      </c>
      <c r="G664" s="11" t="s">
        <v>900</v>
      </c>
      <c r="H664" s="11">
        <v>1</v>
      </c>
      <c r="I664" s="11"/>
    </row>
    <row r="665" spans="1:9" hidden="1" x14ac:dyDescent="0.2">
      <c r="A665" s="11" t="s">
        <v>223</v>
      </c>
      <c r="B665" s="11" t="s">
        <v>1403</v>
      </c>
      <c r="C665" s="11" t="s">
        <v>1404</v>
      </c>
      <c r="D665" s="6">
        <v>1</v>
      </c>
      <c r="E665" s="11" t="s">
        <v>1405</v>
      </c>
      <c r="F665" s="11" t="s">
        <v>901</v>
      </c>
      <c r="G665" s="11" t="s">
        <v>900</v>
      </c>
      <c r="H665" s="11">
        <v>1</v>
      </c>
      <c r="I665" s="11"/>
    </row>
    <row r="666" spans="1:9" hidden="1" x14ac:dyDescent="0.2">
      <c r="A666" s="11" t="s">
        <v>223</v>
      </c>
      <c r="B666" s="11" t="s">
        <v>1403</v>
      </c>
      <c r="C666" s="11" t="s">
        <v>1406</v>
      </c>
      <c r="D666" s="6">
        <v>1</v>
      </c>
      <c r="E666" s="11" t="s">
        <v>1405</v>
      </c>
      <c r="F666" s="11" t="s">
        <v>901</v>
      </c>
      <c r="G666" s="11" t="s">
        <v>900</v>
      </c>
      <c r="H666" s="11">
        <v>1</v>
      </c>
      <c r="I666" s="11"/>
    </row>
    <row r="667" spans="1:9" hidden="1" x14ac:dyDescent="0.2">
      <c r="A667" s="11" t="s">
        <v>223</v>
      </c>
      <c r="B667" s="11" t="s">
        <v>1403</v>
      </c>
      <c r="C667" s="11" t="s">
        <v>213</v>
      </c>
      <c r="D667" s="6">
        <v>1</v>
      </c>
      <c r="E667" s="11" t="s">
        <v>1405</v>
      </c>
      <c r="F667" s="11" t="s">
        <v>901</v>
      </c>
      <c r="G667" s="11" t="s">
        <v>900</v>
      </c>
      <c r="H667" s="11">
        <v>1</v>
      </c>
      <c r="I667" s="11"/>
    </row>
    <row r="668" spans="1:9" hidden="1" x14ac:dyDescent="0.2">
      <c r="A668" s="11" t="s">
        <v>223</v>
      </c>
      <c r="B668" s="11" t="s">
        <v>1403</v>
      </c>
      <c r="C668" s="11" t="s">
        <v>1407</v>
      </c>
      <c r="D668" s="6">
        <v>1</v>
      </c>
      <c r="E668" s="11" t="s">
        <v>1405</v>
      </c>
      <c r="F668" s="11" t="s">
        <v>901</v>
      </c>
      <c r="G668" s="11" t="s">
        <v>900</v>
      </c>
      <c r="H668" s="11">
        <v>1</v>
      </c>
      <c r="I668" s="11"/>
    </row>
    <row r="669" spans="1:9" hidden="1" x14ac:dyDescent="0.2">
      <c r="A669" s="11" t="s">
        <v>223</v>
      </c>
      <c r="B669" s="11" t="s">
        <v>1403</v>
      </c>
      <c r="C669" s="11" t="s">
        <v>217</v>
      </c>
      <c r="D669" s="6">
        <v>1</v>
      </c>
      <c r="E669" s="11" t="s">
        <v>1405</v>
      </c>
      <c r="F669" s="11" t="s">
        <v>901</v>
      </c>
      <c r="G669" s="11" t="s">
        <v>900</v>
      </c>
      <c r="H669" s="11">
        <v>1</v>
      </c>
      <c r="I669" s="11"/>
    </row>
    <row r="670" spans="1:9" hidden="1" x14ac:dyDescent="0.2">
      <c r="A670" s="11" t="s">
        <v>223</v>
      </c>
      <c r="B670" s="11" t="s">
        <v>1403</v>
      </c>
      <c r="C670" s="11" t="s">
        <v>218</v>
      </c>
      <c r="D670" s="6">
        <v>1</v>
      </c>
      <c r="E670" s="11" t="s">
        <v>1405</v>
      </c>
      <c r="F670" s="11" t="s">
        <v>901</v>
      </c>
      <c r="G670" s="11" t="s">
        <v>900</v>
      </c>
      <c r="H670" s="11">
        <v>1</v>
      </c>
      <c r="I670" s="11"/>
    </row>
    <row r="671" spans="1:9" hidden="1" x14ac:dyDescent="0.2">
      <c r="A671" s="11" t="s">
        <v>223</v>
      </c>
      <c r="B671" s="11" t="s">
        <v>1403</v>
      </c>
      <c r="C671" s="11" t="s">
        <v>368</v>
      </c>
      <c r="D671" s="6">
        <v>2</v>
      </c>
      <c r="E671" s="11" t="s">
        <v>1405</v>
      </c>
      <c r="F671" s="11" t="s">
        <v>901</v>
      </c>
      <c r="G671" s="11" t="s">
        <v>900</v>
      </c>
      <c r="H671" s="11">
        <v>1</v>
      </c>
      <c r="I671" s="11"/>
    </row>
    <row r="672" spans="1:9" hidden="1" x14ac:dyDescent="0.2">
      <c r="A672" s="11" t="s">
        <v>223</v>
      </c>
      <c r="B672" s="11" t="s">
        <v>1408</v>
      </c>
      <c r="C672" s="11" t="s">
        <v>1409</v>
      </c>
      <c r="D672" s="6">
        <v>1</v>
      </c>
      <c r="E672" s="11" t="s">
        <v>1410</v>
      </c>
      <c r="F672" s="11" t="s">
        <v>901</v>
      </c>
      <c r="G672" s="11" t="s">
        <v>900</v>
      </c>
      <c r="H672" s="11">
        <v>1</v>
      </c>
      <c r="I672" s="11"/>
    </row>
    <row r="673" spans="1:9" hidden="1" x14ac:dyDescent="0.2">
      <c r="A673" s="11" t="s">
        <v>223</v>
      </c>
      <c r="B673" s="11" t="s">
        <v>1408</v>
      </c>
      <c r="C673" s="11" t="s">
        <v>1417</v>
      </c>
      <c r="D673" s="6">
        <v>1</v>
      </c>
      <c r="E673" s="11" t="s">
        <v>1410</v>
      </c>
      <c r="F673" s="11" t="s">
        <v>901</v>
      </c>
      <c r="G673" s="11" t="s">
        <v>900</v>
      </c>
      <c r="H673" s="11">
        <v>1</v>
      </c>
      <c r="I673" s="11"/>
    </row>
    <row r="674" spans="1:9" hidden="1" x14ac:dyDescent="0.2">
      <c r="A674" s="11" t="s">
        <v>223</v>
      </c>
      <c r="B674" s="11" t="s">
        <v>1408</v>
      </c>
      <c r="C674" s="11" t="s">
        <v>213</v>
      </c>
      <c r="D674" s="6">
        <v>1</v>
      </c>
      <c r="E674" s="11" t="s">
        <v>1410</v>
      </c>
      <c r="F674" s="11" t="s">
        <v>901</v>
      </c>
      <c r="G674" s="11" t="s">
        <v>900</v>
      </c>
      <c r="H674" s="11">
        <v>1</v>
      </c>
      <c r="I674" s="11"/>
    </row>
    <row r="675" spans="1:9" hidden="1" x14ac:dyDescent="0.2">
      <c r="A675" s="11" t="s">
        <v>223</v>
      </c>
      <c r="B675" s="11" t="s">
        <v>1408</v>
      </c>
      <c r="C675" s="11" t="s">
        <v>1411</v>
      </c>
      <c r="D675" s="6">
        <v>1</v>
      </c>
      <c r="E675" s="11" t="s">
        <v>1410</v>
      </c>
      <c r="F675" s="11" t="s">
        <v>901</v>
      </c>
      <c r="G675" s="11" t="s">
        <v>900</v>
      </c>
      <c r="H675" s="11">
        <v>1</v>
      </c>
      <c r="I675" s="11"/>
    </row>
    <row r="676" spans="1:9" hidden="1" x14ac:dyDescent="0.2">
      <c r="A676" s="11" t="s">
        <v>223</v>
      </c>
      <c r="B676" s="11" t="s">
        <v>1408</v>
      </c>
      <c r="C676" s="11" t="s">
        <v>217</v>
      </c>
      <c r="D676" s="6">
        <v>1</v>
      </c>
      <c r="E676" s="11" t="s">
        <v>1410</v>
      </c>
      <c r="F676" s="11" t="s">
        <v>901</v>
      </c>
      <c r="G676" s="11" t="s">
        <v>900</v>
      </c>
      <c r="H676" s="11">
        <v>1</v>
      </c>
      <c r="I676" s="11"/>
    </row>
    <row r="677" spans="1:9" hidden="1" x14ac:dyDescent="0.2">
      <c r="A677" s="11" t="s">
        <v>223</v>
      </c>
      <c r="B677" s="11" t="s">
        <v>1408</v>
      </c>
      <c r="C677" s="11" t="s">
        <v>218</v>
      </c>
      <c r="D677" s="6">
        <v>1</v>
      </c>
      <c r="E677" s="11" t="s">
        <v>1410</v>
      </c>
      <c r="F677" s="11" t="s">
        <v>901</v>
      </c>
      <c r="G677" s="11" t="s">
        <v>900</v>
      </c>
      <c r="H677" s="11">
        <v>1</v>
      </c>
      <c r="I677" s="11"/>
    </row>
    <row r="678" spans="1:9" hidden="1" x14ac:dyDescent="0.2">
      <c r="A678" s="11" t="s">
        <v>223</v>
      </c>
      <c r="B678" s="11" t="s">
        <v>1408</v>
      </c>
      <c r="C678" s="11" t="s">
        <v>368</v>
      </c>
      <c r="D678" s="6">
        <v>2</v>
      </c>
      <c r="E678" s="11" t="s">
        <v>1410</v>
      </c>
      <c r="F678" s="11" t="s">
        <v>901</v>
      </c>
      <c r="G678" s="11" t="s">
        <v>900</v>
      </c>
      <c r="H678" s="11">
        <v>1</v>
      </c>
      <c r="I678" s="11"/>
    </row>
    <row r="679" spans="1:9" hidden="1" x14ac:dyDescent="0.2">
      <c r="A679" s="11" t="s">
        <v>223</v>
      </c>
      <c r="B679" s="11" t="s">
        <v>1408</v>
      </c>
      <c r="C679" s="11" t="s">
        <v>370</v>
      </c>
      <c r="D679" s="6">
        <v>50</v>
      </c>
      <c r="E679" s="11" t="s">
        <v>1410</v>
      </c>
      <c r="F679" s="11" t="s">
        <v>901</v>
      </c>
      <c r="G679" s="11" t="s">
        <v>900</v>
      </c>
      <c r="H679" s="11">
        <v>1</v>
      </c>
      <c r="I679" s="11"/>
    </row>
    <row r="680" spans="1:9" hidden="1" x14ac:dyDescent="0.2">
      <c r="A680" s="11" t="s">
        <v>1363</v>
      </c>
      <c r="B680" s="11" t="s">
        <v>1423</v>
      </c>
      <c r="C680" s="11" t="s">
        <v>852</v>
      </c>
      <c r="D680" s="6">
        <v>1</v>
      </c>
      <c r="E680" s="11" t="s">
        <v>1424</v>
      </c>
      <c r="F680" s="11" t="s">
        <v>901</v>
      </c>
      <c r="G680" s="11" t="s">
        <v>900</v>
      </c>
      <c r="H680" s="11"/>
      <c r="I680" s="11">
        <v>1</v>
      </c>
    </row>
    <row r="681" spans="1:9" hidden="1" x14ac:dyDescent="0.2">
      <c r="A681" s="11" t="s">
        <v>1363</v>
      </c>
      <c r="B681" s="11" t="s">
        <v>1423</v>
      </c>
      <c r="C681" s="11" t="s">
        <v>851</v>
      </c>
      <c r="D681" s="6">
        <v>1</v>
      </c>
      <c r="E681" s="11" t="s">
        <v>1424</v>
      </c>
      <c r="F681" s="11" t="s">
        <v>901</v>
      </c>
      <c r="G681" s="11" t="s">
        <v>900</v>
      </c>
      <c r="H681" s="11"/>
      <c r="I681" s="11">
        <v>1</v>
      </c>
    </row>
    <row r="682" spans="1:9" hidden="1" x14ac:dyDescent="0.2">
      <c r="A682" s="11" t="s">
        <v>1363</v>
      </c>
      <c r="B682" s="11" t="s">
        <v>1423</v>
      </c>
      <c r="C682" s="11" t="s">
        <v>854</v>
      </c>
      <c r="D682" s="6">
        <v>2</v>
      </c>
      <c r="E682" s="11" t="s">
        <v>1424</v>
      </c>
      <c r="F682" s="11" t="s">
        <v>901</v>
      </c>
      <c r="G682" s="11" t="s">
        <v>900</v>
      </c>
      <c r="H682" s="11"/>
      <c r="I682" s="11">
        <v>1</v>
      </c>
    </row>
    <row r="683" spans="1:9" hidden="1" x14ac:dyDescent="0.2">
      <c r="A683" s="11" t="s">
        <v>1363</v>
      </c>
      <c r="B683" s="11" t="s">
        <v>1423</v>
      </c>
      <c r="C683" s="11" t="s">
        <v>1120</v>
      </c>
      <c r="D683" s="6">
        <v>2</v>
      </c>
      <c r="E683" s="11" t="s">
        <v>1424</v>
      </c>
      <c r="F683" s="11" t="s">
        <v>901</v>
      </c>
      <c r="G683" s="11" t="s">
        <v>900</v>
      </c>
      <c r="H683" s="11"/>
      <c r="I683" s="11">
        <v>1</v>
      </c>
    </row>
    <row r="684" spans="1:9" hidden="1" x14ac:dyDescent="0.2">
      <c r="A684" s="11" t="s">
        <v>1363</v>
      </c>
      <c r="B684" s="11" t="s">
        <v>1423</v>
      </c>
      <c r="C684" s="11" t="s">
        <v>1425</v>
      </c>
      <c r="D684" s="6">
        <v>17</v>
      </c>
      <c r="E684" s="11" t="s">
        <v>1424</v>
      </c>
      <c r="F684" s="11" t="s">
        <v>901</v>
      </c>
      <c r="G684" s="11" t="s">
        <v>900</v>
      </c>
      <c r="H684" s="11"/>
      <c r="I684" s="11">
        <v>1</v>
      </c>
    </row>
    <row r="685" spans="1:9" hidden="1" x14ac:dyDescent="0.2">
      <c r="A685" s="11" t="s">
        <v>1363</v>
      </c>
      <c r="B685" s="11" t="s">
        <v>1423</v>
      </c>
      <c r="C685" s="11" t="s">
        <v>1426</v>
      </c>
      <c r="D685" s="6">
        <v>8</v>
      </c>
      <c r="E685" s="11" t="s">
        <v>1424</v>
      </c>
      <c r="F685" s="11" t="s">
        <v>901</v>
      </c>
      <c r="G685" s="11" t="s">
        <v>900</v>
      </c>
      <c r="H685" s="11"/>
      <c r="I685" s="11">
        <v>1</v>
      </c>
    </row>
    <row r="686" spans="1:9" hidden="1" x14ac:dyDescent="0.2">
      <c r="A686" s="11" t="s">
        <v>1363</v>
      </c>
      <c r="B686" s="11" t="s">
        <v>1423</v>
      </c>
      <c r="C686" s="11" t="s">
        <v>1427</v>
      </c>
      <c r="D686" s="6">
        <v>3</v>
      </c>
      <c r="E686" s="11" t="s">
        <v>1424</v>
      </c>
      <c r="F686" s="11" t="s">
        <v>901</v>
      </c>
      <c r="G686" s="11" t="s">
        <v>900</v>
      </c>
      <c r="H686" s="11"/>
      <c r="I686" s="11">
        <v>1</v>
      </c>
    </row>
    <row r="687" spans="1:9" hidden="1" x14ac:dyDescent="0.2">
      <c r="A687" s="11" t="s">
        <v>1363</v>
      </c>
      <c r="B687" s="11" t="s">
        <v>1428</v>
      </c>
      <c r="C687" s="11" t="s">
        <v>852</v>
      </c>
      <c r="D687" s="6">
        <v>3</v>
      </c>
      <c r="E687" s="11" t="s">
        <v>1429</v>
      </c>
      <c r="F687" s="11" t="s">
        <v>901</v>
      </c>
      <c r="G687" s="11" t="s">
        <v>900</v>
      </c>
      <c r="H687" s="11"/>
      <c r="I687" s="11">
        <v>1</v>
      </c>
    </row>
    <row r="688" spans="1:9" hidden="1" x14ac:dyDescent="0.2">
      <c r="A688" s="11" t="s">
        <v>1363</v>
      </c>
      <c r="B688" s="11" t="s">
        <v>1428</v>
      </c>
      <c r="C688" s="11" t="s">
        <v>851</v>
      </c>
      <c r="D688" s="6">
        <v>3</v>
      </c>
      <c r="E688" s="11" t="s">
        <v>1429</v>
      </c>
      <c r="F688" s="11" t="s">
        <v>901</v>
      </c>
      <c r="G688" s="11" t="s">
        <v>900</v>
      </c>
      <c r="H688" s="11"/>
      <c r="I688" s="11">
        <v>1</v>
      </c>
    </row>
    <row r="689" spans="1:9" hidden="1" x14ac:dyDescent="0.2">
      <c r="A689" s="11" t="s">
        <v>1363</v>
      </c>
      <c r="B689" s="11" t="s">
        <v>1428</v>
      </c>
      <c r="C689" s="11" t="s">
        <v>1120</v>
      </c>
      <c r="D689" s="6">
        <v>1</v>
      </c>
      <c r="E689" s="11" t="s">
        <v>1429</v>
      </c>
      <c r="F689" s="11" t="s">
        <v>901</v>
      </c>
      <c r="G689" s="11" t="s">
        <v>900</v>
      </c>
      <c r="H689" s="11"/>
      <c r="I689" s="11">
        <v>1</v>
      </c>
    </row>
    <row r="690" spans="1:9" hidden="1" x14ac:dyDescent="0.2">
      <c r="A690" s="11" t="s">
        <v>1363</v>
      </c>
      <c r="B690" s="11" t="s">
        <v>1428</v>
      </c>
      <c r="C690" s="11" t="s">
        <v>1425</v>
      </c>
      <c r="D690" s="6">
        <v>12</v>
      </c>
      <c r="E690" s="11" t="s">
        <v>1429</v>
      </c>
      <c r="F690" s="11" t="s">
        <v>901</v>
      </c>
      <c r="G690" s="11" t="s">
        <v>900</v>
      </c>
      <c r="H690" s="11"/>
      <c r="I690" s="11">
        <v>1</v>
      </c>
    </row>
    <row r="691" spans="1:9" hidden="1" x14ac:dyDescent="0.2">
      <c r="A691" s="11" t="s">
        <v>1363</v>
      </c>
      <c r="B691" s="11" t="s">
        <v>1428</v>
      </c>
      <c r="C691" s="11" t="s">
        <v>854</v>
      </c>
      <c r="D691" s="6">
        <v>1</v>
      </c>
      <c r="E691" s="11" t="s">
        <v>1429</v>
      </c>
      <c r="F691" s="11" t="s">
        <v>901</v>
      </c>
      <c r="G691" s="11" t="s">
        <v>900</v>
      </c>
      <c r="H691" s="11"/>
      <c r="I691" s="11">
        <v>1</v>
      </c>
    </row>
    <row r="692" spans="1:9" hidden="1" x14ac:dyDescent="0.2">
      <c r="A692" s="11" t="s">
        <v>1363</v>
      </c>
      <c r="B692" s="11" t="s">
        <v>1428</v>
      </c>
      <c r="C692" s="11" t="s">
        <v>1426</v>
      </c>
      <c r="D692" s="6">
        <v>8</v>
      </c>
      <c r="E692" s="11" t="s">
        <v>1429</v>
      </c>
      <c r="F692" s="11" t="s">
        <v>901</v>
      </c>
      <c r="G692" s="11" t="s">
        <v>900</v>
      </c>
      <c r="H692" s="11"/>
      <c r="I692" s="11">
        <v>1</v>
      </c>
    </row>
    <row r="693" spans="1:9" hidden="1" x14ac:dyDescent="0.2">
      <c r="A693" s="11" t="s">
        <v>1464</v>
      </c>
      <c r="B693" s="11" t="s">
        <v>1465</v>
      </c>
      <c r="C693" s="11" t="s">
        <v>853</v>
      </c>
      <c r="D693" s="6">
        <v>1</v>
      </c>
      <c r="E693" s="11" t="s">
        <v>1470</v>
      </c>
      <c r="F693" s="11" t="s">
        <v>901</v>
      </c>
      <c r="G693" s="11" t="s">
        <v>900</v>
      </c>
      <c r="H693" s="11"/>
      <c r="I693" s="11">
        <v>1</v>
      </c>
    </row>
    <row r="694" spans="1:9" hidden="1" x14ac:dyDescent="0.2">
      <c r="A694" s="11" t="s">
        <v>1464</v>
      </c>
      <c r="B694" s="11" t="s">
        <v>1465</v>
      </c>
      <c r="C694" s="11" t="s">
        <v>1466</v>
      </c>
      <c r="D694" s="6">
        <v>4</v>
      </c>
      <c r="E694" s="11" t="s">
        <v>1470</v>
      </c>
      <c r="F694" s="11" t="s">
        <v>901</v>
      </c>
      <c r="G694" s="11" t="s">
        <v>900</v>
      </c>
      <c r="H694" s="11"/>
      <c r="I694" s="11">
        <v>1</v>
      </c>
    </row>
    <row r="695" spans="1:9" hidden="1" x14ac:dyDescent="0.2">
      <c r="A695" s="11" t="s">
        <v>1464</v>
      </c>
      <c r="B695" s="11" t="s">
        <v>1465</v>
      </c>
      <c r="C695" s="11" t="s">
        <v>1467</v>
      </c>
      <c r="D695" s="6">
        <v>2</v>
      </c>
      <c r="E695" s="11" t="s">
        <v>1470</v>
      </c>
      <c r="F695" s="11" t="s">
        <v>901</v>
      </c>
      <c r="G695" s="11" t="s">
        <v>900</v>
      </c>
      <c r="H695" s="11"/>
      <c r="I695" s="11">
        <v>1</v>
      </c>
    </row>
    <row r="696" spans="1:9" hidden="1" x14ac:dyDescent="0.2">
      <c r="A696" s="11" t="s">
        <v>1471</v>
      </c>
      <c r="B696" s="11" t="s">
        <v>1472</v>
      </c>
      <c r="C696" s="11" t="s">
        <v>1425</v>
      </c>
      <c r="D696" s="6">
        <v>12</v>
      </c>
      <c r="E696" s="11" t="s">
        <v>1473</v>
      </c>
      <c r="F696" s="11" t="s">
        <v>901</v>
      </c>
      <c r="G696" s="11" t="s">
        <v>900</v>
      </c>
      <c r="H696" s="11"/>
      <c r="I696" s="11">
        <v>1</v>
      </c>
    </row>
    <row r="697" spans="1:9" hidden="1" x14ac:dyDescent="0.2">
      <c r="A697" s="11" t="s">
        <v>1471</v>
      </c>
      <c r="B697" s="11" t="s">
        <v>1472</v>
      </c>
      <c r="C697" s="11" t="s">
        <v>1467</v>
      </c>
      <c r="D697" s="6">
        <v>3</v>
      </c>
      <c r="E697" s="11" t="s">
        <v>1473</v>
      </c>
      <c r="F697" s="11" t="s">
        <v>901</v>
      </c>
      <c r="G697" s="11" t="s">
        <v>900</v>
      </c>
      <c r="H697" s="11"/>
      <c r="I697" s="11">
        <v>1</v>
      </c>
    </row>
    <row r="698" spans="1:9" hidden="1" x14ac:dyDescent="0.2">
      <c r="A698" s="11" t="s">
        <v>1471</v>
      </c>
      <c r="B698" s="11" t="s">
        <v>1472</v>
      </c>
      <c r="C698" s="11" t="s">
        <v>853</v>
      </c>
      <c r="D698" s="6">
        <v>3</v>
      </c>
      <c r="E698" s="11" t="s">
        <v>1473</v>
      </c>
      <c r="F698" s="11" t="s">
        <v>901</v>
      </c>
      <c r="G698" s="11" t="s">
        <v>900</v>
      </c>
      <c r="H698" s="11"/>
      <c r="I698" s="11">
        <v>1</v>
      </c>
    </row>
    <row r="699" spans="1:9" hidden="1" x14ac:dyDescent="0.2">
      <c r="A699" s="11" t="s">
        <v>1471</v>
      </c>
      <c r="B699" s="11" t="s">
        <v>1472</v>
      </c>
      <c r="C699" s="11" t="s">
        <v>1119</v>
      </c>
      <c r="D699" s="6">
        <v>17</v>
      </c>
      <c r="E699" s="11" t="s">
        <v>1473</v>
      </c>
      <c r="F699" s="11" t="s">
        <v>901</v>
      </c>
      <c r="G699" s="11" t="s">
        <v>900</v>
      </c>
      <c r="H699" s="11"/>
      <c r="I699" s="11">
        <v>1</v>
      </c>
    </row>
    <row r="700" spans="1:9" hidden="1" x14ac:dyDescent="0.2">
      <c r="A700" s="11" t="s">
        <v>1471</v>
      </c>
      <c r="B700" s="11" t="s">
        <v>1472</v>
      </c>
      <c r="C700" s="11" t="s">
        <v>1120</v>
      </c>
      <c r="D700" s="6">
        <v>17</v>
      </c>
      <c r="E700" s="11" t="s">
        <v>1473</v>
      </c>
      <c r="F700" s="11" t="s">
        <v>901</v>
      </c>
      <c r="G700" s="11" t="s">
        <v>900</v>
      </c>
      <c r="H700" s="11"/>
      <c r="I700" s="11">
        <v>1</v>
      </c>
    </row>
    <row r="701" spans="1:9" hidden="1" x14ac:dyDescent="0.2">
      <c r="A701" s="11" t="s">
        <v>624</v>
      </c>
      <c r="B701" s="11" t="s">
        <v>1474</v>
      </c>
      <c r="C701" s="11" t="s">
        <v>858</v>
      </c>
      <c r="D701" s="6">
        <v>1</v>
      </c>
      <c r="E701" s="11" t="s">
        <v>1475</v>
      </c>
      <c r="F701" s="11" t="s">
        <v>901</v>
      </c>
      <c r="G701" s="11" t="s">
        <v>900</v>
      </c>
      <c r="H701" s="11"/>
      <c r="I701" s="11">
        <v>1</v>
      </c>
    </row>
    <row r="702" spans="1:9" hidden="1" x14ac:dyDescent="0.2">
      <c r="A702" s="11" t="s">
        <v>624</v>
      </c>
      <c r="B702" s="11" t="s">
        <v>1474</v>
      </c>
      <c r="C702" s="11" t="s">
        <v>1117</v>
      </c>
      <c r="D702" s="6">
        <v>1</v>
      </c>
      <c r="E702" s="11" t="s">
        <v>1475</v>
      </c>
      <c r="F702" s="11" t="s">
        <v>901</v>
      </c>
      <c r="G702" s="11" t="s">
        <v>900</v>
      </c>
      <c r="H702" s="11"/>
      <c r="I702" s="11">
        <v>1</v>
      </c>
    </row>
    <row r="703" spans="1:9" hidden="1" x14ac:dyDescent="0.2">
      <c r="A703" s="11"/>
      <c r="B703" s="11"/>
      <c r="C703" s="11"/>
      <c r="E703" s="11"/>
      <c r="F703" s="11" t="s">
        <v>901</v>
      </c>
      <c r="G703" s="11" t="s">
        <v>900</v>
      </c>
      <c r="H703" s="11"/>
      <c r="I703" s="11"/>
    </row>
    <row r="704" spans="1:9" hidden="1" x14ac:dyDescent="0.2">
      <c r="A704" s="11" t="s">
        <v>1363</v>
      </c>
      <c r="B704" s="11" t="s">
        <v>1428</v>
      </c>
      <c r="C704" s="11" t="s">
        <v>857</v>
      </c>
      <c r="D704" s="6">
        <v>10</v>
      </c>
      <c r="E704" s="11" t="s">
        <v>1429</v>
      </c>
      <c r="F704" s="11" t="s">
        <v>901</v>
      </c>
      <c r="G704" s="11" t="s">
        <v>900</v>
      </c>
      <c r="H704" s="11"/>
      <c r="I704" s="11">
        <v>1</v>
      </c>
    </row>
    <row r="705" spans="1:9" hidden="1" x14ac:dyDescent="0.2">
      <c r="A705" s="11" t="s">
        <v>1363</v>
      </c>
      <c r="B705" s="11" t="s">
        <v>1428</v>
      </c>
      <c r="C705" s="11" t="s">
        <v>1467</v>
      </c>
      <c r="D705" s="6">
        <v>5</v>
      </c>
      <c r="E705" s="11" t="s">
        <v>1429</v>
      </c>
      <c r="F705" s="11" t="s">
        <v>901</v>
      </c>
      <c r="G705" s="11" t="s">
        <v>900</v>
      </c>
      <c r="H705" s="11"/>
      <c r="I705" s="11">
        <v>1</v>
      </c>
    </row>
    <row r="706" spans="1:9" hidden="1" x14ac:dyDescent="0.2">
      <c r="A706" s="11" t="s">
        <v>1363</v>
      </c>
      <c r="B706" s="11" t="s">
        <v>1428</v>
      </c>
      <c r="C706" s="11" t="s">
        <v>1120</v>
      </c>
      <c r="D706" s="6">
        <v>21</v>
      </c>
      <c r="E706" s="11" t="s">
        <v>1429</v>
      </c>
      <c r="F706" s="11" t="s">
        <v>901</v>
      </c>
      <c r="G706" s="11" t="s">
        <v>900</v>
      </c>
      <c r="H706" s="11"/>
      <c r="I706" s="11">
        <v>1</v>
      </c>
    </row>
    <row r="707" spans="1:9" hidden="1" x14ac:dyDescent="0.2">
      <c r="A707" s="11" t="s">
        <v>1363</v>
      </c>
      <c r="B707" s="11" t="s">
        <v>1428</v>
      </c>
      <c r="C707" s="11" t="s">
        <v>1119</v>
      </c>
      <c r="D707" s="6">
        <v>24</v>
      </c>
      <c r="E707" s="11" t="s">
        <v>1429</v>
      </c>
      <c r="F707" s="11" t="s">
        <v>901</v>
      </c>
      <c r="G707" s="11" t="s">
        <v>900</v>
      </c>
      <c r="H707" s="11"/>
      <c r="I707" s="11">
        <v>1</v>
      </c>
    </row>
    <row r="708" spans="1:9" hidden="1" x14ac:dyDescent="0.2">
      <c r="A708" s="11"/>
      <c r="B708" s="11"/>
      <c r="C708" s="11"/>
      <c r="E708" s="11"/>
      <c r="F708" s="11" t="s">
        <v>901</v>
      </c>
      <c r="G708" s="11" t="s">
        <v>900</v>
      </c>
      <c r="H708" s="11"/>
      <c r="I708" s="11"/>
    </row>
    <row r="709" spans="1:9" hidden="1" x14ac:dyDescent="0.2">
      <c r="A709" s="11" t="s">
        <v>1363</v>
      </c>
      <c r="B709" s="11" t="s">
        <v>1423</v>
      </c>
      <c r="C709" s="11" t="s">
        <v>1467</v>
      </c>
      <c r="D709" s="6">
        <v>1</v>
      </c>
      <c r="E709" s="11" t="s">
        <v>1424</v>
      </c>
      <c r="F709" s="11" t="s">
        <v>901</v>
      </c>
      <c r="G709" s="11" t="s">
        <v>900</v>
      </c>
      <c r="H709" s="11"/>
      <c r="I709" s="11">
        <v>1</v>
      </c>
    </row>
    <row r="710" spans="1:9" hidden="1" x14ac:dyDescent="0.2">
      <c r="A710" s="11" t="s">
        <v>1363</v>
      </c>
      <c r="B710" s="11" t="s">
        <v>1423</v>
      </c>
      <c r="C710" s="11" t="s">
        <v>1120</v>
      </c>
      <c r="D710" s="6">
        <v>13</v>
      </c>
      <c r="E710" s="11" t="s">
        <v>1424</v>
      </c>
      <c r="F710" s="11" t="s">
        <v>901</v>
      </c>
      <c r="G710" s="11" t="s">
        <v>900</v>
      </c>
      <c r="H710" s="11"/>
      <c r="I710" s="11">
        <v>1</v>
      </c>
    </row>
    <row r="711" spans="1:9" hidden="1" x14ac:dyDescent="0.2">
      <c r="A711" s="11" t="s">
        <v>1363</v>
      </c>
      <c r="B711" s="11" t="s">
        <v>1423</v>
      </c>
      <c r="C711" s="11" t="s">
        <v>1119</v>
      </c>
      <c r="D711" s="6">
        <v>11</v>
      </c>
      <c r="E711" s="11" t="s">
        <v>1424</v>
      </c>
      <c r="F711" s="11" t="s">
        <v>901</v>
      </c>
      <c r="G711" s="11" t="s">
        <v>900</v>
      </c>
      <c r="H711" s="11"/>
      <c r="I711" s="11">
        <v>1</v>
      </c>
    </row>
    <row r="712" spans="1:9" hidden="1" x14ac:dyDescent="0.2">
      <c r="A712" s="11" t="s">
        <v>1464</v>
      </c>
      <c r="B712" s="11" t="s">
        <v>1465</v>
      </c>
      <c r="C712" s="11" t="s">
        <v>1120</v>
      </c>
      <c r="D712" s="6">
        <v>2</v>
      </c>
      <c r="E712" s="11" t="s">
        <v>1470</v>
      </c>
      <c r="F712" s="11" t="s">
        <v>901</v>
      </c>
      <c r="G712" s="11" t="s">
        <v>900</v>
      </c>
      <c r="H712" s="11"/>
      <c r="I712" s="11">
        <v>1</v>
      </c>
    </row>
    <row r="713" spans="1:9" hidden="1" x14ac:dyDescent="0.2">
      <c r="A713" s="11" t="s">
        <v>1464</v>
      </c>
      <c r="B713" s="11" t="s">
        <v>1465</v>
      </c>
      <c r="C713" s="11" t="s">
        <v>1119</v>
      </c>
      <c r="D713" s="6">
        <v>3</v>
      </c>
      <c r="E713" s="11" t="s">
        <v>1470</v>
      </c>
      <c r="F713" s="11" t="s">
        <v>901</v>
      </c>
      <c r="G713" s="11" t="s">
        <v>900</v>
      </c>
      <c r="H713" s="11"/>
      <c r="I713" s="11">
        <v>1</v>
      </c>
    </row>
    <row r="714" spans="1:9" hidden="1" x14ac:dyDescent="0.2">
      <c r="A714" s="11" t="s">
        <v>1477</v>
      </c>
      <c r="B714" s="11" t="s">
        <v>1478</v>
      </c>
      <c r="C714" s="11" t="s">
        <v>1479</v>
      </c>
      <c r="D714" s="6">
        <v>1</v>
      </c>
      <c r="E714" s="11" t="s">
        <v>1480</v>
      </c>
      <c r="F714" s="11" t="s">
        <v>901</v>
      </c>
      <c r="G714" s="11" t="s">
        <v>900</v>
      </c>
      <c r="H714" s="11">
        <v>1</v>
      </c>
      <c r="I714" s="11">
        <v>1</v>
      </c>
    </row>
    <row r="715" spans="1:9" hidden="1" x14ac:dyDescent="0.2">
      <c r="A715" s="11" t="s">
        <v>1477</v>
      </c>
      <c r="B715" s="11" t="s">
        <v>1478</v>
      </c>
      <c r="C715" s="11" t="s">
        <v>1481</v>
      </c>
      <c r="D715" s="6">
        <v>1</v>
      </c>
      <c r="E715" s="11" t="s">
        <v>1480</v>
      </c>
      <c r="F715" s="11" t="s">
        <v>901</v>
      </c>
      <c r="G715" s="11" t="s">
        <v>900</v>
      </c>
      <c r="H715" s="11">
        <v>1</v>
      </c>
      <c r="I715" s="11"/>
    </row>
    <row r="716" spans="1:9" hidden="1" x14ac:dyDescent="0.2">
      <c r="A716" s="11" t="s">
        <v>1477</v>
      </c>
      <c r="B716" s="11" t="s">
        <v>1478</v>
      </c>
      <c r="C716" s="11" t="s">
        <v>779</v>
      </c>
      <c r="D716" s="6">
        <v>2</v>
      </c>
      <c r="E716" s="11" t="s">
        <v>1480</v>
      </c>
      <c r="F716" s="11" t="s">
        <v>901</v>
      </c>
      <c r="G716" s="11" t="s">
        <v>900</v>
      </c>
      <c r="H716" s="11">
        <v>1</v>
      </c>
      <c r="I716" s="11"/>
    </row>
    <row r="717" spans="1:9" hidden="1" x14ac:dyDescent="0.2">
      <c r="A717" s="11" t="s">
        <v>1477</v>
      </c>
      <c r="B717" s="11" t="s">
        <v>1478</v>
      </c>
      <c r="C717" s="11" t="s">
        <v>1219</v>
      </c>
      <c r="D717" s="6">
        <v>1</v>
      </c>
      <c r="E717" s="11" t="s">
        <v>1480</v>
      </c>
      <c r="F717" s="11" t="s">
        <v>901</v>
      </c>
      <c r="G717" s="11" t="s">
        <v>900</v>
      </c>
      <c r="H717" s="11">
        <v>1</v>
      </c>
      <c r="I717" s="11"/>
    </row>
    <row r="718" spans="1:9" hidden="1" x14ac:dyDescent="0.2">
      <c r="A718" s="11" t="s">
        <v>1477</v>
      </c>
      <c r="B718" s="11" t="s">
        <v>1478</v>
      </c>
      <c r="C718" s="11" t="s">
        <v>1296</v>
      </c>
      <c r="D718" s="6">
        <v>1</v>
      </c>
      <c r="E718" s="11" t="s">
        <v>1480</v>
      </c>
      <c r="F718" s="11" t="s">
        <v>901</v>
      </c>
      <c r="G718" s="11" t="s">
        <v>900</v>
      </c>
      <c r="H718" s="11">
        <v>1</v>
      </c>
      <c r="I718" s="11"/>
    </row>
    <row r="719" spans="1:9" hidden="1" x14ac:dyDescent="0.2">
      <c r="A719" s="11" t="s">
        <v>1477</v>
      </c>
      <c r="B719" s="11" t="s">
        <v>1478</v>
      </c>
      <c r="C719" s="11" t="s">
        <v>771</v>
      </c>
      <c r="D719" s="6">
        <v>1</v>
      </c>
      <c r="E719" s="11" t="s">
        <v>1480</v>
      </c>
      <c r="F719" s="11" t="s">
        <v>901</v>
      </c>
      <c r="G719" s="11" t="s">
        <v>900</v>
      </c>
      <c r="H719" s="11">
        <v>1</v>
      </c>
      <c r="I719" s="11"/>
    </row>
    <row r="720" spans="1:9" hidden="1" x14ac:dyDescent="0.2">
      <c r="A720" s="11" t="s">
        <v>1477</v>
      </c>
      <c r="B720" s="11" t="s">
        <v>1478</v>
      </c>
      <c r="C720" s="11" t="s">
        <v>698</v>
      </c>
      <c r="D720" s="6">
        <v>1</v>
      </c>
      <c r="E720" s="11" t="s">
        <v>1480</v>
      </c>
      <c r="F720" s="11" t="s">
        <v>901</v>
      </c>
      <c r="G720" s="11" t="s">
        <v>900</v>
      </c>
      <c r="H720" s="11">
        <v>1</v>
      </c>
      <c r="I720" s="11"/>
    </row>
    <row r="721" spans="1:9" hidden="1" x14ac:dyDescent="0.2">
      <c r="A721" s="11" t="s">
        <v>1477</v>
      </c>
      <c r="B721" s="11" t="s">
        <v>1478</v>
      </c>
      <c r="C721" s="11" t="s">
        <v>1482</v>
      </c>
      <c r="D721" s="6">
        <v>1</v>
      </c>
      <c r="E721" s="11" t="s">
        <v>1480</v>
      </c>
      <c r="F721" s="11" t="s">
        <v>901</v>
      </c>
      <c r="G721" s="11" t="s">
        <v>900</v>
      </c>
      <c r="H721" s="11">
        <v>1</v>
      </c>
      <c r="I721" s="11"/>
    </row>
    <row r="722" spans="1:9" hidden="1" x14ac:dyDescent="0.2">
      <c r="A722" s="11" t="s">
        <v>1477</v>
      </c>
      <c r="B722" s="11" t="s">
        <v>1478</v>
      </c>
      <c r="C722" s="11" t="s">
        <v>613</v>
      </c>
      <c r="D722" s="6">
        <v>1</v>
      </c>
      <c r="E722" s="11" t="s">
        <v>1480</v>
      </c>
      <c r="F722" s="11" t="s">
        <v>901</v>
      </c>
      <c r="G722" s="11" t="s">
        <v>900</v>
      </c>
      <c r="H722" s="11">
        <v>1</v>
      </c>
      <c r="I722" s="11"/>
    </row>
    <row r="723" spans="1:9" hidden="1" x14ac:dyDescent="0.2">
      <c r="A723" s="11" t="s">
        <v>1477</v>
      </c>
      <c r="B723" s="11" t="s">
        <v>1478</v>
      </c>
      <c r="C723" s="11" t="s">
        <v>368</v>
      </c>
      <c r="D723" s="6">
        <v>3</v>
      </c>
      <c r="E723" s="11" t="s">
        <v>1480</v>
      </c>
      <c r="F723" s="11" t="s">
        <v>901</v>
      </c>
      <c r="G723" s="11" t="s">
        <v>900</v>
      </c>
      <c r="H723" s="11">
        <v>1</v>
      </c>
      <c r="I723" s="11">
        <v>1</v>
      </c>
    </row>
    <row r="724" spans="1:9" hidden="1" x14ac:dyDescent="0.2">
      <c r="A724" s="11" t="s">
        <v>1477</v>
      </c>
      <c r="B724" s="11" t="s">
        <v>1478</v>
      </c>
      <c r="C724" s="11" t="s">
        <v>1300</v>
      </c>
      <c r="D724" s="6">
        <v>2</v>
      </c>
      <c r="E724" s="11" t="s">
        <v>1480</v>
      </c>
      <c r="F724" s="11" t="s">
        <v>901</v>
      </c>
      <c r="G724" s="11" t="s">
        <v>900</v>
      </c>
      <c r="H724" s="11">
        <v>1</v>
      </c>
      <c r="I724" s="11">
        <v>1</v>
      </c>
    </row>
    <row r="725" spans="1:9" hidden="1" x14ac:dyDescent="0.2">
      <c r="A725" s="11" t="s">
        <v>1477</v>
      </c>
      <c r="B725" s="11" t="s">
        <v>1485</v>
      </c>
      <c r="C725" s="11" t="s">
        <v>1467</v>
      </c>
      <c r="D725" s="6">
        <v>9</v>
      </c>
      <c r="E725" s="11" t="s">
        <v>1486</v>
      </c>
      <c r="F725" s="11" t="s">
        <v>901</v>
      </c>
      <c r="G725" s="11" t="s">
        <v>900</v>
      </c>
      <c r="H725" s="11">
        <v>0</v>
      </c>
      <c r="I725" s="11">
        <v>1</v>
      </c>
    </row>
    <row r="726" spans="1:9" hidden="1" x14ac:dyDescent="0.2">
      <c r="A726" s="11" t="s">
        <v>1477</v>
      </c>
      <c r="B726" s="11" t="s">
        <v>1485</v>
      </c>
      <c r="C726" s="11" t="s">
        <v>1120</v>
      </c>
      <c r="D726" s="6">
        <v>6</v>
      </c>
      <c r="E726" s="11" t="s">
        <v>1486</v>
      </c>
      <c r="F726" s="11" t="s">
        <v>901</v>
      </c>
      <c r="G726" s="11" t="s">
        <v>900</v>
      </c>
      <c r="H726" s="11">
        <v>0</v>
      </c>
      <c r="I726" s="11">
        <v>1</v>
      </c>
    </row>
    <row r="727" spans="1:9" hidden="1" x14ac:dyDescent="0.2">
      <c r="A727" s="11" t="s">
        <v>1477</v>
      </c>
      <c r="B727" s="11" t="s">
        <v>1485</v>
      </c>
      <c r="C727" s="11" t="s">
        <v>1119</v>
      </c>
      <c r="D727" s="6">
        <v>20</v>
      </c>
      <c r="E727" s="11" t="s">
        <v>1486</v>
      </c>
      <c r="F727" s="11" t="s">
        <v>901</v>
      </c>
      <c r="G727" s="11" t="s">
        <v>900</v>
      </c>
      <c r="H727" s="11">
        <v>0</v>
      </c>
      <c r="I727" s="11">
        <v>1</v>
      </c>
    </row>
    <row r="728" spans="1:9" hidden="1" x14ac:dyDescent="0.2">
      <c r="A728" s="11" t="s">
        <v>1477</v>
      </c>
      <c r="B728" s="11" t="s">
        <v>1485</v>
      </c>
      <c r="C728" s="11" t="s">
        <v>1466</v>
      </c>
      <c r="D728" s="6">
        <v>9</v>
      </c>
      <c r="E728" s="11" t="s">
        <v>1486</v>
      </c>
      <c r="F728" s="11" t="s">
        <v>901</v>
      </c>
      <c r="G728" s="11" t="s">
        <v>900</v>
      </c>
      <c r="H728" s="11">
        <v>0</v>
      </c>
      <c r="I728" s="11">
        <v>1</v>
      </c>
    </row>
    <row r="729" spans="1:9" x14ac:dyDescent="0.2">
      <c r="A729" s="11" t="s">
        <v>787</v>
      </c>
      <c r="B729" s="11" t="s">
        <v>788</v>
      </c>
      <c r="C729" s="11" t="s">
        <v>814</v>
      </c>
      <c r="D729" s="6">
        <v>1</v>
      </c>
      <c r="E729" s="11" t="s">
        <v>794</v>
      </c>
      <c r="F729" s="11" t="s">
        <v>901</v>
      </c>
      <c r="G729" s="11" t="s">
        <v>900</v>
      </c>
      <c r="H729" s="11">
        <v>1</v>
      </c>
      <c r="I729" s="11">
        <v>1</v>
      </c>
    </row>
    <row r="730" spans="1:9" x14ac:dyDescent="0.2">
      <c r="A730" s="11" t="s">
        <v>787</v>
      </c>
      <c r="B730" s="11" t="s">
        <v>788</v>
      </c>
      <c r="C730" s="11" t="s">
        <v>816</v>
      </c>
      <c r="D730" s="6">
        <v>1</v>
      </c>
      <c r="E730" s="11" t="s">
        <v>794</v>
      </c>
      <c r="F730" s="11" t="s">
        <v>901</v>
      </c>
      <c r="G730" s="11" t="s">
        <v>900</v>
      </c>
      <c r="H730" s="11">
        <v>1</v>
      </c>
      <c r="I730" s="11"/>
    </row>
    <row r="731" spans="1:9" x14ac:dyDescent="0.2">
      <c r="A731" s="11" t="s">
        <v>787</v>
      </c>
      <c r="B731" s="11" t="s">
        <v>788</v>
      </c>
      <c r="C731" s="11" t="s">
        <v>822</v>
      </c>
      <c r="D731" s="6">
        <v>1</v>
      </c>
      <c r="E731" s="11" t="s">
        <v>794</v>
      </c>
      <c r="F731" s="11" t="s">
        <v>901</v>
      </c>
      <c r="G731" s="11" t="s">
        <v>900</v>
      </c>
      <c r="H731" s="11">
        <v>1</v>
      </c>
      <c r="I731" s="11"/>
    </row>
    <row r="732" spans="1:9" x14ac:dyDescent="0.2">
      <c r="A732" s="11" t="s">
        <v>787</v>
      </c>
      <c r="B732" s="11" t="s">
        <v>788</v>
      </c>
      <c r="C732" s="11" t="s">
        <v>819</v>
      </c>
      <c r="D732" s="6">
        <v>1</v>
      </c>
      <c r="E732" s="11" t="s">
        <v>794</v>
      </c>
      <c r="F732" s="11" t="s">
        <v>901</v>
      </c>
      <c r="G732" s="11" t="s">
        <v>900</v>
      </c>
      <c r="H732" s="11">
        <v>1</v>
      </c>
      <c r="I732" s="11"/>
    </row>
    <row r="733" spans="1:9" x14ac:dyDescent="0.2">
      <c r="A733" s="11" t="s">
        <v>787</v>
      </c>
      <c r="B733" s="11" t="s">
        <v>788</v>
      </c>
      <c r="C733" s="11" t="s">
        <v>158</v>
      </c>
      <c r="D733" s="6">
        <v>1</v>
      </c>
      <c r="E733" s="11" t="s">
        <v>794</v>
      </c>
      <c r="F733" s="11" t="s">
        <v>901</v>
      </c>
      <c r="G733" s="11" t="s">
        <v>900</v>
      </c>
      <c r="H733" s="11">
        <v>1</v>
      </c>
      <c r="I733" s="11"/>
    </row>
    <row r="734" spans="1:9" x14ac:dyDescent="0.2">
      <c r="A734" s="11" t="s">
        <v>787</v>
      </c>
      <c r="B734" s="11" t="s">
        <v>788</v>
      </c>
      <c r="C734" s="11" t="s">
        <v>811</v>
      </c>
      <c r="D734" s="6">
        <v>1</v>
      </c>
      <c r="E734" s="11" t="s">
        <v>794</v>
      </c>
      <c r="F734" s="11" t="s">
        <v>901</v>
      </c>
      <c r="G734" s="11" t="s">
        <v>900</v>
      </c>
      <c r="H734" s="11">
        <v>1</v>
      </c>
      <c r="I734" s="11"/>
    </row>
    <row r="735" spans="1:9" x14ac:dyDescent="0.2">
      <c r="A735" s="11" t="s">
        <v>787</v>
      </c>
      <c r="B735" s="11" t="s">
        <v>788</v>
      </c>
      <c r="C735" s="11" t="s">
        <v>191</v>
      </c>
      <c r="D735" s="6">
        <v>8</v>
      </c>
      <c r="E735" s="11" t="s">
        <v>794</v>
      </c>
      <c r="F735" s="11" t="s">
        <v>901</v>
      </c>
      <c r="G735" s="11" t="s">
        <v>900</v>
      </c>
      <c r="H735" s="11">
        <v>1</v>
      </c>
      <c r="I735" s="11"/>
    </row>
    <row r="736" spans="1:9" x14ac:dyDescent="0.2">
      <c r="A736" s="11" t="s">
        <v>787</v>
      </c>
      <c r="B736" s="11" t="s">
        <v>788</v>
      </c>
      <c r="C736" s="11" t="s">
        <v>1219</v>
      </c>
      <c r="D736" s="6">
        <v>8</v>
      </c>
      <c r="E736" s="11" t="s">
        <v>794</v>
      </c>
      <c r="F736" s="11" t="s">
        <v>901</v>
      </c>
      <c r="G736" s="11" t="s">
        <v>900</v>
      </c>
      <c r="H736" s="11">
        <v>1</v>
      </c>
      <c r="I736" s="11"/>
    </row>
    <row r="737" spans="1:9" x14ac:dyDescent="0.2">
      <c r="A737" s="11" t="s">
        <v>787</v>
      </c>
      <c r="B737" s="11" t="s">
        <v>1488</v>
      </c>
      <c r="C737" s="11" t="s">
        <v>12</v>
      </c>
      <c r="D737" s="6">
        <v>1</v>
      </c>
      <c r="E737" s="11" t="s">
        <v>980</v>
      </c>
      <c r="F737" s="11" t="s">
        <v>901</v>
      </c>
      <c r="G737" s="11" t="s">
        <v>900</v>
      </c>
      <c r="H737" s="11">
        <v>1</v>
      </c>
      <c r="I737" s="11"/>
    </row>
    <row r="738" spans="1:9" x14ac:dyDescent="0.2">
      <c r="A738" s="11" t="s">
        <v>787</v>
      </c>
      <c r="B738" s="11" t="s">
        <v>1488</v>
      </c>
      <c r="C738" s="11" t="s">
        <v>13</v>
      </c>
      <c r="D738" s="6">
        <v>5</v>
      </c>
      <c r="E738" s="11" t="s">
        <v>980</v>
      </c>
      <c r="F738" s="11" t="s">
        <v>901</v>
      </c>
      <c r="G738" s="11" t="s">
        <v>900</v>
      </c>
      <c r="H738" s="11">
        <v>1</v>
      </c>
      <c r="I738" s="11"/>
    </row>
    <row r="739" spans="1:9" x14ac:dyDescent="0.2">
      <c r="A739" s="11" t="s">
        <v>787</v>
      </c>
      <c r="B739" s="11" t="s">
        <v>1488</v>
      </c>
      <c r="C739" s="11" t="s">
        <v>629</v>
      </c>
      <c r="D739" s="6">
        <v>1</v>
      </c>
      <c r="E739" s="11" t="s">
        <v>980</v>
      </c>
      <c r="F739" s="11" t="s">
        <v>901</v>
      </c>
      <c r="G739" s="11" t="s">
        <v>900</v>
      </c>
      <c r="H739" s="11">
        <v>1</v>
      </c>
      <c r="I739" s="11"/>
    </row>
    <row r="740" spans="1:9" x14ac:dyDescent="0.2">
      <c r="A740" s="11" t="s">
        <v>787</v>
      </c>
      <c r="B740" s="11" t="s">
        <v>1488</v>
      </c>
      <c r="C740" s="11" t="s">
        <v>18</v>
      </c>
      <c r="D740" s="6">
        <v>2</v>
      </c>
      <c r="E740" s="11" t="s">
        <v>980</v>
      </c>
      <c r="F740" s="11" t="s">
        <v>901</v>
      </c>
      <c r="G740" s="11" t="s">
        <v>900</v>
      </c>
      <c r="H740" s="11">
        <v>1</v>
      </c>
      <c r="I740" s="11"/>
    </row>
    <row r="741" spans="1:9" x14ac:dyDescent="0.2">
      <c r="A741" s="11" t="s">
        <v>787</v>
      </c>
      <c r="B741" s="11" t="s">
        <v>1488</v>
      </c>
      <c r="C741" s="11" t="s">
        <v>625</v>
      </c>
      <c r="D741" s="6">
        <v>1</v>
      </c>
      <c r="E741" s="11" t="s">
        <v>980</v>
      </c>
      <c r="F741" s="11" t="s">
        <v>901</v>
      </c>
      <c r="G741" s="11" t="s">
        <v>900</v>
      </c>
      <c r="H741" s="11">
        <v>1</v>
      </c>
      <c r="I741" s="11"/>
    </row>
    <row r="742" spans="1:9" x14ac:dyDescent="0.2">
      <c r="A742" s="11" t="s">
        <v>787</v>
      </c>
      <c r="B742" s="11" t="s">
        <v>1488</v>
      </c>
      <c r="C742" s="11" t="s">
        <v>637</v>
      </c>
      <c r="D742" s="6">
        <v>10</v>
      </c>
      <c r="E742" s="11" t="s">
        <v>980</v>
      </c>
      <c r="F742" s="11" t="s">
        <v>901</v>
      </c>
      <c r="G742" s="11" t="s">
        <v>900</v>
      </c>
      <c r="H742" s="11">
        <v>1</v>
      </c>
      <c r="I742" s="11"/>
    </row>
    <row r="743" spans="1:9" x14ac:dyDescent="0.2">
      <c r="A743" s="11" t="s">
        <v>787</v>
      </c>
      <c r="B743" s="11" t="s">
        <v>1488</v>
      </c>
      <c r="C743" s="11" t="s">
        <v>790</v>
      </c>
      <c r="D743" s="6">
        <v>1</v>
      </c>
      <c r="E743" s="11" t="s">
        <v>980</v>
      </c>
      <c r="F743" s="11" t="s">
        <v>901</v>
      </c>
      <c r="G743" s="11" t="s">
        <v>900</v>
      </c>
      <c r="H743" s="11">
        <v>1</v>
      </c>
      <c r="I743" s="11"/>
    </row>
    <row r="744" spans="1:9" x14ac:dyDescent="0.2">
      <c r="A744" s="11" t="s">
        <v>787</v>
      </c>
      <c r="B744" s="11" t="s">
        <v>1488</v>
      </c>
      <c r="C744" s="11" t="s">
        <v>822</v>
      </c>
      <c r="D744" s="6">
        <v>1</v>
      </c>
      <c r="E744" s="11" t="s">
        <v>980</v>
      </c>
      <c r="F744" s="11" t="s">
        <v>901</v>
      </c>
      <c r="G744" s="11" t="s">
        <v>900</v>
      </c>
      <c r="H744" s="11">
        <v>1</v>
      </c>
      <c r="I744" s="11"/>
    </row>
    <row r="745" spans="1:9" x14ac:dyDescent="0.2">
      <c r="A745" s="11" t="s">
        <v>787</v>
      </c>
      <c r="B745" s="11" t="s">
        <v>1488</v>
      </c>
      <c r="C745" s="11" t="s">
        <v>819</v>
      </c>
      <c r="D745" s="6">
        <v>1</v>
      </c>
      <c r="E745" s="11" t="s">
        <v>980</v>
      </c>
      <c r="F745" s="11" t="s">
        <v>901</v>
      </c>
      <c r="G745" s="11" t="s">
        <v>900</v>
      </c>
      <c r="H745" s="11">
        <v>1</v>
      </c>
      <c r="I745" s="11"/>
    </row>
    <row r="746" spans="1:9" x14ac:dyDescent="0.2">
      <c r="A746" s="11" t="s">
        <v>787</v>
      </c>
      <c r="B746" s="11" t="s">
        <v>1488</v>
      </c>
      <c r="C746" s="11" t="s">
        <v>158</v>
      </c>
      <c r="D746" s="6">
        <v>1</v>
      </c>
      <c r="E746" s="11" t="s">
        <v>980</v>
      </c>
      <c r="F746" s="11" t="s">
        <v>901</v>
      </c>
      <c r="G746" s="11" t="s">
        <v>900</v>
      </c>
      <c r="H746" s="11">
        <v>1</v>
      </c>
      <c r="I746" s="11"/>
    </row>
    <row r="747" spans="1:9" x14ac:dyDescent="0.2">
      <c r="A747" s="11" t="s">
        <v>787</v>
      </c>
      <c r="B747" s="11" t="s">
        <v>1488</v>
      </c>
      <c r="C747" s="11" t="s">
        <v>811</v>
      </c>
      <c r="D747" s="6">
        <v>1</v>
      </c>
      <c r="E747" s="11" t="s">
        <v>980</v>
      </c>
      <c r="F747" s="11" t="s">
        <v>901</v>
      </c>
      <c r="G747" s="11" t="s">
        <v>900</v>
      </c>
      <c r="H747" s="11">
        <v>1</v>
      </c>
      <c r="I747" s="11"/>
    </row>
    <row r="748" spans="1:9" x14ac:dyDescent="0.2">
      <c r="A748" s="11" t="s">
        <v>787</v>
      </c>
      <c r="B748" s="11" t="s">
        <v>1488</v>
      </c>
      <c r="C748" s="11" t="s">
        <v>191</v>
      </c>
      <c r="D748" s="6">
        <v>8</v>
      </c>
      <c r="E748" s="11" t="s">
        <v>980</v>
      </c>
      <c r="F748" s="11" t="s">
        <v>901</v>
      </c>
      <c r="G748" s="11" t="s">
        <v>900</v>
      </c>
      <c r="H748" s="11">
        <v>1</v>
      </c>
      <c r="I748" s="11"/>
    </row>
    <row r="749" spans="1:9" x14ac:dyDescent="0.2">
      <c r="A749" s="11" t="s">
        <v>787</v>
      </c>
      <c r="B749" s="11" t="s">
        <v>1488</v>
      </c>
      <c r="C749" s="11" t="s">
        <v>1219</v>
      </c>
      <c r="D749" s="6">
        <v>8</v>
      </c>
      <c r="E749" s="11" t="s">
        <v>980</v>
      </c>
      <c r="F749" s="11" t="s">
        <v>901</v>
      </c>
      <c r="G749" s="11" t="s">
        <v>900</v>
      </c>
      <c r="H749" s="11">
        <v>1</v>
      </c>
      <c r="I749" s="11"/>
    </row>
    <row r="750" spans="1:9" x14ac:dyDescent="0.2">
      <c r="A750" s="11" t="s">
        <v>787</v>
      </c>
      <c r="B750" s="11" t="s">
        <v>1488</v>
      </c>
      <c r="C750" s="11" t="s">
        <v>779</v>
      </c>
      <c r="D750" s="6">
        <v>1</v>
      </c>
      <c r="E750" s="11" t="s">
        <v>980</v>
      </c>
      <c r="F750" s="11" t="s">
        <v>901</v>
      </c>
      <c r="G750" s="11" t="s">
        <v>900</v>
      </c>
      <c r="H750" s="11">
        <v>1</v>
      </c>
      <c r="I750" s="11"/>
    </row>
    <row r="751" spans="1:9" x14ac:dyDescent="0.2">
      <c r="A751" s="11" t="s">
        <v>787</v>
      </c>
      <c r="B751" s="11" t="s">
        <v>1488</v>
      </c>
      <c r="C751" s="11" t="s">
        <v>1489</v>
      </c>
      <c r="D751" s="6">
        <v>1</v>
      </c>
      <c r="E751" s="11" t="s">
        <v>980</v>
      </c>
      <c r="F751" s="11" t="s">
        <v>901</v>
      </c>
      <c r="G751" s="11" t="s">
        <v>900</v>
      </c>
      <c r="H751" s="11">
        <v>1</v>
      </c>
      <c r="I751" s="11"/>
    </row>
    <row r="752" spans="1:9" x14ac:dyDescent="0.2">
      <c r="A752" s="11" t="s">
        <v>787</v>
      </c>
      <c r="B752" s="11" t="s">
        <v>1488</v>
      </c>
      <c r="C752" s="11" t="s">
        <v>1490</v>
      </c>
      <c r="D752" s="6">
        <v>1</v>
      </c>
      <c r="E752" s="11" t="s">
        <v>980</v>
      </c>
      <c r="F752" s="11" t="s">
        <v>901</v>
      </c>
      <c r="G752" s="11" t="s">
        <v>900</v>
      </c>
      <c r="H752" s="11">
        <v>1</v>
      </c>
      <c r="I752" s="11"/>
    </row>
    <row r="753" spans="1:9" x14ac:dyDescent="0.2">
      <c r="A753" s="11" t="s">
        <v>787</v>
      </c>
      <c r="B753" s="11" t="s">
        <v>1488</v>
      </c>
      <c r="C753" s="11" t="s">
        <v>826</v>
      </c>
      <c r="D753" s="6">
        <v>1</v>
      </c>
      <c r="E753" s="11" t="s">
        <v>980</v>
      </c>
      <c r="F753" s="11" t="s">
        <v>901</v>
      </c>
      <c r="G753" s="11" t="s">
        <v>900</v>
      </c>
      <c r="H753" s="11">
        <v>1</v>
      </c>
      <c r="I753" s="11"/>
    </row>
    <row r="754" spans="1:9" x14ac:dyDescent="0.2">
      <c r="A754" s="11" t="s">
        <v>787</v>
      </c>
      <c r="B754" s="11" t="s">
        <v>1488</v>
      </c>
      <c r="C754" s="11" t="s">
        <v>829</v>
      </c>
      <c r="D754" s="6">
        <v>1</v>
      </c>
      <c r="E754" s="11" t="s">
        <v>980</v>
      </c>
      <c r="F754" s="11" t="s">
        <v>901</v>
      </c>
      <c r="G754" s="11" t="s">
        <v>900</v>
      </c>
      <c r="H754" s="11">
        <v>1</v>
      </c>
      <c r="I754" s="11"/>
    </row>
    <row r="755" spans="1:9" x14ac:dyDescent="0.2">
      <c r="A755" s="11" t="s">
        <v>787</v>
      </c>
      <c r="B755" s="11" t="s">
        <v>1488</v>
      </c>
      <c r="C755" s="11" t="s">
        <v>1491</v>
      </c>
      <c r="D755" s="6">
        <v>1</v>
      </c>
      <c r="E755" s="11" t="s">
        <v>980</v>
      </c>
      <c r="F755" s="11" t="s">
        <v>901</v>
      </c>
      <c r="G755" s="11" t="s">
        <v>900</v>
      </c>
      <c r="H755" s="11">
        <v>1</v>
      </c>
      <c r="I755" s="11"/>
    </row>
    <row r="756" spans="1:9" x14ac:dyDescent="0.2">
      <c r="A756" s="11" t="s">
        <v>787</v>
      </c>
      <c r="B756" s="11" t="s">
        <v>1488</v>
      </c>
      <c r="C756" s="11" t="s">
        <v>877</v>
      </c>
      <c r="D756" s="6">
        <v>1</v>
      </c>
      <c r="E756" s="11" t="s">
        <v>980</v>
      </c>
      <c r="F756" s="11" t="s">
        <v>901</v>
      </c>
      <c r="G756" s="11" t="s">
        <v>900</v>
      </c>
      <c r="H756" s="11">
        <v>1</v>
      </c>
      <c r="I756" s="11"/>
    </row>
    <row r="757" spans="1:9" x14ac:dyDescent="0.2">
      <c r="A757" s="11" t="s">
        <v>787</v>
      </c>
      <c r="B757" s="11" t="s">
        <v>1500</v>
      </c>
      <c r="C757" s="11" t="s">
        <v>12</v>
      </c>
      <c r="D757" s="6">
        <v>1</v>
      </c>
      <c r="E757" s="11" t="s">
        <v>1501</v>
      </c>
      <c r="F757" s="11" t="s">
        <v>901</v>
      </c>
      <c r="G757" s="11" t="s">
        <v>900</v>
      </c>
      <c r="H757" s="11">
        <v>1</v>
      </c>
      <c r="I757" s="11"/>
    </row>
    <row r="758" spans="1:9" x14ac:dyDescent="0.2">
      <c r="A758" s="11" t="s">
        <v>787</v>
      </c>
      <c r="B758" s="11" t="s">
        <v>1500</v>
      </c>
      <c r="C758" s="11" t="s">
        <v>13</v>
      </c>
      <c r="D758" s="6">
        <v>10</v>
      </c>
      <c r="E758" s="11" t="s">
        <v>1501</v>
      </c>
      <c r="F758" s="11" t="s">
        <v>901</v>
      </c>
      <c r="G758" s="11" t="s">
        <v>900</v>
      </c>
      <c r="H758" s="11">
        <v>1</v>
      </c>
      <c r="I758" s="11"/>
    </row>
    <row r="759" spans="1:9" x14ac:dyDescent="0.2">
      <c r="A759" s="11" t="s">
        <v>787</v>
      </c>
      <c r="B759" s="11" t="s">
        <v>1500</v>
      </c>
      <c r="C759" s="11" t="s">
        <v>629</v>
      </c>
      <c r="D759" s="6">
        <v>1</v>
      </c>
      <c r="E759" s="11" t="s">
        <v>1501</v>
      </c>
      <c r="F759" s="11" t="s">
        <v>901</v>
      </c>
      <c r="G759" s="11" t="s">
        <v>900</v>
      </c>
      <c r="H759" s="11">
        <v>1</v>
      </c>
      <c r="I759" s="11"/>
    </row>
    <row r="760" spans="1:9" x14ac:dyDescent="0.2">
      <c r="A760" s="11" t="s">
        <v>787</v>
      </c>
      <c r="B760" s="11" t="s">
        <v>1500</v>
      </c>
      <c r="C760" s="11" t="s">
        <v>18</v>
      </c>
      <c r="D760" s="6">
        <v>4</v>
      </c>
      <c r="E760" s="11" t="s">
        <v>1501</v>
      </c>
      <c r="F760" s="11" t="s">
        <v>901</v>
      </c>
      <c r="G760" s="11" t="s">
        <v>900</v>
      </c>
      <c r="H760" s="11">
        <v>1</v>
      </c>
      <c r="I760" s="11"/>
    </row>
    <row r="761" spans="1:9" x14ac:dyDescent="0.2">
      <c r="A761" s="11" t="s">
        <v>787</v>
      </c>
      <c r="B761" s="11" t="s">
        <v>1500</v>
      </c>
      <c r="C761" s="11" t="s">
        <v>625</v>
      </c>
      <c r="D761" s="6">
        <v>1</v>
      </c>
      <c r="E761" s="11" t="s">
        <v>1501</v>
      </c>
      <c r="F761" s="11" t="s">
        <v>901</v>
      </c>
      <c r="G761" s="11" t="s">
        <v>900</v>
      </c>
      <c r="H761" s="11">
        <v>1</v>
      </c>
      <c r="I761" s="11"/>
    </row>
    <row r="762" spans="1:9" x14ac:dyDescent="0.2">
      <c r="A762" s="11" t="s">
        <v>787</v>
      </c>
      <c r="B762" s="11" t="s">
        <v>1500</v>
      </c>
      <c r="C762" s="11" t="s">
        <v>637</v>
      </c>
      <c r="D762" s="6">
        <v>20</v>
      </c>
      <c r="E762" s="11" t="s">
        <v>1501</v>
      </c>
      <c r="F762" s="11" t="s">
        <v>901</v>
      </c>
      <c r="G762" s="11" t="s">
        <v>900</v>
      </c>
      <c r="H762" s="11">
        <v>1</v>
      </c>
      <c r="I762" s="11"/>
    </row>
    <row r="763" spans="1:9" x14ac:dyDescent="0.2">
      <c r="A763" s="11" t="s">
        <v>787</v>
      </c>
      <c r="B763" s="11" t="s">
        <v>1500</v>
      </c>
      <c r="C763" s="11" t="s">
        <v>790</v>
      </c>
      <c r="D763" s="6">
        <v>1</v>
      </c>
      <c r="E763" s="11" t="s">
        <v>1501</v>
      </c>
      <c r="F763" s="11" t="s">
        <v>901</v>
      </c>
      <c r="G763" s="11" t="s">
        <v>900</v>
      </c>
      <c r="H763" s="11">
        <v>1</v>
      </c>
      <c r="I763" s="11"/>
    </row>
    <row r="764" spans="1:9" x14ac:dyDescent="0.2">
      <c r="A764" s="11" t="s">
        <v>787</v>
      </c>
      <c r="B764" s="11" t="s">
        <v>1500</v>
      </c>
      <c r="C764" s="11" t="s">
        <v>822</v>
      </c>
      <c r="D764" s="6">
        <v>1</v>
      </c>
      <c r="E764" s="11" t="s">
        <v>1501</v>
      </c>
      <c r="F764" s="11" t="s">
        <v>901</v>
      </c>
      <c r="G764" s="11" t="s">
        <v>900</v>
      </c>
      <c r="H764" s="11">
        <v>1</v>
      </c>
      <c r="I764" s="11"/>
    </row>
    <row r="765" spans="1:9" x14ac:dyDescent="0.2">
      <c r="A765" s="11" t="s">
        <v>787</v>
      </c>
      <c r="B765" s="11" t="s">
        <v>1500</v>
      </c>
      <c r="C765" s="11" t="s">
        <v>819</v>
      </c>
      <c r="D765" s="6">
        <v>1</v>
      </c>
      <c r="E765" s="11" t="s">
        <v>1501</v>
      </c>
      <c r="F765" s="11" t="s">
        <v>901</v>
      </c>
      <c r="G765" s="11" t="s">
        <v>900</v>
      </c>
      <c r="H765" s="11">
        <v>1</v>
      </c>
      <c r="I765" s="11"/>
    </row>
    <row r="766" spans="1:9" x14ac:dyDescent="0.2">
      <c r="A766" s="11" t="s">
        <v>787</v>
      </c>
      <c r="B766" s="11" t="s">
        <v>1500</v>
      </c>
      <c r="C766" s="11" t="s">
        <v>158</v>
      </c>
      <c r="D766" s="6">
        <v>1</v>
      </c>
      <c r="E766" s="11" t="s">
        <v>1501</v>
      </c>
      <c r="F766" s="11" t="s">
        <v>901</v>
      </c>
      <c r="G766" s="11" t="s">
        <v>900</v>
      </c>
      <c r="H766" s="11">
        <v>1</v>
      </c>
      <c r="I766" s="11"/>
    </row>
    <row r="767" spans="1:9" x14ac:dyDescent="0.2">
      <c r="A767" s="11" t="s">
        <v>787</v>
      </c>
      <c r="B767" s="11" t="s">
        <v>1500</v>
      </c>
      <c r="C767" s="11" t="s">
        <v>811</v>
      </c>
      <c r="D767" s="6">
        <v>1</v>
      </c>
      <c r="E767" s="11" t="s">
        <v>1501</v>
      </c>
      <c r="F767" s="11" t="s">
        <v>901</v>
      </c>
      <c r="G767" s="11" t="s">
        <v>900</v>
      </c>
      <c r="H767" s="11">
        <v>1</v>
      </c>
      <c r="I767" s="11"/>
    </row>
    <row r="768" spans="1:9" x14ac:dyDescent="0.2">
      <c r="A768" s="11" t="s">
        <v>787</v>
      </c>
      <c r="B768" s="11" t="s">
        <v>1500</v>
      </c>
      <c r="C768" s="11" t="s">
        <v>191</v>
      </c>
      <c r="D768" s="6">
        <v>8</v>
      </c>
      <c r="E768" s="11" t="s">
        <v>1501</v>
      </c>
      <c r="F768" s="11" t="s">
        <v>901</v>
      </c>
      <c r="G768" s="11" t="s">
        <v>900</v>
      </c>
      <c r="H768" s="11">
        <v>1</v>
      </c>
      <c r="I768" s="11"/>
    </row>
    <row r="769" spans="1:9" x14ac:dyDescent="0.2">
      <c r="A769" s="11" t="s">
        <v>787</v>
      </c>
      <c r="B769" s="11" t="s">
        <v>1500</v>
      </c>
      <c r="C769" s="11" t="s">
        <v>1219</v>
      </c>
      <c r="D769" s="6">
        <v>8</v>
      </c>
      <c r="E769" s="11" t="s">
        <v>1501</v>
      </c>
      <c r="F769" s="11" t="s">
        <v>901</v>
      </c>
      <c r="G769" s="11" t="s">
        <v>900</v>
      </c>
      <c r="H769" s="11">
        <v>1</v>
      </c>
      <c r="I769" s="11"/>
    </row>
    <row r="770" spans="1:9" x14ac:dyDescent="0.2">
      <c r="A770" s="11" t="s">
        <v>787</v>
      </c>
      <c r="B770" s="11" t="s">
        <v>1500</v>
      </c>
      <c r="C770" s="11" t="s">
        <v>779</v>
      </c>
      <c r="D770" s="6">
        <v>1</v>
      </c>
      <c r="E770" s="11" t="s">
        <v>1501</v>
      </c>
      <c r="F770" s="11" t="s">
        <v>901</v>
      </c>
      <c r="G770" s="11" t="s">
        <v>900</v>
      </c>
      <c r="H770" s="11">
        <v>1</v>
      </c>
      <c r="I770" s="11"/>
    </row>
    <row r="771" spans="1:9" x14ac:dyDescent="0.2">
      <c r="A771" s="11" t="s">
        <v>787</v>
      </c>
      <c r="B771" s="11" t="s">
        <v>1500</v>
      </c>
      <c r="C771" s="11" t="s">
        <v>1493</v>
      </c>
      <c r="D771" s="6">
        <v>1</v>
      </c>
      <c r="E771" s="11" t="s">
        <v>1501</v>
      </c>
      <c r="F771" s="11" t="s">
        <v>901</v>
      </c>
      <c r="G771" s="11" t="s">
        <v>900</v>
      </c>
      <c r="H771" s="11">
        <v>1</v>
      </c>
      <c r="I771" s="11"/>
    </row>
    <row r="772" spans="1:9" x14ac:dyDescent="0.2">
      <c r="A772" s="11" t="s">
        <v>787</v>
      </c>
      <c r="B772" s="11" t="s">
        <v>1500</v>
      </c>
      <c r="C772" s="11" t="s">
        <v>1496</v>
      </c>
      <c r="D772" s="6">
        <v>1</v>
      </c>
      <c r="E772" s="11" t="s">
        <v>1501</v>
      </c>
      <c r="F772" s="11" t="s">
        <v>901</v>
      </c>
      <c r="G772" s="11" t="s">
        <v>900</v>
      </c>
      <c r="H772" s="11">
        <v>1</v>
      </c>
      <c r="I772" s="11"/>
    </row>
    <row r="773" spans="1:9" x14ac:dyDescent="0.2">
      <c r="A773" s="11" t="s">
        <v>787</v>
      </c>
      <c r="B773" s="11" t="s">
        <v>1500</v>
      </c>
      <c r="C773" s="11" t="s">
        <v>826</v>
      </c>
      <c r="D773" s="6">
        <v>2</v>
      </c>
      <c r="E773" s="11" t="s">
        <v>1501</v>
      </c>
      <c r="F773" s="11" t="s">
        <v>901</v>
      </c>
      <c r="G773" s="11" t="s">
        <v>900</v>
      </c>
      <c r="H773" s="11">
        <v>1</v>
      </c>
      <c r="I773" s="11"/>
    </row>
    <row r="774" spans="1:9" x14ac:dyDescent="0.2">
      <c r="A774" s="11" t="s">
        <v>787</v>
      </c>
      <c r="B774" s="11" t="s">
        <v>1500</v>
      </c>
      <c r="C774" s="11" t="s">
        <v>829</v>
      </c>
      <c r="D774" s="6">
        <v>2</v>
      </c>
      <c r="E774" s="11" t="s">
        <v>1501</v>
      </c>
      <c r="F774" s="11" t="s">
        <v>901</v>
      </c>
      <c r="G774" s="11" t="s">
        <v>900</v>
      </c>
      <c r="H774" s="11">
        <v>1</v>
      </c>
      <c r="I774" s="11"/>
    </row>
    <row r="775" spans="1:9" x14ac:dyDescent="0.2">
      <c r="A775" s="11" t="s">
        <v>787</v>
      </c>
      <c r="B775" s="11" t="s">
        <v>1500</v>
      </c>
      <c r="C775" s="11" t="s">
        <v>1491</v>
      </c>
      <c r="D775" s="6">
        <v>2</v>
      </c>
      <c r="E775" s="11" t="s">
        <v>1501</v>
      </c>
      <c r="F775" s="11" t="s">
        <v>901</v>
      </c>
      <c r="G775" s="11" t="s">
        <v>900</v>
      </c>
      <c r="H775" s="11">
        <v>1</v>
      </c>
      <c r="I775" s="11"/>
    </row>
    <row r="776" spans="1:9" x14ac:dyDescent="0.2">
      <c r="A776" s="11" t="s">
        <v>787</v>
      </c>
      <c r="B776" s="11" t="s">
        <v>1500</v>
      </c>
      <c r="C776" s="11" t="s">
        <v>877</v>
      </c>
      <c r="D776" s="6">
        <v>1</v>
      </c>
      <c r="E776" s="11" t="s">
        <v>1501</v>
      </c>
      <c r="F776" s="11" t="s">
        <v>901</v>
      </c>
      <c r="G776" s="11" t="s">
        <v>900</v>
      </c>
      <c r="H776" s="11">
        <v>1</v>
      </c>
      <c r="I776" s="11"/>
    </row>
    <row r="777" spans="1:9" x14ac:dyDescent="0.2">
      <c r="A777" s="11" t="s">
        <v>787</v>
      </c>
      <c r="B777" s="11" t="s">
        <v>1500</v>
      </c>
      <c r="C777" s="11" t="s">
        <v>1502</v>
      </c>
      <c r="D777" s="6">
        <v>5</v>
      </c>
      <c r="E777" s="11" t="s">
        <v>1501</v>
      </c>
      <c r="F777" s="11" t="s">
        <v>901</v>
      </c>
      <c r="G777" s="11" t="s">
        <v>900</v>
      </c>
      <c r="H777" s="11">
        <v>1</v>
      </c>
      <c r="I777" s="11"/>
    </row>
    <row r="778" spans="1:9" x14ac:dyDescent="0.2">
      <c r="A778" s="11" t="s">
        <v>787</v>
      </c>
      <c r="B778" s="11" t="s">
        <v>1500</v>
      </c>
      <c r="C778" s="11" t="s">
        <v>1503</v>
      </c>
      <c r="D778" s="6">
        <v>5</v>
      </c>
      <c r="E778" s="11" t="s">
        <v>1501</v>
      </c>
      <c r="F778" s="11" t="s">
        <v>901</v>
      </c>
      <c r="G778" s="11" t="s">
        <v>900</v>
      </c>
      <c r="H778" s="11">
        <v>1</v>
      </c>
      <c r="I778" s="11"/>
    </row>
    <row r="779" spans="1:9" x14ac:dyDescent="0.2">
      <c r="A779" s="11" t="s">
        <v>787</v>
      </c>
      <c r="B779" s="11" t="s">
        <v>1500</v>
      </c>
      <c r="C779" s="11" t="s">
        <v>1504</v>
      </c>
      <c r="D779" s="6">
        <v>2</v>
      </c>
      <c r="E779" s="11" t="s">
        <v>1501</v>
      </c>
      <c r="F779" s="11" t="s">
        <v>901</v>
      </c>
      <c r="G779" s="11" t="s">
        <v>900</v>
      </c>
      <c r="H779" s="11">
        <v>1</v>
      </c>
      <c r="I779" s="11"/>
    </row>
    <row r="780" spans="1:9" x14ac:dyDescent="0.2">
      <c r="A780" s="11" t="s">
        <v>787</v>
      </c>
      <c r="B780" s="11" t="s">
        <v>1500</v>
      </c>
      <c r="C780" s="11" t="s">
        <v>1505</v>
      </c>
      <c r="D780" s="6">
        <v>21</v>
      </c>
      <c r="E780" s="11" t="s">
        <v>1501</v>
      </c>
      <c r="F780" s="11" t="s">
        <v>901</v>
      </c>
      <c r="G780" s="11" t="s">
        <v>900</v>
      </c>
      <c r="H780" s="11">
        <v>1</v>
      </c>
      <c r="I780" s="11"/>
    </row>
    <row r="781" spans="1:9" x14ac:dyDescent="0.2">
      <c r="A781" s="11" t="s">
        <v>787</v>
      </c>
      <c r="B781" s="11" t="s">
        <v>1500</v>
      </c>
      <c r="C781" s="11" t="s">
        <v>1506</v>
      </c>
      <c r="D781" s="6">
        <v>20</v>
      </c>
      <c r="E781" s="11" t="s">
        <v>1501</v>
      </c>
      <c r="F781" s="11" t="s">
        <v>901</v>
      </c>
      <c r="G781" s="11" t="s">
        <v>900</v>
      </c>
      <c r="H781" s="11">
        <v>1</v>
      </c>
      <c r="I781" s="11"/>
    </row>
    <row r="782" spans="1:9" x14ac:dyDescent="0.2">
      <c r="A782" s="11" t="s">
        <v>787</v>
      </c>
      <c r="B782" s="11" t="s">
        <v>1500</v>
      </c>
      <c r="C782" s="11" t="s">
        <v>1507</v>
      </c>
      <c r="D782" s="6">
        <v>1</v>
      </c>
      <c r="E782" s="11" t="s">
        <v>1501</v>
      </c>
      <c r="F782" s="11" t="s">
        <v>901</v>
      </c>
      <c r="G782" s="11" t="s">
        <v>900</v>
      </c>
      <c r="H782" s="11">
        <v>1</v>
      </c>
      <c r="I782" s="11"/>
    </row>
    <row r="783" spans="1:9" x14ac:dyDescent="0.2">
      <c r="A783" s="11" t="s">
        <v>787</v>
      </c>
      <c r="B783" s="11" t="s">
        <v>1500</v>
      </c>
      <c r="C783" s="11" t="s">
        <v>792</v>
      </c>
      <c r="D783" s="6">
        <v>1</v>
      </c>
      <c r="E783" s="11" t="s">
        <v>1501</v>
      </c>
      <c r="F783" s="11" t="s">
        <v>901</v>
      </c>
      <c r="G783" s="11" t="s">
        <v>900</v>
      </c>
      <c r="H783" s="11">
        <v>1</v>
      </c>
      <c r="I783" s="11"/>
    </row>
    <row r="784" spans="1:9" x14ac:dyDescent="0.2">
      <c r="A784" s="11" t="s">
        <v>787</v>
      </c>
      <c r="B784" s="11" t="s">
        <v>1500</v>
      </c>
      <c r="C784" s="11" t="s">
        <v>737</v>
      </c>
      <c r="D784" s="6">
        <v>1</v>
      </c>
      <c r="E784" s="11" t="s">
        <v>1501</v>
      </c>
      <c r="F784" s="11" t="s">
        <v>901</v>
      </c>
      <c r="G784" s="11" t="s">
        <v>900</v>
      </c>
      <c r="H784" s="11">
        <v>1</v>
      </c>
      <c r="I784" s="11"/>
    </row>
    <row r="785" spans="1:9" x14ac:dyDescent="0.2">
      <c r="A785" s="11" t="s">
        <v>787</v>
      </c>
      <c r="B785" s="11" t="s">
        <v>1500</v>
      </c>
      <c r="C785" s="11" t="s">
        <v>1517</v>
      </c>
      <c r="D785" s="6">
        <v>1</v>
      </c>
      <c r="E785" s="11" t="s">
        <v>1501</v>
      </c>
      <c r="F785" s="11" t="s">
        <v>901</v>
      </c>
      <c r="G785" s="11" t="s">
        <v>900</v>
      </c>
      <c r="H785" s="11">
        <v>1</v>
      </c>
      <c r="I785" s="11"/>
    </row>
    <row r="786" spans="1:9" x14ac:dyDescent="0.2">
      <c r="A786" s="11" t="s">
        <v>787</v>
      </c>
      <c r="B786" s="11" t="s">
        <v>1500</v>
      </c>
      <c r="C786" s="11" t="s">
        <v>1518</v>
      </c>
      <c r="D786" s="6">
        <v>1</v>
      </c>
      <c r="E786" s="11" t="s">
        <v>1501</v>
      </c>
      <c r="F786" s="11" t="s">
        <v>901</v>
      </c>
      <c r="G786" s="11" t="s">
        <v>900</v>
      </c>
      <c r="H786" s="11">
        <v>1</v>
      </c>
      <c r="I786" s="11"/>
    </row>
    <row r="787" spans="1:9" x14ac:dyDescent="0.2">
      <c r="A787" s="11" t="s">
        <v>787</v>
      </c>
      <c r="B787" s="11" t="s">
        <v>1488</v>
      </c>
      <c r="C787" s="11" t="s">
        <v>1503</v>
      </c>
      <c r="D787" s="6">
        <v>10</v>
      </c>
      <c r="E787" s="11" t="s">
        <v>980</v>
      </c>
      <c r="F787" s="11" t="s">
        <v>901</v>
      </c>
      <c r="G787" s="11" t="s">
        <v>900</v>
      </c>
      <c r="H787" s="11">
        <v>1</v>
      </c>
      <c r="I787" s="11"/>
    </row>
    <row r="788" spans="1:9" x14ac:dyDescent="0.2">
      <c r="A788" s="11" t="s">
        <v>787</v>
      </c>
      <c r="B788" s="11" t="s">
        <v>1488</v>
      </c>
      <c r="C788" s="11" t="s">
        <v>1504</v>
      </c>
      <c r="D788" s="6">
        <v>5</v>
      </c>
      <c r="E788" s="11" t="s">
        <v>980</v>
      </c>
      <c r="F788" s="11" t="s">
        <v>901</v>
      </c>
      <c r="G788" s="11" t="s">
        <v>900</v>
      </c>
      <c r="H788" s="11">
        <v>1</v>
      </c>
      <c r="I788" s="11"/>
    </row>
    <row r="789" spans="1:9" x14ac:dyDescent="0.2">
      <c r="A789" s="11" t="s">
        <v>787</v>
      </c>
      <c r="B789" s="11" t="s">
        <v>1488</v>
      </c>
      <c r="C789" s="11" t="s">
        <v>1505</v>
      </c>
      <c r="D789" s="6">
        <v>5</v>
      </c>
      <c r="E789" s="11" t="s">
        <v>980</v>
      </c>
      <c r="F789" s="11" t="s">
        <v>901</v>
      </c>
      <c r="G789" s="11" t="s">
        <v>900</v>
      </c>
      <c r="H789" s="11">
        <v>1</v>
      </c>
      <c r="I789" s="11"/>
    </row>
    <row r="790" spans="1:9" x14ac:dyDescent="0.2">
      <c r="A790" s="11" t="s">
        <v>787</v>
      </c>
      <c r="B790" s="11" t="s">
        <v>1488</v>
      </c>
      <c r="C790" s="11" t="s">
        <v>1506</v>
      </c>
      <c r="D790" s="6">
        <v>5</v>
      </c>
      <c r="E790" s="11" t="s">
        <v>980</v>
      </c>
      <c r="F790" s="11" t="s">
        <v>901</v>
      </c>
      <c r="G790" s="11" t="s">
        <v>900</v>
      </c>
      <c r="H790" s="11">
        <v>1</v>
      </c>
      <c r="I790" s="11"/>
    </row>
    <row r="791" spans="1:9" x14ac:dyDescent="0.2">
      <c r="A791" s="11" t="s">
        <v>787</v>
      </c>
      <c r="B791" s="11" t="s">
        <v>1488</v>
      </c>
      <c r="C791" s="11" t="s">
        <v>1507</v>
      </c>
      <c r="D791" s="6">
        <v>1</v>
      </c>
      <c r="E791" s="11" t="s">
        <v>980</v>
      </c>
      <c r="F791" s="11" t="s">
        <v>901</v>
      </c>
      <c r="G791" s="11" t="s">
        <v>900</v>
      </c>
      <c r="H791" s="11">
        <v>1</v>
      </c>
      <c r="I791" s="11"/>
    </row>
    <row r="792" spans="1:9" x14ac:dyDescent="0.2">
      <c r="A792" s="11" t="s">
        <v>787</v>
      </c>
      <c r="B792" s="11" t="s">
        <v>1488</v>
      </c>
      <c r="C792" s="11" t="s">
        <v>792</v>
      </c>
      <c r="D792" s="6">
        <v>1</v>
      </c>
      <c r="E792" s="11" t="s">
        <v>980</v>
      </c>
      <c r="F792" s="11" t="s">
        <v>901</v>
      </c>
      <c r="G792" s="11" t="s">
        <v>900</v>
      </c>
      <c r="H792" s="11">
        <v>1</v>
      </c>
      <c r="I792" s="11"/>
    </row>
    <row r="793" spans="1:9" x14ac:dyDescent="0.2">
      <c r="A793" s="11" t="s">
        <v>787</v>
      </c>
      <c r="B793" s="11" t="s">
        <v>1488</v>
      </c>
      <c r="C793" s="11" t="s">
        <v>737</v>
      </c>
      <c r="D793" s="6">
        <v>1</v>
      </c>
      <c r="E793" s="11" t="s">
        <v>980</v>
      </c>
      <c r="F793" s="11" t="s">
        <v>901</v>
      </c>
      <c r="G793" s="11" t="s">
        <v>900</v>
      </c>
      <c r="H793" s="11">
        <v>1</v>
      </c>
      <c r="I793" s="11"/>
    </row>
    <row r="794" spans="1:9" x14ac:dyDescent="0.2">
      <c r="A794" s="11" t="s">
        <v>787</v>
      </c>
      <c r="B794" s="11" t="s">
        <v>1488</v>
      </c>
      <c r="C794" s="11" t="s">
        <v>1517</v>
      </c>
      <c r="D794" s="6">
        <v>1</v>
      </c>
      <c r="E794" s="11" t="s">
        <v>980</v>
      </c>
      <c r="F794" s="11" t="s">
        <v>901</v>
      </c>
      <c r="G794" s="11" t="s">
        <v>900</v>
      </c>
      <c r="H794" s="11">
        <v>1</v>
      </c>
      <c r="I794" s="11"/>
    </row>
    <row r="795" spans="1:9" x14ac:dyDescent="0.2">
      <c r="A795" s="11" t="s">
        <v>787</v>
      </c>
      <c r="B795" s="11" t="s">
        <v>1488</v>
      </c>
      <c r="C795" s="11" t="s">
        <v>1518</v>
      </c>
      <c r="D795" s="6">
        <v>1</v>
      </c>
      <c r="E795" s="11" t="s">
        <v>980</v>
      </c>
      <c r="F795" s="11" t="s">
        <v>901</v>
      </c>
      <c r="G795" s="11" t="s">
        <v>900</v>
      </c>
      <c r="H795" s="11">
        <v>1</v>
      </c>
      <c r="I795" s="11"/>
    </row>
    <row r="796" spans="1:9" x14ac:dyDescent="0.2">
      <c r="A796" s="11"/>
      <c r="B796" s="11"/>
      <c r="C796" s="11"/>
      <c r="E796" s="11"/>
      <c r="F796" s="11"/>
      <c r="G796" s="11"/>
      <c r="H796" s="11"/>
      <c r="I796" s="11"/>
    </row>
  </sheetData>
  <phoneticPr fontId="14" type="noConversion"/>
  <dataValidations disablePrompts="1" count="2">
    <dataValidation type="list" allowBlank="1" showInputMessage="1" showErrorMessage="1" sqref="K190" xr:uid="{F57EF986-6107-41AC-A36E-8D205F5BD66C}">
      <formula1>$K$2:$K$17</formula1>
    </dataValidation>
    <dataValidation type="list" allowBlank="1" showInputMessage="1" showErrorMessage="1" sqref="L190" xr:uid="{2C1E6A1A-0D12-42C8-AD28-6A62160C114A}">
      <formula1>OFFSET($L$1,1,MATCH($K190,$L$1:$M$1,0)-1,COUNTA(OFFSET($L$1,1,MATCH($K190,$L$1:$BD$1,0)-1,75)),1)</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A6C35-F8F4-4919-84F0-09D12B4151AE}">
  <sheetPr codeName="Sheet8"/>
  <dimension ref="A1:AC397"/>
  <sheetViews>
    <sheetView workbookViewId="0"/>
    <sheetView workbookViewId="1"/>
  </sheetViews>
  <sheetFormatPr defaultRowHeight="15" x14ac:dyDescent="0.25"/>
  <cols>
    <col min="1" max="1" width="14.28515625" bestFit="1" customWidth="1"/>
    <col min="2" max="2" width="21.5703125" bestFit="1" customWidth="1"/>
    <col min="3" max="3" width="12.42578125" bestFit="1" customWidth="1"/>
    <col min="4" max="4" width="53" bestFit="1" customWidth="1"/>
    <col min="5" max="5" width="24.85546875" bestFit="1" customWidth="1"/>
    <col min="6" max="7" width="81.140625" bestFit="1" customWidth="1"/>
    <col min="8" max="9" width="14.5703125" bestFit="1" customWidth="1"/>
    <col min="10" max="10" width="15.85546875" bestFit="1" customWidth="1"/>
    <col min="11" max="11" width="38.7109375" bestFit="1" customWidth="1"/>
    <col min="12" max="12" width="20.7109375" bestFit="1" customWidth="1"/>
    <col min="13" max="13" width="62.140625" bestFit="1" customWidth="1"/>
    <col min="14" max="14" width="11.5703125" bestFit="1" customWidth="1"/>
    <col min="15" max="15" width="10.140625" bestFit="1" customWidth="1"/>
    <col min="16" max="16" width="19.140625" bestFit="1" customWidth="1"/>
    <col min="17" max="17" width="13.85546875" bestFit="1" customWidth="1"/>
    <col min="18" max="18" width="21.42578125" bestFit="1" customWidth="1"/>
    <col min="19" max="19" width="12" bestFit="1" customWidth="1"/>
    <col min="20" max="20" width="15.42578125" bestFit="1" customWidth="1"/>
    <col min="21" max="21" width="16.42578125" bestFit="1" customWidth="1"/>
    <col min="22" max="22" width="16.7109375" bestFit="1" customWidth="1"/>
    <col min="23" max="23" width="16.28515625" bestFit="1" customWidth="1"/>
    <col min="24" max="24" width="19.7109375" bestFit="1" customWidth="1"/>
    <col min="25" max="25" width="15.85546875" bestFit="1" customWidth="1"/>
    <col min="26" max="26" width="29.28515625" bestFit="1" customWidth="1"/>
    <col min="27" max="27" width="14.42578125" bestFit="1" customWidth="1"/>
    <col min="28" max="28" width="22.140625" bestFit="1" customWidth="1"/>
    <col min="29" max="29" width="21.5703125" bestFit="1" customWidth="1"/>
  </cols>
  <sheetData>
    <row r="1" spans="1:29" x14ac:dyDescent="0.25">
      <c r="A1" t="s">
        <v>898</v>
      </c>
      <c r="B1" t="s">
        <v>42</v>
      </c>
      <c r="C1" t="s">
        <v>184</v>
      </c>
      <c r="D1" t="s">
        <v>275</v>
      </c>
      <c r="E1" t="s">
        <v>272</v>
      </c>
      <c r="F1" t="s">
        <v>171</v>
      </c>
      <c r="G1" t="s">
        <v>273</v>
      </c>
      <c r="H1" t="s">
        <v>276</v>
      </c>
      <c r="I1" t="s">
        <v>274</v>
      </c>
      <c r="J1" t="s">
        <v>246</v>
      </c>
      <c r="K1" t="s">
        <v>277</v>
      </c>
      <c r="L1" t="s">
        <v>278</v>
      </c>
      <c r="M1" t="s">
        <v>271</v>
      </c>
      <c r="N1" t="s">
        <v>41</v>
      </c>
      <c r="O1" t="s">
        <v>45</v>
      </c>
      <c r="P1" t="s">
        <v>279</v>
      </c>
      <c r="Q1" t="s">
        <v>286</v>
      </c>
      <c r="R1" t="s">
        <v>280</v>
      </c>
      <c r="S1" t="s">
        <v>39</v>
      </c>
      <c r="T1" t="s">
        <v>281</v>
      </c>
      <c r="U1" t="s">
        <v>282</v>
      </c>
      <c r="V1" t="s">
        <v>1379</v>
      </c>
      <c r="W1" t="s">
        <v>283</v>
      </c>
      <c r="X1" t="s">
        <v>940</v>
      </c>
      <c r="Y1" t="s">
        <v>322</v>
      </c>
      <c r="Z1" t="s">
        <v>899</v>
      </c>
      <c r="AA1" t="s">
        <v>1386</v>
      </c>
      <c r="AB1" t="s">
        <v>1387</v>
      </c>
      <c r="AC1" t="s">
        <v>1388</v>
      </c>
    </row>
    <row r="2" spans="1:29" hidden="1" x14ac:dyDescent="0.25">
      <c r="A2" s="10" t="s">
        <v>117</v>
      </c>
      <c r="B2" s="10" t="s">
        <v>43</v>
      </c>
      <c r="C2" s="10" t="s">
        <v>25</v>
      </c>
      <c r="D2" s="10"/>
      <c r="E2" s="10" t="s">
        <v>285</v>
      </c>
      <c r="F2" s="10" t="s">
        <v>44</v>
      </c>
      <c r="G2" s="10" t="s">
        <v>342</v>
      </c>
      <c r="H2" s="12">
        <v>2413.21</v>
      </c>
      <c r="I2">
        <v>1</v>
      </c>
      <c r="J2" s="12">
        <v>2413.21</v>
      </c>
      <c r="K2" s="10" t="s">
        <v>284</v>
      </c>
      <c r="L2" s="2">
        <v>45832.875</v>
      </c>
      <c r="M2" s="10"/>
      <c r="N2">
        <v>0</v>
      </c>
      <c r="O2" s="10"/>
      <c r="P2">
        <v>7.2</v>
      </c>
      <c r="Q2">
        <v>10</v>
      </c>
      <c r="R2">
        <v>8</v>
      </c>
      <c r="S2">
        <v>2</v>
      </c>
      <c r="T2">
        <v>5.3</v>
      </c>
      <c r="U2">
        <v>16.7</v>
      </c>
      <c r="V2">
        <v>8.3000000000000007</v>
      </c>
      <c r="W2">
        <v>139</v>
      </c>
      <c r="X2" s="13">
        <v>28.125</v>
      </c>
      <c r="Y2" s="10" t="s">
        <v>901</v>
      </c>
      <c r="Z2" s="10" t="s">
        <v>941</v>
      </c>
      <c r="AA2" s="10">
        <v>2</v>
      </c>
      <c r="AB2" s="10">
        <v>2</v>
      </c>
      <c r="AC2" s="10"/>
    </row>
    <row r="3" spans="1:29" hidden="1" x14ac:dyDescent="0.25">
      <c r="A3" s="10" t="s">
        <v>117</v>
      </c>
      <c r="B3" s="10" t="s">
        <v>43</v>
      </c>
      <c r="C3" s="10" t="s">
        <v>942</v>
      </c>
      <c r="D3" s="10"/>
      <c r="E3" s="10" t="s">
        <v>285</v>
      </c>
      <c r="F3" s="10" t="s">
        <v>47</v>
      </c>
      <c r="G3" s="10" t="s">
        <v>343</v>
      </c>
      <c r="H3" s="12">
        <v>2723.72</v>
      </c>
      <c r="I3">
        <v>1</v>
      </c>
      <c r="J3" s="12">
        <v>2723.72</v>
      </c>
      <c r="K3" s="10" t="s">
        <v>284</v>
      </c>
      <c r="L3" s="2">
        <v>45832.875</v>
      </c>
      <c r="M3" s="10"/>
      <c r="N3">
        <v>0</v>
      </c>
      <c r="O3" s="10"/>
      <c r="P3">
        <v>9.9</v>
      </c>
      <c r="Q3">
        <v>0</v>
      </c>
      <c r="R3">
        <v>11</v>
      </c>
      <c r="S3">
        <v>2</v>
      </c>
      <c r="T3">
        <v>5.3</v>
      </c>
      <c r="U3">
        <v>16.7</v>
      </c>
      <c r="V3">
        <v>8.3000000000000007</v>
      </c>
      <c r="W3">
        <v>182</v>
      </c>
      <c r="X3" s="13">
        <v>28.125</v>
      </c>
      <c r="Y3" s="10" t="s">
        <v>901</v>
      </c>
      <c r="Z3" s="10" t="s">
        <v>941</v>
      </c>
      <c r="AA3" s="10">
        <v>2</v>
      </c>
      <c r="AB3" s="10">
        <v>2</v>
      </c>
      <c r="AC3" s="10"/>
    </row>
    <row r="4" spans="1:29" hidden="1" x14ac:dyDescent="0.25">
      <c r="A4" s="10" t="s">
        <v>117</v>
      </c>
      <c r="B4" s="10" t="s">
        <v>43</v>
      </c>
      <c r="C4" s="10" t="s">
        <v>8</v>
      </c>
      <c r="D4" s="10"/>
      <c r="E4" s="10" t="s">
        <v>285</v>
      </c>
      <c r="F4" s="10" t="s">
        <v>48</v>
      </c>
      <c r="G4" s="10" t="s">
        <v>344</v>
      </c>
      <c r="H4" s="12">
        <v>2772.53</v>
      </c>
      <c r="I4">
        <v>1</v>
      </c>
      <c r="J4" s="12">
        <v>2772.53</v>
      </c>
      <c r="K4" s="10" t="s">
        <v>284</v>
      </c>
      <c r="L4" s="2">
        <v>45832.875</v>
      </c>
      <c r="M4" s="10"/>
      <c r="N4">
        <v>0</v>
      </c>
      <c r="O4" s="10"/>
      <c r="P4">
        <v>12.6</v>
      </c>
      <c r="Q4">
        <v>20</v>
      </c>
      <c r="R4">
        <v>14</v>
      </c>
      <c r="S4">
        <v>2</v>
      </c>
      <c r="T4">
        <v>5.3</v>
      </c>
      <c r="U4">
        <v>16.7</v>
      </c>
      <c r="V4">
        <v>8.3000000000000007</v>
      </c>
      <c r="W4">
        <v>230</v>
      </c>
      <c r="X4" s="13">
        <v>28.125</v>
      </c>
      <c r="Y4" s="10" t="s">
        <v>901</v>
      </c>
      <c r="Z4" s="10" t="s">
        <v>941</v>
      </c>
      <c r="AA4" s="10">
        <v>2</v>
      </c>
      <c r="AB4" s="10">
        <v>2</v>
      </c>
      <c r="AC4" s="10"/>
    </row>
    <row r="5" spans="1:29" hidden="1" x14ac:dyDescent="0.25">
      <c r="A5" s="10" t="s">
        <v>117</v>
      </c>
      <c r="B5" s="10" t="s">
        <v>43</v>
      </c>
      <c r="C5" s="10" t="s">
        <v>10</v>
      </c>
      <c r="D5" s="10"/>
      <c r="E5" s="10" t="s">
        <v>285</v>
      </c>
      <c r="F5" s="10" t="s">
        <v>49</v>
      </c>
      <c r="G5" s="10" t="s">
        <v>461</v>
      </c>
      <c r="H5" s="12">
        <v>3211.69</v>
      </c>
      <c r="I5">
        <v>1</v>
      </c>
      <c r="J5" s="12">
        <v>3211.69</v>
      </c>
      <c r="K5" s="10" t="s">
        <v>284</v>
      </c>
      <c r="L5" s="2">
        <v>45832.875</v>
      </c>
      <c r="M5" s="10"/>
      <c r="N5">
        <v>0</v>
      </c>
      <c r="O5" s="10"/>
      <c r="P5">
        <v>19.899999999999999</v>
      </c>
      <c r="Q5">
        <v>30</v>
      </c>
      <c r="R5">
        <v>22</v>
      </c>
      <c r="S5">
        <v>2</v>
      </c>
      <c r="T5">
        <v>5.3</v>
      </c>
      <c r="U5">
        <v>16.7</v>
      </c>
      <c r="V5">
        <v>8.3000000000000007</v>
      </c>
      <c r="W5">
        <v>328</v>
      </c>
      <c r="X5" s="13">
        <v>28.125</v>
      </c>
      <c r="Y5" s="10" t="s">
        <v>901</v>
      </c>
      <c r="Z5" s="10" t="s">
        <v>941</v>
      </c>
      <c r="AA5" s="10">
        <v>2</v>
      </c>
      <c r="AB5" s="10">
        <v>2</v>
      </c>
      <c r="AC5" s="10"/>
    </row>
    <row r="6" spans="1:29" hidden="1" x14ac:dyDescent="0.25">
      <c r="A6" s="10" t="s">
        <v>117</v>
      </c>
      <c r="B6" s="10" t="s">
        <v>43</v>
      </c>
      <c r="C6" s="10" t="s">
        <v>20</v>
      </c>
      <c r="D6" s="10"/>
      <c r="E6" s="10" t="s">
        <v>285</v>
      </c>
      <c r="F6" s="10" t="s">
        <v>50</v>
      </c>
      <c r="G6" s="10" t="s">
        <v>462</v>
      </c>
      <c r="H6" s="12">
        <v>3704.11</v>
      </c>
      <c r="I6">
        <v>1</v>
      </c>
      <c r="J6" s="12">
        <v>3704.11</v>
      </c>
      <c r="K6" s="10" t="s">
        <v>284</v>
      </c>
      <c r="L6" s="2">
        <v>45832.875</v>
      </c>
      <c r="M6" s="10"/>
      <c r="N6">
        <v>0</v>
      </c>
      <c r="O6" s="10"/>
      <c r="P6">
        <v>24.4</v>
      </c>
      <c r="Q6">
        <v>35</v>
      </c>
      <c r="R6">
        <v>27</v>
      </c>
      <c r="S6">
        <v>3</v>
      </c>
      <c r="T6">
        <v>7.5</v>
      </c>
      <c r="U6">
        <v>17.899999999999999</v>
      </c>
      <c r="V6">
        <v>8.3000000000000007</v>
      </c>
      <c r="W6">
        <v>374</v>
      </c>
      <c r="X6" s="13">
        <v>28.125</v>
      </c>
      <c r="Y6" s="10" t="s">
        <v>901</v>
      </c>
      <c r="Z6" s="10" t="s">
        <v>941</v>
      </c>
      <c r="AA6" s="10">
        <v>2</v>
      </c>
      <c r="AB6" s="10">
        <v>2</v>
      </c>
      <c r="AC6" s="10"/>
    </row>
    <row r="7" spans="1:29" hidden="1" x14ac:dyDescent="0.25">
      <c r="A7" s="10" t="s">
        <v>117</v>
      </c>
      <c r="B7" s="10" t="s">
        <v>43</v>
      </c>
      <c r="C7" s="10" t="s">
        <v>24</v>
      </c>
      <c r="D7" s="10"/>
      <c r="E7" s="10" t="s">
        <v>285</v>
      </c>
      <c r="F7" s="10" t="s">
        <v>51</v>
      </c>
      <c r="G7" s="10" t="s">
        <v>463</v>
      </c>
      <c r="H7" s="12">
        <v>4444.93</v>
      </c>
      <c r="I7">
        <v>1</v>
      </c>
      <c r="J7" s="12">
        <v>4444.93</v>
      </c>
      <c r="K7" s="10" t="s">
        <v>284</v>
      </c>
      <c r="L7" s="2">
        <v>45832.875</v>
      </c>
      <c r="M7" s="10"/>
      <c r="N7">
        <v>0</v>
      </c>
      <c r="O7" s="10"/>
      <c r="P7">
        <v>30.7</v>
      </c>
      <c r="Q7">
        <v>45</v>
      </c>
      <c r="R7">
        <v>34</v>
      </c>
      <c r="S7">
        <v>3</v>
      </c>
      <c r="T7">
        <v>7.5</v>
      </c>
      <c r="U7">
        <v>17.899999999999999</v>
      </c>
      <c r="V7">
        <v>8.3000000000000007</v>
      </c>
      <c r="W7">
        <v>483</v>
      </c>
      <c r="X7" s="13">
        <v>28.125</v>
      </c>
      <c r="Y7" s="10" t="s">
        <v>901</v>
      </c>
      <c r="Z7" s="10" t="s">
        <v>941</v>
      </c>
      <c r="AA7" s="10">
        <v>2</v>
      </c>
      <c r="AB7" s="10">
        <v>2</v>
      </c>
      <c r="AC7" s="10"/>
    </row>
    <row r="8" spans="1:29" hidden="1" x14ac:dyDescent="0.25">
      <c r="A8" s="10" t="s">
        <v>117</v>
      </c>
      <c r="B8" s="10" t="s">
        <v>43</v>
      </c>
      <c r="C8" s="10" t="s">
        <v>2</v>
      </c>
      <c r="D8" s="10"/>
      <c r="E8" s="10" t="s">
        <v>285</v>
      </c>
      <c r="F8" s="10" t="s">
        <v>52</v>
      </c>
      <c r="G8" s="10" t="s">
        <v>464</v>
      </c>
      <c r="H8" s="12">
        <v>5358.75</v>
      </c>
      <c r="I8">
        <v>1</v>
      </c>
      <c r="J8" s="12">
        <v>5358.75</v>
      </c>
      <c r="K8" s="10" t="s">
        <v>284</v>
      </c>
      <c r="L8" s="2">
        <v>45832.875</v>
      </c>
      <c r="M8" s="10"/>
      <c r="N8">
        <v>0</v>
      </c>
      <c r="O8" s="10"/>
      <c r="P8">
        <v>36.1</v>
      </c>
      <c r="Q8">
        <v>50</v>
      </c>
      <c r="R8">
        <v>40</v>
      </c>
      <c r="S8">
        <v>3</v>
      </c>
      <c r="T8">
        <v>7.5</v>
      </c>
      <c r="U8">
        <v>17.899999999999999</v>
      </c>
      <c r="V8">
        <v>8.3000000000000007</v>
      </c>
      <c r="W8">
        <v>629</v>
      </c>
      <c r="X8" s="13">
        <v>28.125</v>
      </c>
      <c r="Y8" s="10" t="s">
        <v>901</v>
      </c>
      <c r="Z8" s="10" t="s">
        <v>941</v>
      </c>
      <c r="AA8" s="10">
        <v>2</v>
      </c>
      <c r="AB8" s="10">
        <v>2</v>
      </c>
      <c r="AC8" s="10"/>
    </row>
    <row r="9" spans="1:29" hidden="1" x14ac:dyDescent="0.25">
      <c r="A9" s="10" t="s">
        <v>117</v>
      </c>
      <c r="B9" s="10" t="s">
        <v>43</v>
      </c>
      <c r="C9" s="10" t="s">
        <v>21</v>
      </c>
      <c r="D9" s="10"/>
      <c r="E9" s="10" t="s">
        <v>285</v>
      </c>
      <c r="F9" s="10" t="s">
        <v>53</v>
      </c>
      <c r="G9" s="10" t="s">
        <v>465</v>
      </c>
      <c r="H9" s="12">
        <v>6272.57</v>
      </c>
      <c r="I9">
        <v>1</v>
      </c>
      <c r="J9" s="12">
        <v>6272.57</v>
      </c>
      <c r="K9" s="10" t="s">
        <v>284</v>
      </c>
      <c r="L9" s="2">
        <v>45832.875</v>
      </c>
      <c r="M9" s="10"/>
      <c r="N9">
        <v>0</v>
      </c>
      <c r="O9" s="10"/>
      <c r="P9">
        <v>47</v>
      </c>
      <c r="Q9">
        <v>70</v>
      </c>
      <c r="R9">
        <v>52</v>
      </c>
      <c r="S9">
        <v>4</v>
      </c>
      <c r="T9">
        <v>8.6999999999999993</v>
      </c>
      <c r="U9">
        <v>18.7</v>
      </c>
      <c r="V9">
        <v>8.3000000000000007</v>
      </c>
      <c r="W9">
        <v>590</v>
      </c>
      <c r="X9" s="13">
        <v>28.125</v>
      </c>
      <c r="Y9" s="10" t="s">
        <v>901</v>
      </c>
      <c r="Z9" s="10" t="s">
        <v>941</v>
      </c>
      <c r="AA9" s="10">
        <v>2</v>
      </c>
      <c r="AB9" s="10">
        <v>2</v>
      </c>
      <c r="AC9" s="10"/>
    </row>
    <row r="10" spans="1:29" hidden="1" x14ac:dyDescent="0.25">
      <c r="A10" s="10" t="s">
        <v>117</v>
      </c>
      <c r="B10" s="10" t="s">
        <v>43</v>
      </c>
      <c r="C10" s="10" t="s">
        <v>943</v>
      </c>
      <c r="D10" s="10"/>
      <c r="E10" s="10" t="s">
        <v>285</v>
      </c>
      <c r="F10" s="10" t="s">
        <v>54</v>
      </c>
      <c r="G10" s="10" t="s">
        <v>466</v>
      </c>
      <c r="H10" s="12">
        <v>7696.56</v>
      </c>
      <c r="I10">
        <v>1</v>
      </c>
      <c r="J10" s="12">
        <v>7696.56</v>
      </c>
      <c r="K10" s="10" t="s">
        <v>284</v>
      </c>
      <c r="L10" s="2">
        <v>45832.875</v>
      </c>
      <c r="M10" s="10"/>
      <c r="N10">
        <v>0</v>
      </c>
      <c r="O10" s="10"/>
      <c r="P10">
        <v>58.7</v>
      </c>
      <c r="Q10">
        <v>90</v>
      </c>
      <c r="R10">
        <v>65</v>
      </c>
      <c r="S10">
        <v>4</v>
      </c>
      <c r="T10">
        <v>8.6999999999999993</v>
      </c>
      <c r="U10">
        <v>18.7</v>
      </c>
      <c r="V10">
        <v>8.3000000000000007</v>
      </c>
      <c r="W10">
        <v>707</v>
      </c>
      <c r="X10" s="13">
        <v>28.125</v>
      </c>
      <c r="Y10" s="10" t="s">
        <v>901</v>
      </c>
      <c r="Z10" s="10" t="s">
        <v>941</v>
      </c>
      <c r="AA10" s="10">
        <v>2</v>
      </c>
      <c r="AB10" s="10">
        <v>2</v>
      </c>
      <c r="AC10" s="10"/>
    </row>
    <row r="11" spans="1:29" hidden="1" x14ac:dyDescent="0.25">
      <c r="A11" s="10" t="s">
        <v>117</v>
      </c>
      <c r="B11" s="10" t="s">
        <v>43</v>
      </c>
      <c r="C11" s="10" t="s">
        <v>944</v>
      </c>
      <c r="D11" s="10"/>
      <c r="E11" s="10" t="s">
        <v>285</v>
      </c>
      <c r="F11" s="10" t="s">
        <v>55</v>
      </c>
      <c r="G11" s="10" t="s">
        <v>467</v>
      </c>
      <c r="H11" s="12">
        <v>9076.16</v>
      </c>
      <c r="I11">
        <v>1</v>
      </c>
      <c r="J11" s="12">
        <v>9076.16</v>
      </c>
      <c r="K11" s="10" t="s">
        <v>284</v>
      </c>
      <c r="L11" s="2">
        <v>45832.875</v>
      </c>
      <c r="M11" s="10"/>
      <c r="N11">
        <v>0</v>
      </c>
      <c r="O11" s="10"/>
      <c r="P11">
        <v>69.5</v>
      </c>
      <c r="Q11">
        <v>100</v>
      </c>
      <c r="R11">
        <v>77</v>
      </c>
      <c r="S11">
        <v>5</v>
      </c>
      <c r="T11">
        <v>10.6</v>
      </c>
      <c r="U11">
        <v>21.7</v>
      </c>
      <c r="V11">
        <v>8.3000000000000007</v>
      </c>
      <c r="W11">
        <v>808</v>
      </c>
      <c r="X11" s="13">
        <v>28.125</v>
      </c>
      <c r="Y11" s="10" t="s">
        <v>901</v>
      </c>
      <c r="Z11" s="10" t="s">
        <v>941</v>
      </c>
      <c r="AA11" s="10">
        <v>2</v>
      </c>
      <c r="AB11" s="10">
        <v>3</v>
      </c>
      <c r="AC11" s="10"/>
    </row>
    <row r="12" spans="1:29" hidden="1" x14ac:dyDescent="0.25">
      <c r="A12" s="10" t="s">
        <v>117</v>
      </c>
      <c r="B12" s="10" t="s">
        <v>43</v>
      </c>
      <c r="C12" s="10" t="s">
        <v>945</v>
      </c>
      <c r="D12" s="10"/>
      <c r="E12" s="10" t="s">
        <v>285</v>
      </c>
      <c r="F12" s="10" t="s">
        <v>56</v>
      </c>
      <c r="G12" s="10" t="s">
        <v>468</v>
      </c>
      <c r="H12" s="12">
        <v>10398.120000000001</v>
      </c>
      <c r="I12">
        <v>1</v>
      </c>
      <c r="J12" s="12">
        <v>10398.120000000001</v>
      </c>
      <c r="K12" s="10" t="s">
        <v>284</v>
      </c>
      <c r="L12" s="2">
        <v>45832.875</v>
      </c>
      <c r="M12" s="10"/>
      <c r="N12">
        <v>0</v>
      </c>
      <c r="O12" s="10"/>
      <c r="P12">
        <v>86.7</v>
      </c>
      <c r="Q12">
        <v>125</v>
      </c>
      <c r="R12">
        <v>96</v>
      </c>
      <c r="S12">
        <v>5</v>
      </c>
      <c r="T12">
        <v>10.6</v>
      </c>
      <c r="U12">
        <v>21.7</v>
      </c>
      <c r="V12">
        <v>8.3000000000000007</v>
      </c>
      <c r="W12">
        <v>1048</v>
      </c>
      <c r="X12" s="13">
        <v>28.125</v>
      </c>
      <c r="Y12" s="10" t="s">
        <v>901</v>
      </c>
      <c r="Z12" s="10" t="s">
        <v>941</v>
      </c>
      <c r="AA12" s="10">
        <v>2</v>
      </c>
      <c r="AB12" s="10">
        <v>3</v>
      </c>
      <c r="AC12" s="10"/>
    </row>
    <row r="13" spans="1:29" hidden="1" x14ac:dyDescent="0.25">
      <c r="A13" s="10" t="s">
        <v>117</v>
      </c>
      <c r="B13" s="10" t="s">
        <v>43</v>
      </c>
      <c r="C13" s="10" t="s">
        <v>946</v>
      </c>
      <c r="D13" s="10"/>
      <c r="E13" s="10" t="s">
        <v>285</v>
      </c>
      <c r="F13" s="10" t="s">
        <v>57</v>
      </c>
      <c r="G13" s="10" t="s">
        <v>469</v>
      </c>
      <c r="H13" s="12">
        <v>12909.16</v>
      </c>
      <c r="I13">
        <v>1</v>
      </c>
      <c r="J13" s="12">
        <v>12909.16</v>
      </c>
      <c r="K13" s="10" t="s">
        <v>284</v>
      </c>
      <c r="L13" s="2">
        <v>45832.875</v>
      </c>
      <c r="M13" s="10"/>
      <c r="N13">
        <v>0</v>
      </c>
      <c r="O13" s="10"/>
      <c r="P13">
        <v>115.5</v>
      </c>
      <c r="Q13">
        <v>175</v>
      </c>
      <c r="R13">
        <v>125</v>
      </c>
      <c r="S13">
        <v>6</v>
      </c>
      <c r="T13">
        <v>12.13</v>
      </c>
      <c r="U13">
        <v>26.2</v>
      </c>
      <c r="V13">
        <v>13.64</v>
      </c>
      <c r="W13">
        <v>1418</v>
      </c>
      <c r="X13" s="13">
        <v>28.125</v>
      </c>
      <c r="Y13" s="10" t="s">
        <v>901</v>
      </c>
      <c r="Z13" s="10" t="s">
        <v>941</v>
      </c>
      <c r="AA13" s="10">
        <v>2</v>
      </c>
      <c r="AB13" s="10">
        <v>3</v>
      </c>
      <c r="AC13" s="10"/>
    </row>
    <row r="14" spans="1:29" hidden="1" x14ac:dyDescent="0.25">
      <c r="A14" s="10" t="s">
        <v>117</v>
      </c>
      <c r="B14" s="10" t="s">
        <v>43</v>
      </c>
      <c r="C14" s="10" t="s">
        <v>947</v>
      </c>
      <c r="D14" s="10"/>
      <c r="E14" s="10" t="s">
        <v>285</v>
      </c>
      <c r="F14" s="10" t="s">
        <v>58</v>
      </c>
      <c r="G14" s="10" t="s">
        <v>470</v>
      </c>
      <c r="H14" s="12">
        <v>14227.05</v>
      </c>
      <c r="I14">
        <v>1</v>
      </c>
      <c r="J14" s="12">
        <v>14227.05</v>
      </c>
      <c r="K14" s="10" t="s">
        <v>284</v>
      </c>
      <c r="L14" s="2">
        <v>45832.875</v>
      </c>
      <c r="M14" s="10"/>
      <c r="N14">
        <v>0</v>
      </c>
      <c r="O14" s="10"/>
      <c r="P14">
        <v>144.19999999999999</v>
      </c>
      <c r="Q14">
        <v>200</v>
      </c>
      <c r="R14">
        <v>156</v>
      </c>
      <c r="S14">
        <v>6</v>
      </c>
      <c r="T14">
        <v>12.13</v>
      </c>
      <c r="U14">
        <v>26.2</v>
      </c>
      <c r="V14">
        <v>13.64</v>
      </c>
      <c r="W14">
        <v>1603</v>
      </c>
      <c r="X14" s="13">
        <v>28.125</v>
      </c>
      <c r="Y14" s="10" t="s">
        <v>901</v>
      </c>
      <c r="Z14" s="10" t="s">
        <v>941</v>
      </c>
      <c r="AA14" s="10">
        <v>2</v>
      </c>
      <c r="AB14" s="10">
        <v>3</v>
      </c>
      <c r="AC14" s="10"/>
    </row>
    <row r="15" spans="1:29" hidden="1" x14ac:dyDescent="0.25">
      <c r="A15" s="10" t="s">
        <v>117</v>
      </c>
      <c r="B15" s="10" t="s">
        <v>43</v>
      </c>
      <c r="C15" s="10" t="s">
        <v>948</v>
      </c>
      <c r="D15" s="10"/>
      <c r="E15" s="10" t="s">
        <v>285</v>
      </c>
      <c r="F15" s="10" t="s">
        <v>59</v>
      </c>
      <c r="G15" s="10" t="s">
        <v>471</v>
      </c>
      <c r="H15" s="12">
        <v>16152.17</v>
      </c>
      <c r="I15">
        <v>1</v>
      </c>
      <c r="J15" s="12">
        <v>16152.17</v>
      </c>
      <c r="K15" s="10" t="s">
        <v>284</v>
      </c>
      <c r="L15" s="2">
        <v>45832.875</v>
      </c>
      <c r="M15" s="10"/>
      <c r="N15">
        <v>0</v>
      </c>
      <c r="O15" s="10"/>
      <c r="P15">
        <v>171.9</v>
      </c>
      <c r="Q15">
        <v>300</v>
      </c>
      <c r="R15">
        <v>186</v>
      </c>
      <c r="S15">
        <v>6</v>
      </c>
      <c r="T15">
        <v>12.13</v>
      </c>
      <c r="U15">
        <v>26.2</v>
      </c>
      <c r="V15">
        <v>13.64</v>
      </c>
      <c r="W15">
        <v>2086</v>
      </c>
      <c r="X15" s="13">
        <v>28.125</v>
      </c>
      <c r="Y15" s="10" t="s">
        <v>901</v>
      </c>
      <c r="Z15" s="10" t="s">
        <v>941</v>
      </c>
      <c r="AA15" s="10">
        <v>2</v>
      </c>
      <c r="AB15" s="10">
        <v>3</v>
      </c>
      <c r="AC15" s="10"/>
    </row>
    <row r="16" spans="1:29" hidden="1" x14ac:dyDescent="0.25">
      <c r="A16" s="10" t="s">
        <v>117</v>
      </c>
      <c r="B16" s="10" t="s">
        <v>43</v>
      </c>
      <c r="C16" s="10" t="s">
        <v>949</v>
      </c>
      <c r="D16" s="10"/>
      <c r="E16" s="10" t="s">
        <v>285</v>
      </c>
      <c r="F16" s="10" t="s">
        <v>60</v>
      </c>
      <c r="G16" s="10" t="s">
        <v>472</v>
      </c>
      <c r="H16" s="12">
        <v>20582.669999999998</v>
      </c>
      <c r="I16">
        <v>1</v>
      </c>
      <c r="J16" s="12">
        <v>20582.669999999998</v>
      </c>
      <c r="K16" s="10" t="s">
        <v>284</v>
      </c>
      <c r="L16" s="2">
        <v>45832.875</v>
      </c>
      <c r="M16" s="10"/>
      <c r="N16">
        <v>0</v>
      </c>
      <c r="O16" s="10"/>
      <c r="P16">
        <v>229.2</v>
      </c>
      <c r="Q16">
        <v>350</v>
      </c>
      <c r="R16">
        <v>248</v>
      </c>
      <c r="S16">
        <v>6</v>
      </c>
      <c r="T16">
        <v>12.13</v>
      </c>
      <c r="U16">
        <v>26.2</v>
      </c>
      <c r="V16">
        <v>13.64</v>
      </c>
      <c r="W16">
        <v>2885</v>
      </c>
      <c r="X16" s="13">
        <v>28.125</v>
      </c>
      <c r="Y16" s="10" t="s">
        <v>901</v>
      </c>
      <c r="Z16" s="10" t="s">
        <v>941</v>
      </c>
      <c r="AA16" s="10">
        <v>2</v>
      </c>
      <c r="AB16" s="10">
        <v>4</v>
      </c>
      <c r="AC16" s="10"/>
    </row>
    <row r="17" spans="1:29" hidden="1" x14ac:dyDescent="0.25">
      <c r="A17" s="10" t="s">
        <v>117</v>
      </c>
      <c r="B17" s="10" t="s">
        <v>43</v>
      </c>
      <c r="C17" s="10" t="s">
        <v>950</v>
      </c>
      <c r="D17" s="10"/>
      <c r="E17" s="10" t="s">
        <v>285</v>
      </c>
      <c r="F17" s="10" t="s">
        <v>61</v>
      </c>
      <c r="G17" s="10" t="s">
        <v>473</v>
      </c>
      <c r="H17" s="12">
        <v>25789.16</v>
      </c>
      <c r="I17">
        <v>1</v>
      </c>
      <c r="J17" s="12">
        <v>25789.16</v>
      </c>
      <c r="K17" s="10" t="s">
        <v>284</v>
      </c>
      <c r="L17" s="2">
        <v>45832.875</v>
      </c>
      <c r="M17" s="10"/>
      <c r="N17">
        <v>0</v>
      </c>
      <c r="O17" s="10"/>
      <c r="P17">
        <v>279.10000000000002</v>
      </c>
      <c r="Q17">
        <v>400</v>
      </c>
      <c r="R17">
        <v>302</v>
      </c>
      <c r="S17">
        <v>7</v>
      </c>
      <c r="T17">
        <v>16.93</v>
      </c>
      <c r="U17">
        <v>34.700000000000003</v>
      </c>
      <c r="V17">
        <v>13.76</v>
      </c>
      <c r="W17">
        <v>3205</v>
      </c>
      <c r="X17" s="13">
        <v>28.125</v>
      </c>
      <c r="Y17" s="10" t="s">
        <v>901</v>
      </c>
      <c r="Z17" s="10" t="s">
        <v>941</v>
      </c>
      <c r="AA17" s="10">
        <v>2</v>
      </c>
      <c r="AB17" s="10">
        <v>4</v>
      </c>
      <c r="AC17" s="10"/>
    </row>
    <row r="18" spans="1:29" hidden="1" x14ac:dyDescent="0.25">
      <c r="A18" s="10" t="s">
        <v>117</v>
      </c>
      <c r="B18" s="10" t="s">
        <v>43</v>
      </c>
      <c r="C18" s="10" t="s">
        <v>951</v>
      </c>
      <c r="D18" s="10"/>
      <c r="E18" s="10" t="s">
        <v>285</v>
      </c>
      <c r="F18" s="10" t="s">
        <v>62</v>
      </c>
      <c r="G18" s="10" t="s">
        <v>474</v>
      </c>
      <c r="H18" s="12">
        <v>30428.41</v>
      </c>
      <c r="I18">
        <v>1</v>
      </c>
      <c r="J18" s="12">
        <v>30428.41</v>
      </c>
      <c r="K18" s="10" t="s">
        <v>284</v>
      </c>
      <c r="L18" s="2">
        <v>45832.875</v>
      </c>
      <c r="M18" s="10"/>
      <c r="N18">
        <v>0</v>
      </c>
      <c r="O18" s="10"/>
      <c r="P18">
        <v>333.6</v>
      </c>
      <c r="Q18">
        <v>0</v>
      </c>
      <c r="R18">
        <v>361</v>
      </c>
      <c r="S18">
        <v>7</v>
      </c>
      <c r="T18">
        <v>16.93</v>
      </c>
      <c r="U18">
        <v>34.700000000000003</v>
      </c>
      <c r="V18">
        <v>13.76</v>
      </c>
      <c r="W18">
        <v>4025</v>
      </c>
      <c r="X18" s="13">
        <v>28.125</v>
      </c>
      <c r="Y18" s="10" t="s">
        <v>901</v>
      </c>
      <c r="Z18" s="10" t="s">
        <v>941</v>
      </c>
      <c r="AA18" s="10">
        <v>2</v>
      </c>
      <c r="AB18" s="10">
        <v>4</v>
      </c>
      <c r="AC18" s="10"/>
    </row>
    <row r="19" spans="1:29" hidden="1" x14ac:dyDescent="0.25">
      <c r="A19" s="10" t="s">
        <v>117</v>
      </c>
      <c r="B19" s="10" t="s">
        <v>43</v>
      </c>
      <c r="C19" s="10" t="s">
        <v>952</v>
      </c>
      <c r="D19" s="10"/>
      <c r="E19" s="10" t="s">
        <v>285</v>
      </c>
      <c r="F19" s="10" t="s">
        <v>64</v>
      </c>
      <c r="G19" s="10" t="s">
        <v>474</v>
      </c>
      <c r="H19" s="12">
        <v>29305.83</v>
      </c>
      <c r="I19">
        <v>1</v>
      </c>
      <c r="J19" s="12">
        <v>29305.83</v>
      </c>
      <c r="K19" s="10" t="s">
        <v>284</v>
      </c>
      <c r="L19" s="2">
        <v>45832.875</v>
      </c>
      <c r="M19" s="10"/>
      <c r="N19">
        <v>0</v>
      </c>
      <c r="O19" s="10"/>
      <c r="P19">
        <v>333.6</v>
      </c>
      <c r="Q19">
        <v>0</v>
      </c>
      <c r="R19">
        <v>361</v>
      </c>
      <c r="S19">
        <v>7</v>
      </c>
      <c r="T19">
        <v>16.93</v>
      </c>
      <c r="U19">
        <v>34.700000000000003</v>
      </c>
      <c r="V19">
        <v>13.76</v>
      </c>
      <c r="W19">
        <v>4025</v>
      </c>
      <c r="X19" s="13">
        <v>28.125</v>
      </c>
      <c r="Y19" s="10" t="s">
        <v>901</v>
      </c>
      <c r="Z19" s="10" t="s">
        <v>941</v>
      </c>
      <c r="AA19" s="10">
        <v>2</v>
      </c>
      <c r="AB19" s="10">
        <v>6</v>
      </c>
      <c r="AC19" s="10"/>
    </row>
    <row r="20" spans="1:29" hidden="1" x14ac:dyDescent="0.25">
      <c r="A20" s="10" t="s">
        <v>117</v>
      </c>
      <c r="B20" s="10" t="s">
        <v>43</v>
      </c>
      <c r="C20" s="10" t="s">
        <v>952</v>
      </c>
      <c r="D20" s="10"/>
      <c r="E20" s="10" t="s">
        <v>285</v>
      </c>
      <c r="F20" s="10" t="s">
        <v>63</v>
      </c>
      <c r="G20" s="10" t="s">
        <v>475</v>
      </c>
      <c r="H20" s="12">
        <v>35891.620000000003</v>
      </c>
      <c r="I20">
        <v>1</v>
      </c>
      <c r="J20" s="12">
        <v>35891.620000000003</v>
      </c>
      <c r="K20" s="10" t="s">
        <v>284</v>
      </c>
      <c r="L20" s="2">
        <v>45832.875</v>
      </c>
      <c r="M20" s="10"/>
      <c r="N20">
        <v>0</v>
      </c>
      <c r="O20" s="10"/>
      <c r="P20">
        <v>383.6</v>
      </c>
      <c r="Q20">
        <v>0</v>
      </c>
      <c r="R20">
        <v>415</v>
      </c>
      <c r="S20">
        <v>7</v>
      </c>
      <c r="T20">
        <v>16.93</v>
      </c>
      <c r="U20">
        <v>34.700000000000003</v>
      </c>
      <c r="V20">
        <v>13.76</v>
      </c>
      <c r="W20">
        <v>3925</v>
      </c>
      <c r="X20" s="13">
        <v>28.125</v>
      </c>
      <c r="Y20" s="10" t="s">
        <v>901</v>
      </c>
      <c r="Z20" s="10" t="s">
        <v>941</v>
      </c>
      <c r="AA20" s="10">
        <v>2</v>
      </c>
      <c r="AB20" s="10">
        <v>6</v>
      </c>
      <c r="AC20" s="10"/>
    </row>
    <row r="21" spans="1:29" hidden="1" x14ac:dyDescent="0.25">
      <c r="A21" s="10" t="s">
        <v>588</v>
      </c>
      <c r="B21" s="10" t="s">
        <v>953</v>
      </c>
      <c r="C21" s="10"/>
      <c r="D21" s="10" t="s">
        <v>79</v>
      </c>
      <c r="E21" s="10" t="s">
        <v>285</v>
      </c>
      <c r="F21" s="10" t="s">
        <v>78</v>
      </c>
      <c r="G21" s="10" t="s">
        <v>345</v>
      </c>
      <c r="H21" s="12">
        <v>365.82</v>
      </c>
      <c r="I21">
        <v>1</v>
      </c>
      <c r="J21" s="12">
        <v>365.82</v>
      </c>
      <c r="K21" s="10" t="s">
        <v>284</v>
      </c>
      <c r="L21" s="2">
        <v>45832.875</v>
      </c>
      <c r="M21" s="10"/>
      <c r="N21">
        <v>0</v>
      </c>
      <c r="O21" s="10"/>
      <c r="P21">
        <v>0</v>
      </c>
      <c r="Q21">
        <v>0</v>
      </c>
      <c r="R21">
        <v>0</v>
      </c>
      <c r="S21">
        <v>0</v>
      </c>
      <c r="T21">
        <v>0</v>
      </c>
      <c r="U21">
        <v>0</v>
      </c>
      <c r="V21">
        <v>0</v>
      </c>
      <c r="W21">
        <v>0</v>
      </c>
      <c r="X21" s="13">
        <v>28.125</v>
      </c>
      <c r="Y21" s="10" t="s">
        <v>901</v>
      </c>
      <c r="Z21" s="10" t="s">
        <v>941</v>
      </c>
      <c r="AA21" s="10">
        <v>2</v>
      </c>
      <c r="AB21" s="10">
        <v>0.25</v>
      </c>
      <c r="AC21" s="10"/>
    </row>
    <row r="22" spans="1:29" hidden="1" x14ac:dyDescent="0.25">
      <c r="A22" s="10" t="s">
        <v>588</v>
      </c>
      <c r="B22" s="10" t="s">
        <v>953</v>
      </c>
      <c r="C22" s="10"/>
      <c r="D22" s="10" t="s">
        <v>77</v>
      </c>
      <c r="E22" s="10" t="s">
        <v>285</v>
      </c>
      <c r="F22" s="10" t="s">
        <v>316</v>
      </c>
      <c r="G22" s="10" t="s">
        <v>346</v>
      </c>
      <c r="H22" s="12">
        <v>186.28</v>
      </c>
      <c r="I22">
        <v>1</v>
      </c>
      <c r="J22" s="12">
        <v>186.28</v>
      </c>
      <c r="K22" s="10" t="s">
        <v>284</v>
      </c>
      <c r="L22" s="2">
        <v>45832.875</v>
      </c>
      <c r="M22" s="10"/>
      <c r="N22">
        <v>0</v>
      </c>
      <c r="O22" s="10"/>
      <c r="P22">
        <v>0</v>
      </c>
      <c r="Q22">
        <v>0</v>
      </c>
      <c r="R22">
        <v>0</v>
      </c>
      <c r="S22">
        <v>0</v>
      </c>
      <c r="T22">
        <v>0</v>
      </c>
      <c r="U22">
        <v>0</v>
      </c>
      <c r="V22">
        <v>0</v>
      </c>
      <c r="W22">
        <v>0</v>
      </c>
      <c r="X22" s="13">
        <v>28.125</v>
      </c>
      <c r="Y22" s="10" t="s">
        <v>901</v>
      </c>
      <c r="Z22" s="10" t="s">
        <v>941</v>
      </c>
      <c r="AA22" s="10">
        <v>2</v>
      </c>
      <c r="AB22" s="10">
        <v>1</v>
      </c>
      <c r="AC22" s="10"/>
    </row>
    <row r="23" spans="1:29" hidden="1" x14ac:dyDescent="0.25">
      <c r="A23" s="10" t="s">
        <v>588</v>
      </c>
      <c r="B23" s="10" t="s">
        <v>953</v>
      </c>
      <c r="C23" s="10"/>
      <c r="D23" s="10" t="s">
        <v>71</v>
      </c>
      <c r="E23" s="10" t="s">
        <v>285</v>
      </c>
      <c r="F23" s="10" t="s">
        <v>70</v>
      </c>
      <c r="G23" s="10" t="s">
        <v>347</v>
      </c>
      <c r="H23" s="12">
        <v>282.32</v>
      </c>
      <c r="I23">
        <v>1</v>
      </c>
      <c r="J23" s="12">
        <v>282.32</v>
      </c>
      <c r="K23" s="10" t="s">
        <v>284</v>
      </c>
      <c r="L23" s="2">
        <v>45832.875</v>
      </c>
      <c r="M23" s="10"/>
      <c r="N23">
        <v>0</v>
      </c>
      <c r="O23" s="10"/>
      <c r="P23">
        <v>0</v>
      </c>
      <c r="Q23">
        <v>0</v>
      </c>
      <c r="R23">
        <v>0</v>
      </c>
      <c r="S23">
        <v>0</v>
      </c>
      <c r="T23">
        <v>0</v>
      </c>
      <c r="U23">
        <v>0</v>
      </c>
      <c r="V23">
        <v>0</v>
      </c>
      <c r="W23">
        <v>0</v>
      </c>
      <c r="X23" s="13">
        <v>28.125</v>
      </c>
      <c r="Y23" s="10" t="s">
        <v>901</v>
      </c>
      <c r="Z23" s="10" t="s">
        <v>941</v>
      </c>
      <c r="AA23" s="10">
        <v>2</v>
      </c>
      <c r="AB23" s="10">
        <v>1</v>
      </c>
      <c r="AC23" s="10"/>
    </row>
    <row r="24" spans="1:29" hidden="1" x14ac:dyDescent="0.25">
      <c r="A24" s="10" t="s">
        <v>287</v>
      </c>
      <c r="B24" s="10" t="s">
        <v>289</v>
      </c>
      <c r="C24" s="10" t="s">
        <v>8</v>
      </c>
      <c r="D24" s="10" t="s">
        <v>291</v>
      </c>
      <c r="E24" s="10" t="s">
        <v>290</v>
      </c>
      <c r="F24" s="10" t="s">
        <v>118</v>
      </c>
      <c r="G24" s="10" t="s">
        <v>326</v>
      </c>
      <c r="H24" s="12">
        <v>15.77</v>
      </c>
      <c r="I24">
        <v>1</v>
      </c>
      <c r="J24" s="12">
        <v>15.77</v>
      </c>
      <c r="K24" s="10" t="s">
        <v>284</v>
      </c>
      <c r="L24" s="2">
        <v>45832.875</v>
      </c>
      <c r="M24" s="10"/>
      <c r="N24">
        <v>0</v>
      </c>
      <c r="O24" s="10"/>
      <c r="P24">
        <v>0</v>
      </c>
      <c r="Q24">
        <v>0</v>
      </c>
      <c r="R24">
        <v>0</v>
      </c>
      <c r="S24">
        <v>0</v>
      </c>
      <c r="T24">
        <v>0</v>
      </c>
      <c r="U24">
        <v>0</v>
      </c>
      <c r="V24">
        <v>0</v>
      </c>
      <c r="W24">
        <v>0.8</v>
      </c>
      <c r="X24" s="13">
        <v>19.125</v>
      </c>
      <c r="Y24" s="10" t="s">
        <v>901</v>
      </c>
      <c r="Z24" s="10" t="s">
        <v>941</v>
      </c>
      <c r="AA24" s="10"/>
      <c r="AB24" s="10"/>
      <c r="AC24" s="10"/>
    </row>
    <row r="25" spans="1:29" hidden="1" x14ac:dyDescent="0.25">
      <c r="A25" s="10" t="s">
        <v>287</v>
      </c>
      <c r="B25" s="10" t="s">
        <v>289</v>
      </c>
      <c r="C25" s="10" t="s">
        <v>20</v>
      </c>
      <c r="D25" s="10"/>
      <c r="E25" s="10" t="s">
        <v>290</v>
      </c>
      <c r="F25" s="10" t="s">
        <v>101</v>
      </c>
      <c r="G25" s="10" t="s">
        <v>327</v>
      </c>
      <c r="H25" s="12">
        <v>15.77</v>
      </c>
      <c r="I25">
        <v>1</v>
      </c>
      <c r="J25" s="12">
        <v>15.77</v>
      </c>
      <c r="K25" s="10" t="s">
        <v>284</v>
      </c>
      <c r="L25" s="2">
        <v>45832.875</v>
      </c>
      <c r="M25" s="10"/>
      <c r="N25">
        <v>0</v>
      </c>
      <c r="O25" s="10"/>
      <c r="P25">
        <v>0</v>
      </c>
      <c r="Q25">
        <v>0</v>
      </c>
      <c r="R25">
        <v>0</v>
      </c>
      <c r="S25">
        <v>0</v>
      </c>
      <c r="T25">
        <v>0</v>
      </c>
      <c r="U25">
        <v>0</v>
      </c>
      <c r="V25">
        <v>0</v>
      </c>
      <c r="W25">
        <v>1.6</v>
      </c>
      <c r="X25" s="13">
        <v>19.125</v>
      </c>
      <c r="Y25" s="10" t="s">
        <v>901</v>
      </c>
      <c r="Z25" s="10" t="s">
        <v>941</v>
      </c>
      <c r="AA25" s="10"/>
      <c r="AB25" s="10"/>
      <c r="AC25" s="10"/>
    </row>
    <row r="26" spans="1:29" hidden="1" x14ac:dyDescent="0.25">
      <c r="A26" s="10" t="s">
        <v>287</v>
      </c>
      <c r="B26" s="10" t="s">
        <v>289</v>
      </c>
      <c r="C26" s="10" t="s">
        <v>2</v>
      </c>
      <c r="D26" s="10" t="s">
        <v>341</v>
      </c>
      <c r="E26" s="10" t="s">
        <v>290</v>
      </c>
      <c r="F26" s="10" t="s">
        <v>102</v>
      </c>
      <c r="G26" s="10" t="s">
        <v>328</v>
      </c>
      <c r="H26" s="12">
        <v>14.7</v>
      </c>
      <c r="I26">
        <v>1</v>
      </c>
      <c r="J26" s="12">
        <v>14.7</v>
      </c>
      <c r="K26" s="10" t="s">
        <v>284</v>
      </c>
      <c r="L26" s="2">
        <v>45832.875</v>
      </c>
      <c r="M26" s="10"/>
      <c r="N26">
        <v>0</v>
      </c>
      <c r="O26" s="10"/>
      <c r="P26">
        <v>0</v>
      </c>
      <c r="Q26">
        <v>0</v>
      </c>
      <c r="R26">
        <v>0</v>
      </c>
      <c r="S26">
        <v>0</v>
      </c>
      <c r="T26">
        <v>0</v>
      </c>
      <c r="U26">
        <v>0</v>
      </c>
      <c r="V26">
        <v>0</v>
      </c>
      <c r="W26">
        <v>2.4</v>
      </c>
      <c r="X26" s="13">
        <v>19.125</v>
      </c>
      <c r="Y26" s="10" t="s">
        <v>901</v>
      </c>
      <c r="Z26" s="10" t="s">
        <v>941</v>
      </c>
      <c r="AA26" s="10"/>
      <c r="AB26" s="10"/>
      <c r="AC26" s="10"/>
    </row>
    <row r="27" spans="1:29" hidden="1" x14ac:dyDescent="0.25">
      <c r="A27" s="10" t="s">
        <v>287</v>
      </c>
      <c r="B27" s="10" t="s">
        <v>289</v>
      </c>
      <c r="C27" s="10" t="s">
        <v>4</v>
      </c>
      <c r="D27" s="10" t="s">
        <v>122</v>
      </c>
      <c r="E27" s="10" t="s">
        <v>290</v>
      </c>
      <c r="F27" s="10" t="s">
        <v>119</v>
      </c>
      <c r="G27" s="10" t="s">
        <v>332</v>
      </c>
      <c r="H27" s="12">
        <v>28.01</v>
      </c>
      <c r="I27">
        <v>1</v>
      </c>
      <c r="J27" s="12">
        <v>28.01</v>
      </c>
      <c r="K27" s="10" t="s">
        <v>284</v>
      </c>
      <c r="L27" s="2">
        <v>45832.875</v>
      </c>
      <c r="M27" s="10"/>
      <c r="N27">
        <v>0</v>
      </c>
      <c r="O27" s="10"/>
      <c r="P27">
        <v>0</v>
      </c>
      <c r="Q27">
        <v>0</v>
      </c>
      <c r="R27">
        <v>0</v>
      </c>
      <c r="S27">
        <v>0</v>
      </c>
      <c r="T27">
        <v>0</v>
      </c>
      <c r="U27">
        <v>0</v>
      </c>
      <c r="V27">
        <v>0</v>
      </c>
      <c r="W27">
        <v>2.8</v>
      </c>
      <c r="X27" s="13">
        <v>19.125</v>
      </c>
      <c r="Y27" s="10" t="s">
        <v>901</v>
      </c>
      <c r="Z27" s="10" t="s">
        <v>941</v>
      </c>
      <c r="AA27" s="10"/>
      <c r="AB27" s="10"/>
      <c r="AC27" s="10"/>
    </row>
    <row r="28" spans="1:29" hidden="1" x14ac:dyDescent="0.25">
      <c r="A28" s="10" t="s">
        <v>287</v>
      </c>
      <c r="B28" s="10" t="s">
        <v>289</v>
      </c>
      <c r="C28" s="10" t="s">
        <v>954</v>
      </c>
      <c r="D28" s="10" t="s">
        <v>123</v>
      </c>
      <c r="E28" s="10" t="s">
        <v>290</v>
      </c>
      <c r="F28" s="10" t="s">
        <v>120</v>
      </c>
      <c r="G28" s="10" t="s">
        <v>333</v>
      </c>
      <c r="H28" s="12">
        <v>28.01</v>
      </c>
      <c r="I28">
        <v>1</v>
      </c>
      <c r="J28" s="12">
        <v>28.01</v>
      </c>
      <c r="K28" s="10" t="s">
        <v>284</v>
      </c>
      <c r="L28" s="2">
        <v>45832.875</v>
      </c>
      <c r="M28" s="10"/>
      <c r="N28">
        <v>0</v>
      </c>
      <c r="O28" s="10"/>
      <c r="P28">
        <v>0</v>
      </c>
      <c r="Q28">
        <v>0</v>
      </c>
      <c r="R28">
        <v>0</v>
      </c>
      <c r="S28">
        <v>0</v>
      </c>
      <c r="T28">
        <v>0</v>
      </c>
      <c r="U28">
        <v>0</v>
      </c>
      <c r="V28">
        <v>0</v>
      </c>
      <c r="W28">
        <v>3.6</v>
      </c>
      <c r="X28" s="13">
        <v>19.125</v>
      </c>
      <c r="Y28" s="10" t="s">
        <v>901</v>
      </c>
      <c r="Z28" s="10" t="s">
        <v>941</v>
      </c>
      <c r="AA28" s="10"/>
      <c r="AB28" s="10"/>
      <c r="AC28" s="10"/>
    </row>
    <row r="29" spans="1:29" hidden="1" x14ac:dyDescent="0.25">
      <c r="A29" s="10" t="s">
        <v>287</v>
      </c>
      <c r="B29" s="10" t="s">
        <v>289</v>
      </c>
      <c r="C29" s="10" t="s">
        <v>943</v>
      </c>
      <c r="D29" s="10" t="s">
        <v>124</v>
      </c>
      <c r="E29" s="10" t="s">
        <v>290</v>
      </c>
      <c r="F29" s="10" t="s">
        <v>121</v>
      </c>
      <c r="G29" s="10" t="s">
        <v>329</v>
      </c>
      <c r="H29" s="12">
        <v>25.72</v>
      </c>
      <c r="I29">
        <v>1</v>
      </c>
      <c r="J29" s="12">
        <v>25.72</v>
      </c>
      <c r="K29" s="10" t="s">
        <v>284</v>
      </c>
      <c r="L29" s="2">
        <v>45832.875</v>
      </c>
      <c r="M29" s="10"/>
      <c r="N29">
        <v>0</v>
      </c>
      <c r="O29" s="10"/>
      <c r="P29">
        <v>0</v>
      </c>
      <c r="Q29">
        <v>0</v>
      </c>
      <c r="R29">
        <v>0</v>
      </c>
      <c r="S29">
        <v>0</v>
      </c>
      <c r="T29">
        <v>0</v>
      </c>
      <c r="U29">
        <v>0</v>
      </c>
      <c r="V29">
        <v>0</v>
      </c>
      <c r="W29">
        <v>4</v>
      </c>
      <c r="X29" s="13">
        <v>19.125</v>
      </c>
      <c r="Y29" s="10" t="s">
        <v>901</v>
      </c>
      <c r="Z29" s="10" t="s">
        <v>941</v>
      </c>
      <c r="AA29" s="10"/>
      <c r="AB29" s="10"/>
      <c r="AC29" s="10"/>
    </row>
    <row r="30" spans="1:29" hidden="1" x14ac:dyDescent="0.25">
      <c r="A30" s="10" t="s">
        <v>287</v>
      </c>
      <c r="B30" s="10" t="s">
        <v>289</v>
      </c>
      <c r="C30" s="10" t="s">
        <v>955</v>
      </c>
      <c r="D30" s="10" t="s">
        <v>94</v>
      </c>
      <c r="E30" s="10" t="s">
        <v>290</v>
      </c>
      <c r="F30" s="10" t="s">
        <v>91</v>
      </c>
      <c r="G30" s="10" t="s">
        <v>330</v>
      </c>
      <c r="H30" s="12">
        <v>41.89</v>
      </c>
      <c r="I30">
        <v>1</v>
      </c>
      <c r="J30" s="12">
        <v>41.89</v>
      </c>
      <c r="K30" s="10" t="s">
        <v>284</v>
      </c>
      <c r="L30" s="2">
        <v>45832.875</v>
      </c>
      <c r="M30" s="10"/>
      <c r="N30">
        <v>0</v>
      </c>
      <c r="O30" s="10"/>
      <c r="P30">
        <v>0</v>
      </c>
      <c r="Q30">
        <v>0</v>
      </c>
      <c r="R30">
        <v>0</v>
      </c>
      <c r="S30">
        <v>0</v>
      </c>
      <c r="T30">
        <v>0</v>
      </c>
      <c r="U30">
        <v>0</v>
      </c>
      <c r="V30">
        <v>0</v>
      </c>
      <c r="W30">
        <v>5.6</v>
      </c>
      <c r="X30" s="13">
        <v>19.125</v>
      </c>
      <c r="Y30" s="10" t="s">
        <v>901</v>
      </c>
      <c r="Z30" s="10" t="s">
        <v>941</v>
      </c>
      <c r="AA30" s="10"/>
      <c r="AB30" s="10"/>
      <c r="AC30" s="10"/>
    </row>
    <row r="31" spans="1:29" hidden="1" x14ac:dyDescent="0.25">
      <c r="A31" s="10" t="s">
        <v>287</v>
      </c>
      <c r="B31" s="10" t="s">
        <v>289</v>
      </c>
      <c r="C31" s="10" t="s">
        <v>956</v>
      </c>
      <c r="D31" s="10" t="s">
        <v>65</v>
      </c>
      <c r="E31" s="10" t="s">
        <v>290</v>
      </c>
      <c r="F31" s="10" t="s">
        <v>125</v>
      </c>
      <c r="G31" s="10" t="s">
        <v>331</v>
      </c>
      <c r="H31" s="12">
        <v>45.33</v>
      </c>
      <c r="I31">
        <v>1</v>
      </c>
      <c r="J31" s="12">
        <v>45.33</v>
      </c>
      <c r="K31" s="10" t="s">
        <v>284</v>
      </c>
      <c r="L31" s="2">
        <v>45832.875</v>
      </c>
      <c r="M31" s="10"/>
      <c r="N31">
        <v>0</v>
      </c>
      <c r="O31" s="10"/>
      <c r="P31">
        <v>0</v>
      </c>
      <c r="Q31">
        <v>0</v>
      </c>
      <c r="R31">
        <v>0</v>
      </c>
      <c r="S31">
        <v>0</v>
      </c>
      <c r="T31">
        <v>0</v>
      </c>
      <c r="U31">
        <v>0</v>
      </c>
      <c r="V31">
        <v>0</v>
      </c>
      <c r="W31">
        <v>7.2</v>
      </c>
      <c r="X31" s="13">
        <v>19.125</v>
      </c>
      <c r="Y31" s="10" t="s">
        <v>901</v>
      </c>
      <c r="Z31" s="10" t="s">
        <v>941</v>
      </c>
      <c r="AA31" s="10"/>
      <c r="AB31" s="10"/>
      <c r="AC31" s="10"/>
    </row>
    <row r="32" spans="1:29" hidden="1" x14ac:dyDescent="0.25">
      <c r="A32" s="10" t="s">
        <v>287</v>
      </c>
      <c r="B32" s="10" t="s">
        <v>289</v>
      </c>
      <c r="C32" s="10" t="s">
        <v>946</v>
      </c>
      <c r="D32" s="10" t="s">
        <v>142</v>
      </c>
      <c r="E32" s="10" t="s">
        <v>290</v>
      </c>
      <c r="F32" s="10" t="s">
        <v>141</v>
      </c>
      <c r="G32" s="10" t="s">
        <v>334</v>
      </c>
      <c r="H32" s="12">
        <v>37.39</v>
      </c>
      <c r="I32">
        <v>1</v>
      </c>
      <c r="J32" s="12">
        <v>37.39</v>
      </c>
      <c r="K32" s="10" t="s">
        <v>284</v>
      </c>
      <c r="L32" s="2">
        <v>45832.875</v>
      </c>
      <c r="M32" s="10"/>
      <c r="N32">
        <v>0</v>
      </c>
      <c r="O32" s="10"/>
      <c r="P32">
        <v>0</v>
      </c>
      <c r="Q32">
        <v>0</v>
      </c>
      <c r="R32">
        <v>0</v>
      </c>
      <c r="S32">
        <v>0</v>
      </c>
      <c r="T32">
        <v>0</v>
      </c>
      <c r="U32">
        <v>0</v>
      </c>
      <c r="V32">
        <v>0</v>
      </c>
      <c r="W32">
        <v>8</v>
      </c>
      <c r="X32" s="13">
        <v>19.125</v>
      </c>
      <c r="Y32" s="10" t="s">
        <v>901</v>
      </c>
      <c r="Z32" s="10" t="s">
        <v>941</v>
      </c>
      <c r="AA32" s="10"/>
      <c r="AB32" s="10"/>
      <c r="AC32" s="10"/>
    </row>
    <row r="33" spans="1:29" hidden="1" x14ac:dyDescent="0.25">
      <c r="A33" s="10" t="s">
        <v>287</v>
      </c>
      <c r="B33" s="10" t="s">
        <v>289</v>
      </c>
      <c r="C33" s="10" t="s">
        <v>947</v>
      </c>
      <c r="D33" s="10" t="s">
        <v>87</v>
      </c>
      <c r="E33" s="10" t="s">
        <v>290</v>
      </c>
      <c r="F33" s="10" t="s">
        <v>86</v>
      </c>
      <c r="G33" s="10" t="s">
        <v>335</v>
      </c>
      <c r="H33" s="12">
        <v>80.92</v>
      </c>
      <c r="I33">
        <v>1</v>
      </c>
      <c r="J33" s="12">
        <v>80.92</v>
      </c>
      <c r="K33" s="10" t="s">
        <v>284</v>
      </c>
      <c r="L33" s="2">
        <v>45832.875</v>
      </c>
      <c r="M33" s="10"/>
      <c r="N33">
        <v>0</v>
      </c>
      <c r="O33" s="10"/>
      <c r="P33">
        <v>0</v>
      </c>
      <c r="Q33">
        <v>0</v>
      </c>
      <c r="R33">
        <v>0</v>
      </c>
      <c r="S33">
        <v>0</v>
      </c>
      <c r="T33">
        <v>0</v>
      </c>
      <c r="U33">
        <v>0</v>
      </c>
      <c r="V33">
        <v>0</v>
      </c>
      <c r="W33">
        <v>10</v>
      </c>
      <c r="X33" s="13">
        <v>19.125</v>
      </c>
      <c r="Y33" s="10" t="s">
        <v>901</v>
      </c>
      <c r="Z33" s="10" t="s">
        <v>941</v>
      </c>
      <c r="AA33" s="10"/>
      <c r="AB33" s="10"/>
      <c r="AC33" s="10"/>
    </row>
    <row r="34" spans="1:29" hidden="1" x14ac:dyDescent="0.25">
      <c r="A34" s="10" t="s">
        <v>287</v>
      </c>
      <c r="B34" s="10" t="s">
        <v>289</v>
      </c>
      <c r="C34" s="10" t="s">
        <v>957</v>
      </c>
      <c r="D34" s="10" t="s">
        <v>67</v>
      </c>
      <c r="E34" s="10" t="s">
        <v>290</v>
      </c>
      <c r="F34" s="10" t="s">
        <v>66</v>
      </c>
      <c r="G34" s="10" t="s">
        <v>336</v>
      </c>
      <c r="H34" s="12">
        <v>79.19</v>
      </c>
      <c r="I34">
        <v>1</v>
      </c>
      <c r="J34" s="12">
        <v>79.19</v>
      </c>
      <c r="K34" s="10" t="s">
        <v>284</v>
      </c>
      <c r="L34" s="2">
        <v>45832.875</v>
      </c>
      <c r="M34" s="10"/>
      <c r="N34">
        <v>0</v>
      </c>
      <c r="O34" s="10"/>
      <c r="P34">
        <v>0</v>
      </c>
      <c r="Q34">
        <v>0</v>
      </c>
      <c r="R34">
        <v>0</v>
      </c>
      <c r="S34">
        <v>0</v>
      </c>
      <c r="T34">
        <v>0</v>
      </c>
      <c r="U34">
        <v>0</v>
      </c>
      <c r="V34">
        <v>0</v>
      </c>
      <c r="W34">
        <v>14</v>
      </c>
      <c r="X34" s="13">
        <v>19.125</v>
      </c>
      <c r="Y34" s="10" t="s">
        <v>901</v>
      </c>
      <c r="Z34" s="10" t="s">
        <v>941</v>
      </c>
      <c r="AA34" s="10"/>
      <c r="AB34" s="10"/>
      <c r="AC34" s="10"/>
    </row>
    <row r="35" spans="1:29" hidden="1" x14ac:dyDescent="0.25">
      <c r="A35" s="10" t="s">
        <v>287</v>
      </c>
      <c r="B35" s="10" t="s">
        <v>289</v>
      </c>
      <c r="C35" s="10" t="s">
        <v>949</v>
      </c>
      <c r="D35" s="10" t="s">
        <v>82</v>
      </c>
      <c r="E35" s="10" t="s">
        <v>290</v>
      </c>
      <c r="F35" s="10" t="s">
        <v>83</v>
      </c>
      <c r="G35" s="10" t="s">
        <v>337</v>
      </c>
      <c r="H35" s="12">
        <v>70.540000000000006</v>
      </c>
      <c r="I35">
        <v>1</v>
      </c>
      <c r="J35" s="12">
        <v>70.540000000000006</v>
      </c>
      <c r="K35" s="10" t="s">
        <v>284</v>
      </c>
      <c r="L35" s="2">
        <v>45832.875</v>
      </c>
      <c r="M35" s="10"/>
      <c r="N35">
        <v>0</v>
      </c>
      <c r="O35" s="10"/>
      <c r="P35">
        <v>0</v>
      </c>
      <c r="Q35">
        <v>0</v>
      </c>
      <c r="R35">
        <v>0</v>
      </c>
      <c r="S35">
        <v>0</v>
      </c>
      <c r="T35">
        <v>0</v>
      </c>
      <c r="U35">
        <v>0</v>
      </c>
      <c r="V35">
        <v>0</v>
      </c>
      <c r="W35">
        <v>16</v>
      </c>
      <c r="X35" s="13">
        <v>19.125</v>
      </c>
      <c r="Y35" s="10" t="s">
        <v>901</v>
      </c>
      <c r="Z35" s="10" t="s">
        <v>941</v>
      </c>
      <c r="AA35" s="10"/>
      <c r="AB35" s="10"/>
      <c r="AC35" s="10"/>
    </row>
    <row r="36" spans="1:29" hidden="1" x14ac:dyDescent="0.25">
      <c r="A36" s="10" t="s">
        <v>287</v>
      </c>
      <c r="B36" s="10" t="s">
        <v>289</v>
      </c>
      <c r="C36" s="10" t="s">
        <v>951</v>
      </c>
      <c r="D36" s="10" t="s">
        <v>114</v>
      </c>
      <c r="E36" s="10" t="s">
        <v>290</v>
      </c>
      <c r="F36" s="10" t="s">
        <v>97</v>
      </c>
      <c r="G36" s="10" t="s">
        <v>338</v>
      </c>
      <c r="H36" s="12">
        <v>164.29</v>
      </c>
      <c r="I36">
        <v>1</v>
      </c>
      <c r="J36" s="12">
        <v>164.29</v>
      </c>
      <c r="K36" s="10" t="s">
        <v>284</v>
      </c>
      <c r="L36" s="2">
        <v>45832.875</v>
      </c>
      <c r="M36" s="10"/>
      <c r="N36">
        <v>0</v>
      </c>
      <c r="O36" s="10"/>
      <c r="P36">
        <v>0</v>
      </c>
      <c r="Q36">
        <v>0</v>
      </c>
      <c r="R36">
        <v>0</v>
      </c>
      <c r="S36">
        <v>0</v>
      </c>
      <c r="T36">
        <v>0</v>
      </c>
      <c r="U36">
        <v>0</v>
      </c>
      <c r="V36">
        <v>0</v>
      </c>
      <c r="W36">
        <v>24</v>
      </c>
      <c r="X36" s="13">
        <v>19.125</v>
      </c>
      <c r="Y36" s="10" t="s">
        <v>901</v>
      </c>
      <c r="Z36" s="10" t="s">
        <v>941</v>
      </c>
      <c r="AA36" s="10"/>
      <c r="AB36" s="10"/>
      <c r="AC36" s="10"/>
    </row>
    <row r="37" spans="1:29" hidden="1" x14ac:dyDescent="0.25">
      <c r="A37" s="10" t="s">
        <v>287</v>
      </c>
      <c r="B37" s="10" t="s">
        <v>289</v>
      </c>
      <c r="C37" s="10" t="s">
        <v>952</v>
      </c>
      <c r="D37" s="10" t="s">
        <v>114</v>
      </c>
      <c r="E37" s="10" t="s">
        <v>290</v>
      </c>
      <c r="F37" s="10" t="s">
        <v>145</v>
      </c>
      <c r="G37" s="10" t="s">
        <v>339</v>
      </c>
      <c r="H37" s="12">
        <v>179.75</v>
      </c>
      <c r="I37">
        <v>1</v>
      </c>
      <c r="J37" s="12">
        <v>179.75</v>
      </c>
      <c r="K37" s="10" t="s">
        <v>284</v>
      </c>
      <c r="L37" s="2">
        <v>45832.875</v>
      </c>
      <c r="M37" s="10"/>
      <c r="N37">
        <v>0</v>
      </c>
      <c r="O37" s="10"/>
      <c r="P37">
        <v>0</v>
      </c>
      <c r="Q37">
        <v>0</v>
      </c>
      <c r="R37">
        <v>0</v>
      </c>
      <c r="S37">
        <v>0</v>
      </c>
      <c r="T37">
        <v>0</v>
      </c>
      <c r="U37">
        <v>0</v>
      </c>
      <c r="V37">
        <v>0</v>
      </c>
      <c r="W37">
        <v>28</v>
      </c>
      <c r="X37" s="13">
        <v>19.125</v>
      </c>
      <c r="Y37" s="10" t="s">
        <v>901</v>
      </c>
      <c r="Z37" s="10" t="s">
        <v>941</v>
      </c>
      <c r="AA37" s="10"/>
      <c r="AB37" s="10"/>
      <c r="AC37" s="10"/>
    </row>
    <row r="38" spans="1:29" hidden="1" x14ac:dyDescent="0.25">
      <c r="A38" s="10" t="s">
        <v>287</v>
      </c>
      <c r="B38" s="10" t="s">
        <v>289</v>
      </c>
      <c r="C38" s="10" t="s">
        <v>958</v>
      </c>
      <c r="D38" s="10" t="s">
        <v>150</v>
      </c>
      <c r="E38" s="10" t="s">
        <v>290</v>
      </c>
      <c r="F38" s="10" t="s">
        <v>149</v>
      </c>
      <c r="G38" s="10" t="s">
        <v>340</v>
      </c>
      <c r="H38" s="12">
        <v>155.19999999999999</v>
      </c>
      <c r="I38">
        <v>1</v>
      </c>
      <c r="J38" s="12">
        <v>155.19999999999999</v>
      </c>
      <c r="K38" s="10" t="s">
        <v>284</v>
      </c>
      <c r="L38" s="2">
        <v>45832.875</v>
      </c>
      <c r="M38" s="10"/>
      <c r="N38">
        <v>0</v>
      </c>
      <c r="O38" s="10"/>
      <c r="P38">
        <v>0</v>
      </c>
      <c r="Q38">
        <v>0</v>
      </c>
      <c r="R38">
        <v>0</v>
      </c>
      <c r="S38">
        <v>0</v>
      </c>
      <c r="T38">
        <v>0</v>
      </c>
      <c r="U38">
        <v>0</v>
      </c>
      <c r="V38">
        <v>0</v>
      </c>
      <c r="W38">
        <v>32</v>
      </c>
      <c r="X38" s="13">
        <v>19.125</v>
      </c>
      <c r="Y38" s="10" t="s">
        <v>901</v>
      </c>
      <c r="Z38" s="10" t="s">
        <v>941</v>
      </c>
      <c r="AA38" s="10"/>
      <c r="AB38" s="10"/>
      <c r="AC38" s="10"/>
    </row>
    <row r="39" spans="1:29" hidden="1" x14ac:dyDescent="0.25">
      <c r="A39" s="10" t="s">
        <v>287</v>
      </c>
      <c r="B39" s="10" t="s">
        <v>289</v>
      </c>
      <c r="C39" s="10" t="s">
        <v>959</v>
      </c>
      <c r="D39" s="10" t="s">
        <v>253</v>
      </c>
      <c r="E39" s="10" t="s">
        <v>290</v>
      </c>
      <c r="F39" s="10" t="s">
        <v>250</v>
      </c>
      <c r="G39" s="10" t="s">
        <v>589</v>
      </c>
      <c r="H39" s="12">
        <v>254.23</v>
      </c>
      <c r="I39">
        <v>1</v>
      </c>
      <c r="J39" s="12">
        <v>254.23</v>
      </c>
      <c r="K39" s="10" t="s">
        <v>284</v>
      </c>
      <c r="L39" s="2">
        <v>45832.875</v>
      </c>
      <c r="M39" s="10"/>
      <c r="N39">
        <v>0</v>
      </c>
      <c r="O39" s="10"/>
      <c r="P39">
        <v>0</v>
      </c>
      <c r="Q39">
        <v>0</v>
      </c>
      <c r="R39">
        <v>0</v>
      </c>
      <c r="S39">
        <v>0</v>
      </c>
      <c r="T39">
        <v>0</v>
      </c>
      <c r="U39">
        <v>0</v>
      </c>
      <c r="V39">
        <v>0</v>
      </c>
      <c r="W39">
        <v>40</v>
      </c>
      <c r="X39" s="13">
        <v>19.125</v>
      </c>
      <c r="Y39" s="10" t="s">
        <v>901</v>
      </c>
      <c r="Z39" s="10" t="s">
        <v>941</v>
      </c>
      <c r="AA39" s="10"/>
      <c r="AB39" s="10"/>
      <c r="AC39" s="10"/>
    </row>
    <row r="40" spans="1:29" hidden="1" x14ac:dyDescent="0.25">
      <c r="A40" s="10" t="s">
        <v>287</v>
      </c>
      <c r="B40" s="10" t="s">
        <v>289</v>
      </c>
      <c r="C40" s="10" t="s">
        <v>960</v>
      </c>
      <c r="D40" s="10"/>
      <c r="E40" s="10" t="s">
        <v>290</v>
      </c>
      <c r="F40" s="10" t="s">
        <v>251</v>
      </c>
      <c r="G40" s="10" t="s">
        <v>590</v>
      </c>
      <c r="H40" s="12">
        <v>223.6</v>
      </c>
      <c r="I40">
        <v>1</v>
      </c>
      <c r="J40" s="12">
        <v>223.6</v>
      </c>
      <c r="K40" s="10" t="s">
        <v>284</v>
      </c>
      <c r="L40" s="2">
        <v>45832.875</v>
      </c>
      <c r="M40" s="10"/>
      <c r="N40">
        <v>0</v>
      </c>
      <c r="O40" s="10"/>
      <c r="P40">
        <v>0</v>
      </c>
      <c r="Q40">
        <v>0</v>
      </c>
      <c r="R40">
        <v>0</v>
      </c>
      <c r="S40">
        <v>0</v>
      </c>
      <c r="T40">
        <v>0</v>
      </c>
      <c r="U40">
        <v>0</v>
      </c>
      <c r="V40">
        <v>0</v>
      </c>
      <c r="W40">
        <v>48</v>
      </c>
      <c r="X40" s="13">
        <v>19.125</v>
      </c>
      <c r="Y40" s="10" t="s">
        <v>901</v>
      </c>
      <c r="Z40" s="10" t="s">
        <v>941</v>
      </c>
      <c r="AA40" s="10"/>
      <c r="AB40" s="10"/>
      <c r="AC40" s="10"/>
    </row>
    <row r="41" spans="1:29" hidden="1" x14ac:dyDescent="0.25">
      <c r="A41" s="10" t="s">
        <v>287</v>
      </c>
      <c r="B41" s="10" t="s">
        <v>577</v>
      </c>
      <c r="C41" s="10" t="s">
        <v>4</v>
      </c>
      <c r="D41" s="10"/>
      <c r="E41" s="10" t="s">
        <v>290</v>
      </c>
      <c r="F41" s="10" t="s">
        <v>247</v>
      </c>
      <c r="G41" s="10" t="s">
        <v>578</v>
      </c>
      <c r="H41" s="12">
        <v>20.56</v>
      </c>
      <c r="I41">
        <v>1</v>
      </c>
      <c r="J41" s="12">
        <v>20.56</v>
      </c>
      <c r="K41" s="10" t="s">
        <v>284</v>
      </c>
      <c r="L41" s="2">
        <v>45832.875</v>
      </c>
      <c r="M41" s="10"/>
      <c r="N41">
        <v>0</v>
      </c>
      <c r="O41" s="10"/>
      <c r="P41">
        <v>0</v>
      </c>
      <c r="Q41">
        <v>0</v>
      </c>
      <c r="R41">
        <v>0</v>
      </c>
      <c r="S41">
        <v>0</v>
      </c>
      <c r="T41">
        <v>0</v>
      </c>
      <c r="U41">
        <v>0</v>
      </c>
      <c r="V41">
        <v>0</v>
      </c>
      <c r="W41">
        <v>2.8</v>
      </c>
      <c r="X41" s="13">
        <v>19.125</v>
      </c>
      <c r="Y41" s="10" t="s">
        <v>901</v>
      </c>
      <c r="Z41" s="10" t="s">
        <v>941</v>
      </c>
      <c r="AA41" s="10"/>
      <c r="AB41" s="10"/>
      <c r="AC41" s="10"/>
    </row>
    <row r="42" spans="1:29" hidden="1" x14ac:dyDescent="0.25">
      <c r="A42" s="10" t="s">
        <v>287</v>
      </c>
      <c r="B42" s="10" t="s">
        <v>577</v>
      </c>
      <c r="C42" s="10" t="s">
        <v>944</v>
      </c>
      <c r="D42" s="10"/>
      <c r="E42" s="10" t="s">
        <v>290</v>
      </c>
      <c r="F42" s="10" t="s">
        <v>248</v>
      </c>
      <c r="G42" s="10" t="s">
        <v>579</v>
      </c>
      <c r="H42" s="12">
        <v>20.56</v>
      </c>
      <c r="I42">
        <v>1</v>
      </c>
      <c r="J42" s="12">
        <v>20.56</v>
      </c>
      <c r="K42" s="10" t="s">
        <v>284</v>
      </c>
      <c r="L42" s="2">
        <v>45832.875</v>
      </c>
      <c r="M42" s="10"/>
      <c r="N42">
        <v>0</v>
      </c>
      <c r="O42" s="10"/>
      <c r="P42">
        <v>0</v>
      </c>
      <c r="Q42">
        <v>0</v>
      </c>
      <c r="R42">
        <v>0</v>
      </c>
      <c r="S42">
        <v>0</v>
      </c>
      <c r="T42">
        <v>0</v>
      </c>
      <c r="U42">
        <v>0</v>
      </c>
      <c r="V42">
        <v>0</v>
      </c>
      <c r="W42">
        <v>4.8</v>
      </c>
      <c r="X42" s="13">
        <v>19.125</v>
      </c>
      <c r="Y42" s="10" t="s">
        <v>901</v>
      </c>
      <c r="Z42" s="10" t="s">
        <v>941</v>
      </c>
      <c r="AA42" s="10"/>
      <c r="AB42" s="10"/>
      <c r="AC42" s="10"/>
    </row>
    <row r="43" spans="1:29" hidden="1" x14ac:dyDescent="0.25">
      <c r="A43" s="10" t="s">
        <v>287</v>
      </c>
      <c r="B43" s="10" t="s">
        <v>288</v>
      </c>
      <c r="C43" s="10" t="s">
        <v>292</v>
      </c>
      <c r="D43" s="10" t="s">
        <v>110</v>
      </c>
      <c r="E43" s="10" t="s">
        <v>290</v>
      </c>
      <c r="F43" s="10" t="s">
        <v>103</v>
      </c>
      <c r="G43" s="10" t="s">
        <v>348</v>
      </c>
      <c r="H43" s="12">
        <v>44.25</v>
      </c>
      <c r="I43">
        <v>1</v>
      </c>
      <c r="J43" s="12">
        <v>44.25</v>
      </c>
      <c r="K43" s="10" t="s">
        <v>284</v>
      </c>
      <c r="L43" s="2">
        <v>45832.875</v>
      </c>
      <c r="M43" s="10"/>
      <c r="N43">
        <v>0</v>
      </c>
      <c r="O43" s="10"/>
      <c r="P43">
        <v>0</v>
      </c>
      <c r="Q43">
        <v>0</v>
      </c>
      <c r="R43">
        <v>0</v>
      </c>
      <c r="S43">
        <v>0</v>
      </c>
      <c r="T43">
        <v>0</v>
      </c>
      <c r="U43">
        <v>0</v>
      </c>
      <c r="V43">
        <v>0</v>
      </c>
      <c r="W43">
        <v>0</v>
      </c>
      <c r="X43" s="13">
        <v>30.125</v>
      </c>
      <c r="Y43" s="10" t="s">
        <v>901</v>
      </c>
      <c r="Z43" s="10" t="s">
        <v>941</v>
      </c>
      <c r="AA43" s="10">
        <v>0.25</v>
      </c>
      <c r="AB43" s="10">
        <v>0.5</v>
      </c>
      <c r="AC43" s="10"/>
    </row>
    <row r="44" spans="1:29" hidden="1" x14ac:dyDescent="0.25">
      <c r="A44" s="10" t="s">
        <v>287</v>
      </c>
      <c r="B44" s="10" t="s">
        <v>288</v>
      </c>
      <c r="C44" s="10" t="s">
        <v>293</v>
      </c>
      <c r="D44" s="10" t="s">
        <v>128</v>
      </c>
      <c r="E44" s="10" t="s">
        <v>290</v>
      </c>
      <c r="F44" s="10" t="s">
        <v>127</v>
      </c>
      <c r="G44" s="10" t="s">
        <v>349</v>
      </c>
      <c r="H44" s="12">
        <v>46.84</v>
      </c>
      <c r="I44">
        <v>1</v>
      </c>
      <c r="J44" s="12">
        <v>46.84</v>
      </c>
      <c r="K44" s="10" t="s">
        <v>284</v>
      </c>
      <c r="L44" s="2">
        <v>45832.875</v>
      </c>
      <c r="M44" s="10"/>
      <c r="N44">
        <v>0</v>
      </c>
      <c r="O44" s="10"/>
      <c r="P44">
        <v>0</v>
      </c>
      <c r="Q44">
        <v>0</v>
      </c>
      <c r="R44">
        <v>0</v>
      </c>
      <c r="S44">
        <v>0</v>
      </c>
      <c r="T44">
        <v>0</v>
      </c>
      <c r="U44">
        <v>0</v>
      </c>
      <c r="V44">
        <v>0</v>
      </c>
      <c r="W44">
        <v>0</v>
      </c>
      <c r="X44" s="13">
        <v>30.125</v>
      </c>
      <c r="Y44" s="10" t="s">
        <v>901</v>
      </c>
      <c r="Z44" s="10" t="s">
        <v>941</v>
      </c>
      <c r="AA44" s="10">
        <v>0.25</v>
      </c>
      <c r="AB44" s="10">
        <v>0.5</v>
      </c>
      <c r="AC44" s="10"/>
    </row>
    <row r="45" spans="1:29" hidden="1" x14ac:dyDescent="0.25">
      <c r="A45" s="10" t="s">
        <v>287</v>
      </c>
      <c r="B45" s="10" t="s">
        <v>288</v>
      </c>
      <c r="C45" s="10" t="s">
        <v>294</v>
      </c>
      <c r="D45" s="10" t="s">
        <v>95</v>
      </c>
      <c r="E45" s="10" t="s">
        <v>290</v>
      </c>
      <c r="F45" s="10" t="s">
        <v>90</v>
      </c>
      <c r="G45" s="10" t="s">
        <v>350</v>
      </c>
      <c r="H45" s="12">
        <v>80</v>
      </c>
      <c r="I45">
        <v>1</v>
      </c>
      <c r="J45" s="12">
        <v>80</v>
      </c>
      <c r="K45" s="10" t="s">
        <v>284</v>
      </c>
      <c r="L45" s="2">
        <v>45832.875</v>
      </c>
      <c r="M45" s="10"/>
      <c r="N45">
        <v>0</v>
      </c>
      <c r="O45" s="10"/>
      <c r="P45">
        <v>0</v>
      </c>
      <c r="Q45">
        <v>0</v>
      </c>
      <c r="R45">
        <v>0</v>
      </c>
      <c r="S45">
        <v>0</v>
      </c>
      <c r="T45">
        <v>0</v>
      </c>
      <c r="U45">
        <v>0</v>
      </c>
      <c r="V45">
        <v>0</v>
      </c>
      <c r="W45">
        <v>0</v>
      </c>
      <c r="X45" s="13">
        <v>30.125</v>
      </c>
      <c r="Y45" s="10" t="s">
        <v>901</v>
      </c>
      <c r="Z45" s="10" t="s">
        <v>941</v>
      </c>
      <c r="AA45" s="10">
        <v>0.25</v>
      </c>
      <c r="AB45" s="10">
        <v>1</v>
      </c>
      <c r="AC45" s="10"/>
    </row>
    <row r="46" spans="1:29" hidden="1" x14ac:dyDescent="0.25">
      <c r="A46" s="10" t="s">
        <v>287</v>
      </c>
      <c r="B46" s="10" t="s">
        <v>288</v>
      </c>
      <c r="C46" s="10" t="s">
        <v>295</v>
      </c>
      <c r="D46" s="10" t="s">
        <v>72</v>
      </c>
      <c r="E46" s="10" t="s">
        <v>290</v>
      </c>
      <c r="F46" s="10" t="s">
        <v>69</v>
      </c>
      <c r="G46" s="10" t="s">
        <v>351</v>
      </c>
      <c r="H46" s="12">
        <v>752.8</v>
      </c>
      <c r="I46">
        <v>1</v>
      </c>
      <c r="J46" s="12">
        <v>752.8</v>
      </c>
      <c r="K46" s="10" t="s">
        <v>284</v>
      </c>
      <c r="L46" s="2">
        <v>45838.875</v>
      </c>
      <c r="M46" s="10"/>
      <c r="N46">
        <v>0</v>
      </c>
      <c r="O46" s="10"/>
      <c r="P46">
        <v>0</v>
      </c>
      <c r="Q46">
        <v>0</v>
      </c>
      <c r="R46">
        <v>0</v>
      </c>
      <c r="S46">
        <v>0</v>
      </c>
      <c r="T46">
        <v>0</v>
      </c>
      <c r="U46">
        <v>0</v>
      </c>
      <c r="V46">
        <v>0</v>
      </c>
      <c r="W46">
        <v>0</v>
      </c>
      <c r="X46" s="13">
        <v>24.125</v>
      </c>
      <c r="Y46" s="10" t="s">
        <v>901</v>
      </c>
      <c r="Z46" s="10" t="s">
        <v>941</v>
      </c>
      <c r="AA46" s="10">
        <v>0.25</v>
      </c>
      <c r="AB46" s="10">
        <v>1</v>
      </c>
      <c r="AC46" s="10"/>
    </row>
    <row r="47" spans="1:29" hidden="1" x14ac:dyDescent="0.25">
      <c r="A47" s="10" t="s">
        <v>287</v>
      </c>
      <c r="B47" s="10" t="s">
        <v>288</v>
      </c>
      <c r="C47" s="10" t="s">
        <v>296</v>
      </c>
      <c r="D47" s="10" t="s">
        <v>116</v>
      </c>
      <c r="E47" s="10" t="s">
        <v>290</v>
      </c>
      <c r="F47" s="10" t="s">
        <v>98</v>
      </c>
      <c r="G47" s="10" t="s">
        <v>352</v>
      </c>
      <c r="H47" s="12">
        <v>1471.9</v>
      </c>
      <c r="I47">
        <v>1</v>
      </c>
      <c r="J47" s="12">
        <v>1471.9</v>
      </c>
      <c r="K47" s="10" t="s">
        <v>284</v>
      </c>
      <c r="L47" s="2">
        <v>45838.875</v>
      </c>
      <c r="M47" s="10"/>
      <c r="N47">
        <v>0</v>
      </c>
      <c r="O47" s="10"/>
      <c r="P47">
        <v>0</v>
      </c>
      <c r="Q47">
        <v>0</v>
      </c>
      <c r="R47">
        <v>0</v>
      </c>
      <c r="S47">
        <v>0</v>
      </c>
      <c r="T47">
        <v>0</v>
      </c>
      <c r="U47">
        <v>0</v>
      </c>
      <c r="V47">
        <v>0</v>
      </c>
      <c r="W47">
        <v>0</v>
      </c>
      <c r="X47" s="13">
        <v>24.125</v>
      </c>
      <c r="Y47" s="10" t="s">
        <v>901</v>
      </c>
      <c r="Z47" s="10" t="s">
        <v>941</v>
      </c>
      <c r="AA47" s="10">
        <v>0.25</v>
      </c>
      <c r="AB47" s="10">
        <v>1</v>
      </c>
      <c r="AC47" s="10"/>
    </row>
    <row r="48" spans="1:29" hidden="1" x14ac:dyDescent="0.25">
      <c r="A48" s="10" t="s">
        <v>287</v>
      </c>
      <c r="B48" s="10" t="s">
        <v>288</v>
      </c>
      <c r="C48" s="10" t="s">
        <v>591</v>
      </c>
      <c r="D48" s="10" t="s">
        <v>252</v>
      </c>
      <c r="E48" s="10" t="s">
        <v>290</v>
      </c>
      <c r="F48" s="10" t="s">
        <v>598</v>
      </c>
      <c r="G48" s="10" t="s">
        <v>592</v>
      </c>
      <c r="H48" s="12">
        <v>2483.73</v>
      </c>
      <c r="I48">
        <v>1</v>
      </c>
      <c r="J48" s="12">
        <v>2483.73</v>
      </c>
      <c r="K48" s="10" t="s">
        <v>284</v>
      </c>
      <c r="L48" s="2">
        <v>45838.875</v>
      </c>
      <c r="M48" s="10"/>
      <c r="N48">
        <v>0</v>
      </c>
      <c r="O48" s="10"/>
      <c r="P48">
        <v>0</v>
      </c>
      <c r="Q48">
        <v>0</v>
      </c>
      <c r="R48">
        <v>0</v>
      </c>
      <c r="S48">
        <v>0</v>
      </c>
      <c r="T48">
        <v>0</v>
      </c>
      <c r="U48">
        <v>0</v>
      </c>
      <c r="V48">
        <v>0</v>
      </c>
      <c r="W48">
        <v>0</v>
      </c>
      <c r="X48" s="13">
        <v>24.125</v>
      </c>
      <c r="Y48" s="10" t="s">
        <v>901</v>
      </c>
      <c r="Z48" s="10" t="s">
        <v>941</v>
      </c>
      <c r="AA48" s="10">
        <v>0.25</v>
      </c>
      <c r="AB48" s="10">
        <v>1</v>
      </c>
      <c r="AC48" s="10"/>
    </row>
    <row r="49" spans="1:29" hidden="1" x14ac:dyDescent="0.25">
      <c r="A49" s="10" t="s">
        <v>287</v>
      </c>
      <c r="B49" s="10" t="s">
        <v>288</v>
      </c>
      <c r="C49" s="10" t="s">
        <v>297</v>
      </c>
      <c r="D49" s="10"/>
      <c r="E49" s="10" t="s">
        <v>290</v>
      </c>
      <c r="F49" s="10" t="s">
        <v>109</v>
      </c>
      <c r="G49" s="10" t="s">
        <v>353</v>
      </c>
      <c r="H49" s="12">
        <v>18.93</v>
      </c>
      <c r="I49">
        <v>1</v>
      </c>
      <c r="J49" s="12">
        <v>18.93</v>
      </c>
      <c r="K49" s="10" t="s">
        <v>284</v>
      </c>
      <c r="L49" s="2">
        <v>45832.875</v>
      </c>
      <c r="M49" s="10"/>
      <c r="N49">
        <v>0</v>
      </c>
      <c r="O49" s="10"/>
      <c r="P49">
        <v>0</v>
      </c>
      <c r="Q49">
        <v>0</v>
      </c>
      <c r="R49">
        <v>0</v>
      </c>
      <c r="S49">
        <v>0</v>
      </c>
      <c r="T49">
        <v>0</v>
      </c>
      <c r="U49">
        <v>0</v>
      </c>
      <c r="V49">
        <v>0</v>
      </c>
      <c r="W49">
        <v>0</v>
      </c>
      <c r="X49" s="13">
        <v>19.125</v>
      </c>
      <c r="Y49" s="10" t="s">
        <v>901</v>
      </c>
      <c r="Z49" s="10" t="s">
        <v>941</v>
      </c>
      <c r="AA49" s="10"/>
      <c r="AB49" s="10"/>
      <c r="AC49" s="10"/>
    </row>
    <row r="50" spans="1:29" hidden="1" x14ac:dyDescent="0.25">
      <c r="A50" s="10" t="s">
        <v>287</v>
      </c>
      <c r="B50" s="10" t="s">
        <v>288</v>
      </c>
      <c r="C50" s="10" t="s">
        <v>298</v>
      </c>
      <c r="D50" s="10"/>
      <c r="E50" s="10" t="s">
        <v>290</v>
      </c>
      <c r="F50" s="10" t="s">
        <v>129</v>
      </c>
      <c r="G50" s="10" t="s">
        <v>354</v>
      </c>
      <c r="H50" s="12">
        <v>23.46</v>
      </c>
      <c r="I50">
        <v>1</v>
      </c>
      <c r="J50" s="12">
        <v>23.46</v>
      </c>
      <c r="K50" s="10" t="s">
        <v>284</v>
      </c>
      <c r="L50" s="2">
        <v>45832.875</v>
      </c>
      <c r="M50" s="10"/>
      <c r="N50">
        <v>0</v>
      </c>
      <c r="O50" s="10"/>
      <c r="P50">
        <v>0</v>
      </c>
      <c r="Q50">
        <v>0</v>
      </c>
      <c r="R50">
        <v>0</v>
      </c>
      <c r="S50">
        <v>0</v>
      </c>
      <c r="T50">
        <v>0</v>
      </c>
      <c r="U50">
        <v>0</v>
      </c>
      <c r="V50">
        <v>0</v>
      </c>
      <c r="W50">
        <v>0</v>
      </c>
      <c r="X50" s="13">
        <v>19.125</v>
      </c>
      <c r="Y50" s="10" t="s">
        <v>901</v>
      </c>
      <c r="Z50" s="10" t="s">
        <v>941</v>
      </c>
      <c r="AA50" s="10"/>
      <c r="AB50" s="10"/>
      <c r="AC50" s="10"/>
    </row>
    <row r="51" spans="1:29" hidden="1" x14ac:dyDescent="0.25">
      <c r="A51" s="10" t="s">
        <v>287</v>
      </c>
      <c r="B51" s="10" t="s">
        <v>288</v>
      </c>
      <c r="C51" s="10" t="s">
        <v>299</v>
      </c>
      <c r="D51" s="10"/>
      <c r="E51" s="10" t="s">
        <v>290</v>
      </c>
      <c r="F51" s="10" t="s">
        <v>108</v>
      </c>
      <c r="G51" s="10" t="s">
        <v>355</v>
      </c>
      <c r="H51" s="12">
        <v>26.55</v>
      </c>
      <c r="I51">
        <v>1</v>
      </c>
      <c r="J51" s="12">
        <v>26.55</v>
      </c>
      <c r="K51" s="10" t="s">
        <v>284</v>
      </c>
      <c r="L51" s="2">
        <v>45832.875</v>
      </c>
      <c r="M51" s="10"/>
      <c r="N51">
        <v>0</v>
      </c>
      <c r="O51" s="10"/>
      <c r="P51">
        <v>0</v>
      </c>
      <c r="Q51">
        <v>0</v>
      </c>
      <c r="R51">
        <v>0</v>
      </c>
      <c r="S51">
        <v>0</v>
      </c>
      <c r="T51">
        <v>0</v>
      </c>
      <c r="U51">
        <v>0</v>
      </c>
      <c r="V51">
        <v>0</v>
      </c>
      <c r="W51">
        <v>0</v>
      </c>
      <c r="X51" s="13">
        <v>19.125</v>
      </c>
      <c r="Y51" s="10" t="s">
        <v>901</v>
      </c>
      <c r="Z51" s="10" t="s">
        <v>941</v>
      </c>
      <c r="AA51" s="10"/>
      <c r="AB51" s="10"/>
      <c r="AC51" s="10"/>
    </row>
    <row r="52" spans="1:29" hidden="1" x14ac:dyDescent="0.25">
      <c r="A52" s="10" t="s">
        <v>287</v>
      </c>
      <c r="B52" s="10" t="s">
        <v>288</v>
      </c>
      <c r="C52" s="10" t="s">
        <v>300</v>
      </c>
      <c r="D52" s="10"/>
      <c r="E52" s="10" t="s">
        <v>65</v>
      </c>
      <c r="F52" s="10" t="s">
        <v>476</v>
      </c>
      <c r="G52" s="10" t="s">
        <v>477</v>
      </c>
      <c r="H52" s="12">
        <v>200</v>
      </c>
      <c r="I52">
        <v>1</v>
      </c>
      <c r="J52" s="12">
        <v>200</v>
      </c>
      <c r="K52" s="10" t="s">
        <v>65</v>
      </c>
      <c r="L52" s="2">
        <v>45832.875</v>
      </c>
      <c r="M52" s="10"/>
      <c r="N52">
        <v>0</v>
      </c>
      <c r="O52" s="10"/>
      <c r="P52">
        <v>0</v>
      </c>
      <c r="Q52">
        <v>0</v>
      </c>
      <c r="R52">
        <v>0</v>
      </c>
      <c r="S52">
        <v>0</v>
      </c>
      <c r="T52">
        <v>0</v>
      </c>
      <c r="U52">
        <v>0</v>
      </c>
      <c r="V52">
        <v>0</v>
      </c>
      <c r="W52">
        <v>0</v>
      </c>
      <c r="X52" s="13">
        <v>19.125</v>
      </c>
      <c r="Y52" s="10" t="s">
        <v>901</v>
      </c>
      <c r="Z52" s="10" t="s">
        <v>941</v>
      </c>
      <c r="AA52" s="10"/>
      <c r="AB52" s="10"/>
      <c r="AC52" s="10"/>
    </row>
    <row r="53" spans="1:29" hidden="1" x14ac:dyDescent="0.25">
      <c r="A53" s="10" t="s">
        <v>287</v>
      </c>
      <c r="B53" s="10" t="s">
        <v>549</v>
      </c>
      <c r="C53" s="10" t="s">
        <v>36</v>
      </c>
      <c r="D53" s="10" t="s">
        <v>240</v>
      </c>
      <c r="E53" s="10" t="s">
        <v>290</v>
      </c>
      <c r="F53" s="10" t="s">
        <v>239</v>
      </c>
      <c r="G53" s="10" t="s">
        <v>551</v>
      </c>
      <c r="H53" s="12">
        <v>10.11</v>
      </c>
      <c r="I53">
        <v>1</v>
      </c>
      <c r="J53" s="12">
        <v>10.11</v>
      </c>
      <c r="K53" s="10" t="s">
        <v>284</v>
      </c>
      <c r="L53" s="2">
        <v>45832.875</v>
      </c>
      <c r="M53" s="10"/>
      <c r="N53">
        <v>0</v>
      </c>
      <c r="O53" s="10"/>
      <c r="P53">
        <v>0</v>
      </c>
      <c r="Q53">
        <v>0</v>
      </c>
      <c r="R53">
        <v>0</v>
      </c>
      <c r="S53">
        <v>0</v>
      </c>
      <c r="T53">
        <v>0</v>
      </c>
      <c r="U53">
        <v>0</v>
      </c>
      <c r="V53">
        <v>0</v>
      </c>
      <c r="W53">
        <v>0.24</v>
      </c>
      <c r="X53" s="13">
        <v>19.125</v>
      </c>
      <c r="Y53" s="10" t="s">
        <v>901</v>
      </c>
      <c r="Z53" s="10" t="s">
        <v>941</v>
      </c>
      <c r="AA53" s="10"/>
      <c r="AB53" s="10"/>
      <c r="AC53" s="10"/>
    </row>
    <row r="54" spans="1:29" hidden="1" x14ac:dyDescent="0.25">
      <c r="A54" s="10" t="s">
        <v>287</v>
      </c>
      <c r="B54" s="10" t="s">
        <v>549</v>
      </c>
      <c r="C54" s="10" t="s">
        <v>25</v>
      </c>
      <c r="D54" s="10" t="s">
        <v>238</v>
      </c>
      <c r="E54" s="10" t="s">
        <v>290</v>
      </c>
      <c r="F54" s="10" t="s">
        <v>237</v>
      </c>
      <c r="G54" s="10" t="s">
        <v>552</v>
      </c>
      <c r="H54" s="12">
        <v>10.11</v>
      </c>
      <c r="I54">
        <v>1</v>
      </c>
      <c r="J54" s="12">
        <v>10.11</v>
      </c>
      <c r="K54" s="10" t="s">
        <v>284</v>
      </c>
      <c r="L54" s="2">
        <v>45832.875</v>
      </c>
      <c r="M54" s="10"/>
      <c r="N54">
        <v>0</v>
      </c>
      <c r="O54" s="10"/>
      <c r="P54">
        <v>0</v>
      </c>
      <c r="Q54">
        <v>0</v>
      </c>
      <c r="R54">
        <v>0</v>
      </c>
      <c r="S54">
        <v>0</v>
      </c>
      <c r="T54">
        <v>0</v>
      </c>
      <c r="U54">
        <v>0</v>
      </c>
      <c r="V54">
        <v>0</v>
      </c>
      <c r="W54">
        <v>0.4</v>
      </c>
      <c r="X54" s="13">
        <v>19.125</v>
      </c>
      <c r="Y54" s="10" t="s">
        <v>901</v>
      </c>
      <c r="Z54" s="10" t="s">
        <v>941</v>
      </c>
      <c r="AA54" s="10"/>
      <c r="AB54" s="10"/>
      <c r="AC54" s="10"/>
    </row>
    <row r="55" spans="1:29" hidden="1" x14ac:dyDescent="0.25">
      <c r="A55" s="10" t="s">
        <v>287</v>
      </c>
      <c r="B55" s="10" t="s">
        <v>549</v>
      </c>
      <c r="C55" s="10" t="s">
        <v>11</v>
      </c>
      <c r="D55" s="10" t="s">
        <v>236</v>
      </c>
      <c r="E55" s="10" t="s">
        <v>290</v>
      </c>
      <c r="F55" s="10" t="s">
        <v>235</v>
      </c>
      <c r="G55" s="10" t="s">
        <v>553</v>
      </c>
      <c r="H55" s="12">
        <v>10.11</v>
      </c>
      <c r="I55">
        <v>1</v>
      </c>
      <c r="J55" s="12">
        <v>10.11</v>
      </c>
      <c r="K55" s="10" t="s">
        <v>284</v>
      </c>
      <c r="L55" s="2">
        <v>45832.875</v>
      </c>
      <c r="M55" s="10"/>
      <c r="N55">
        <v>0</v>
      </c>
      <c r="O55" s="10"/>
      <c r="P55">
        <v>0</v>
      </c>
      <c r="Q55">
        <v>0</v>
      </c>
      <c r="R55">
        <v>0</v>
      </c>
      <c r="S55">
        <v>0</v>
      </c>
      <c r="T55">
        <v>0</v>
      </c>
      <c r="U55">
        <v>0</v>
      </c>
      <c r="V55">
        <v>0</v>
      </c>
      <c r="W55">
        <v>0.56000000000000005</v>
      </c>
      <c r="X55" s="13">
        <v>19.125</v>
      </c>
      <c r="Y55" s="10" t="s">
        <v>901</v>
      </c>
      <c r="Z55" s="10" t="s">
        <v>941</v>
      </c>
      <c r="AA55" s="10"/>
      <c r="AB55" s="10"/>
      <c r="AC55" s="10"/>
    </row>
    <row r="56" spans="1:29" hidden="1" x14ac:dyDescent="0.25">
      <c r="A56" s="10" t="s">
        <v>287</v>
      </c>
      <c r="B56" s="10" t="s">
        <v>549</v>
      </c>
      <c r="C56" s="10" t="s">
        <v>8</v>
      </c>
      <c r="D56" s="10" t="s">
        <v>5</v>
      </c>
      <c r="E56" s="10" t="s">
        <v>290</v>
      </c>
      <c r="F56" s="10" t="s">
        <v>234</v>
      </c>
      <c r="G56" s="10" t="s">
        <v>554</v>
      </c>
      <c r="H56" s="12">
        <v>10.210000000000001</v>
      </c>
      <c r="I56">
        <v>1</v>
      </c>
      <c r="J56" s="12">
        <v>10.210000000000001</v>
      </c>
      <c r="K56" s="10" t="s">
        <v>284</v>
      </c>
      <c r="L56" s="2">
        <v>45832.875</v>
      </c>
      <c r="M56" s="10"/>
      <c r="N56">
        <v>0</v>
      </c>
      <c r="O56" s="10"/>
      <c r="P56">
        <v>0</v>
      </c>
      <c r="Q56">
        <v>0</v>
      </c>
      <c r="R56">
        <v>0</v>
      </c>
      <c r="S56">
        <v>0</v>
      </c>
      <c r="T56">
        <v>0</v>
      </c>
      <c r="U56">
        <v>0</v>
      </c>
      <c r="V56">
        <v>0</v>
      </c>
      <c r="W56">
        <v>0.8</v>
      </c>
      <c r="X56" s="13">
        <v>19.125</v>
      </c>
      <c r="Y56" s="10" t="s">
        <v>901</v>
      </c>
      <c r="Z56" s="10" t="s">
        <v>941</v>
      </c>
      <c r="AA56" s="10"/>
      <c r="AB56" s="10"/>
      <c r="AC56" s="10"/>
    </row>
    <row r="57" spans="1:29" hidden="1" x14ac:dyDescent="0.25">
      <c r="A57" s="10" t="s">
        <v>287</v>
      </c>
      <c r="B57" s="10" t="s">
        <v>549</v>
      </c>
      <c r="C57" s="10" t="s">
        <v>7</v>
      </c>
      <c r="D57" s="10" t="s">
        <v>188</v>
      </c>
      <c r="E57" s="10" t="s">
        <v>290</v>
      </c>
      <c r="F57" s="10" t="s">
        <v>189</v>
      </c>
      <c r="G57" s="10" t="s">
        <v>570</v>
      </c>
      <c r="H57" s="12">
        <v>10.210000000000001</v>
      </c>
      <c r="I57">
        <v>1</v>
      </c>
      <c r="J57" s="12">
        <v>10.210000000000001</v>
      </c>
      <c r="K57" s="10" t="s">
        <v>284</v>
      </c>
      <c r="L57" s="2">
        <v>45832.875</v>
      </c>
      <c r="M57" s="10"/>
      <c r="N57">
        <v>0</v>
      </c>
      <c r="O57" s="10"/>
      <c r="P57">
        <v>0</v>
      </c>
      <c r="Q57">
        <v>0</v>
      </c>
      <c r="R57">
        <v>0</v>
      </c>
      <c r="S57">
        <v>0</v>
      </c>
      <c r="T57">
        <v>0</v>
      </c>
      <c r="U57">
        <v>0</v>
      </c>
      <c r="V57">
        <v>0</v>
      </c>
      <c r="W57">
        <v>0.96</v>
      </c>
      <c r="X57" s="13">
        <v>19.125</v>
      </c>
      <c r="Y57" s="10" t="s">
        <v>901</v>
      </c>
      <c r="Z57" s="10" t="s">
        <v>941</v>
      </c>
      <c r="AA57" s="10"/>
      <c r="AB57" s="10"/>
      <c r="AC57" s="10"/>
    </row>
    <row r="58" spans="1:29" hidden="1" x14ac:dyDescent="0.25">
      <c r="A58" s="10" t="s">
        <v>287</v>
      </c>
      <c r="B58" s="10" t="s">
        <v>549</v>
      </c>
      <c r="C58" s="10" t="s">
        <v>10</v>
      </c>
      <c r="D58" s="10" t="s">
        <v>192</v>
      </c>
      <c r="E58" s="10" t="s">
        <v>290</v>
      </c>
      <c r="F58" s="10" t="s">
        <v>193</v>
      </c>
      <c r="G58" s="10" t="s">
        <v>555</v>
      </c>
      <c r="H58" s="12">
        <v>10.210000000000001</v>
      </c>
      <c r="I58">
        <v>1</v>
      </c>
      <c r="J58" s="12">
        <v>10.210000000000001</v>
      </c>
      <c r="K58" s="10" t="s">
        <v>284</v>
      </c>
      <c r="L58" s="2">
        <v>45832.875</v>
      </c>
      <c r="M58" s="10"/>
      <c r="N58">
        <v>0</v>
      </c>
      <c r="O58" s="10"/>
      <c r="P58">
        <v>0</v>
      </c>
      <c r="Q58">
        <v>0</v>
      </c>
      <c r="R58">
        <v>0</v>
      </c>
      <c r="S58">
        <v>0</v>
      </c>
      <c r="T58">
        <v>0</v>
      </c>
      <c r="U58">
        <v>0</v>
      </c>
      <c r="V58">
        <v>0</v>
      </c>
      <c r="W58">
        <v>1.2</v>
      </c>
      <c r="X58" s="13">
        <v>19.125</v>
      </c>
      <c r="Y58" s="10" t="s">
        <v>901</v>
      </c>
      <c r="Z58" s="10" t="s">
        <v>941</v>
      </c>
      <c r="AA58" s="10"/>
      <c r="AB58" s="10"/>
      <c r="AC58" s="10"/>
    </row>
    <row r="59" spans="1:29" hidden="1" x14ac:dyDescent="0.25">
      <c r="A59" s="10" t="s">
        <v>287</v>
      </c>
      <c r="B59" s="10" t="s">
        <v>549</v>
      </c>
      <c r="C59" s="10" t="s">
        <v>24</v>
      </c>
      <c r="D59" s="10" t="s">
        <v>233</v>
      </c>
      <c r="E59" s="10" t="s">
        <v>290</v>
      </c>
      <c r="F59" s="10" t="s">
        <v>232</v>
      </c>
      <c r="G59" s="10" t="s">
        <v>556</v>
      </c>
      <c r="H59" s="12">
        <v>10.210000000000001</v>
      </c>
      <c r="I59">
        <v>1</v>
      </c>
      <c r="J59" s="12">
        <v>10.210000000000001</v>
      </c>
      <c r="K59" s="10" t="s">
        <v>284</v>
      </c>
      <c r="L59" s="2">
        <v>45832.875</v>
      </c>
      <c r="M59" s="10"/>
      <c r="N59">
        <v>0</v>
      </c>
      <c r="O59" s="10"/>
      <c r="P59">
        <v>0</v>
      </c>
      <c r="Q59">
        <v>0</v>
      </c>
      <c r="R59">
        <v>0</v>
      </c>
      <c r="S59">
        <v>0</v>
      </c>
      <c r="T59">
        <v>0</v>
      </c>
      <c r="U59">
        <v>0</v>
      </c>
      <c r="V59">
        <v>0</v>
      </c>
      <c r="W59">
        <v>2</v>
      </c>
      <c r="X59" s="13">
        <v>19.125</v>
      </c>
      <c r="Y59" s="10" t="s">
        <v>901</v>
      </c>
      <c r="Z59" s="10" t="s">
        <v>941</v>
      </c>
      <c r="AA59" s="10"/>
      <c r="AB59" s="10"/>
      <c r="AC59" s="10"/>
    </row>
    <row r="60" spans="1:29" hidden="1" x14ac:dyDescent="0.25">
      <c r="A60" s="10" t="s">
        <v>287</v>
      </c>
      <c r="B60" s="10" t="s">
        <v>549</v>
      </c>
      <c r="C60" s="10" t="s">
        <v>2</v>
      </c>
      <c r="D60" s="10" t="s">
        <v>558</v>
      </c>
      <c r="E60" s="10" t="s">
        <v>290</v>
      </c>
      <c r="F60" s="10" t="s">
        <v>557</v>
      </c>
      <c r="G60" s="10" t="s">
        <v>559</v>
      </c>
      <c r="H60" s="12">
        <v>10.210000000000001</v>
      </c>
      <c r="I60">
        <v>1</v>
      </c>
      <c r="J60" s="12">
        <v>10.210000000000001</v>
      </c>
      <c r="K60" s="10" t="s">
        <v>284</v>
      </c>
      <c r="L60" s="2">
        <v>45832.875</v>
      </c>
      <c r="M60" s="10"/>
      <c r="N60">
        <v>0</v>
      </c>
      <c r="O60" s="10"/>
      <c r="P60">
        <v>0</v>
      </c>
      <c r="Q60">
        <v>0</v>
      </c>
      <c r="R60">
        <v>0</v>
      </c>
      <c r="S60">
        <v>0</v>
      </c>
      <c r="T60">
        <v>0</v>
      </c>
      <c r="U60">
        <v>0</v>
      </c>
      <c r="V60">
        <v>0</v>
      </c>
      <c r="W60">
        <v>2.4</v>
      </c>
      <c r="X60" s="13">
        <v>19.125</v>
      </c>
      <c r="Y60" s="10" t="s">
        <v>901</v>
      </c>
      <c r="Z60" s="10" t="s">
        <v>941</v>
      </c>
      <c r="AA60" s="10"/>
      <c r="AB60" s="10"/>
      <c r="AC60" s="10"/>
    </row>
    <row r="61" spans="1:29" x14ac:dyDescent="0.25">
      <c r="A61" s="10" t="s">
        <v>287</v>
      </c>
      <c r="B61" s="10" t="s">
        <v>549</v>
      </c>
      <c r="C61" s="10" t="s">
        <v>2</v>
      </c>
      <c r="D61" s="10" t="s">
        <v>231</v>
      </c>
      <c r="E61" s="10" t="s">
        <v>285</v>
      </c>
      <c r="F61" s="10" t="s">
        <v>230</v>
      </c>
      <c r="G61" s="10" t="s">
        <v>550</v>
      </c>
      <c r="H61" s="12">
        <v>37.479999999999997</v>
      </c>
      <c r="I61">
        <v>1</v>
      </c>
      <c r="J61" s="12">
        <v>37.479999999999997</v>
      </c>
      <c r="K61" s="10" t="s">
        <v>284</v>
      </c>
      <c r="L61" s="2">
        <v>45832.875</v>
      </c>
      <c r="M61" s="10"/>
      <c r="N61">
        <v>0</v>
      </c>
      <c r="O61" s="10"/>
      <c r="P61">
        <v>0</v>
      </c>
      <c r="Q61">
        <v>0</v>
      </c>
      <c r="R61">
        <v>0</v>
      </c>
      <c r="S61">
        <v>0</v>
      </c>
      <c r="T61">
        <v>0</v>
      </c>
      <c r="U61">
        <v>0</v>
      </c>
      <c r="V61">
        <v>0</v>
      </c>
      <c r="W61">
        <v>0</v>
      </c>
      <c r="X61" s="13">
        <v>30.125</v>
      </c>
      <c r="Y61" s="10" t="s">
        <v>901</v>
      </c>
      <c r="Z61" s="10" t="s">
        <v>941</v>
      </c>
      <c r="AA61" s="10">
        <v>0.1</v>
      </c>
      <c r="AB61" s="10">
        <v>0.2</v>
      </c>
      <c r="AC61" s="10"/>
    </row>
    <row r="62" spans="1:29" hidden="1" x14ac:dyDescent="0.25">
      <c r="A62" s="10" t="s">
        <v>287</v>
      </c>
      <c r="B62" s="10" t="s">
        <v>549</v>
      </c>
      <c r="C62" s="10" t="s">
        <v>2</v>
      </c>
      <c r="D62" s="10"/>
      <c r="E62" s="10" t="s">
        <v>285</v>
      </c>
      <c r="F62" s="10" t="s">
        <v>191</v>
      </c>
      <c r="G62" s="10" t="s">
        <v>560</v>
      </c>
      <c r="H62" s="12">
        <v>18.23</v>
      </c>
      <c r="I62">
        <v>1</v>
      </c>
      <c r="J62" s="12">
        <v>18.23</v>
      </c>
      <c r="K62" s="10" t="s">
        <v>284</v>
      </c>
      <c r="L62" s="2">
        <v>45832.875</v>
      </c>
      <c r="M62" s="10"/>
      <c r="N62">
        <v>0</v>
      </c>
      <c r="O62" s="10"/>
      <c r="P62">
        <v>0</v>
      </c>
      <c r="Q62">
        <v>0</v>
      </c>
      <c r="R62">
        <v>0</v>
      </c>
      <c r="S62">
        <v>0</v>
      </c>
      <c r="T62">
        <v>0</v>
      </c>
      <c r="U62">
        <v>0</v>
      </c>
      <c r="V62">
        <v>0</v>
      </c>
      <c r="W62">
        <v>0</v>
      </c>
      <c r="X62" s="13">
        <v>30.125</v>
      </c>
      <c r="Y62" s="10" t="s">
        <v>901</v>
      </c>
      <c r="Z62" s="10" t="s">
        <v>941</v>
      </c>
      <c r="AA62" s="10">
        <v>0.1</v>
      </c>
      <c r="AB62" s="10">
        <v>0.2</v>
      </c>
      <c r="AC62" s="10"/>
    </row>
    <row r="63" spans="1:29" hidden="1" x14ac:dyDescent="0.25">
      <c r="A63" s="10" t="s">
        <v>287</v>
      </c>
      <c r="B63" s="10" t="s">
        <v>288</v>
      </c>
      <c r="C63" s="10" t="s">
        <v>944</v>
      </c>
      <c r="D63" s="10"/>
      <c r="E63" s="10" t="s">
        <v>285</v>
      </c>
      <c r="F63" s="10" t="s">
        <v>249</v>
      </c>
      <c r="G63" s="10" t="s">
        <v>561</v>
      </c>
      <c r="H63" s="12">
        <v>33.729999999999997</v>
      </c>
      <c r="I63">
        <v>1</v>
      </c>
      <c r="J63" s="12">
        <v>33.729999999999997</v>
      </c>
      <c r="K63" s="10" t="s">
        <v>284</v>
      </c>
      <c r="L63" s="2">
        <v>45832.875</v>
      </c>
      <c r="M63" s="10"/>
      <c r="N63">
        <v>0</v>
      </c>
      <c r="O63" s="10"/>
      <c r="P63">
        <v>0</v>
      </c>
      <c r="Q63">
        <v>0</v>
      </c>
      <c r="R63">
        <v>0</v>
      </c>
      <c r="S63">
        <v>0</v>
      </c>
      <c r="T63">
        <v>0</v>
      </c>
      <c r="U63">
        <v>0</v>
      </c>
      <c r="V63">
        <v>0</v>
      </c>
      <c r="W63">
        <v>0</v>
      </c>
      <c r="X63" s="13">
        <v>30.125</v>
      </c>
      <c r="Y63" s="10" t="s">
        <v>901</v>
      </c>
      <c r="Z63" s="10" t="s">
        <v>941</v>
      </c>
      <c r="AA63" s="10">
        <v>0.1</v>
      </c>
      <c r="AB63" s="10">
        <v>0.2</v>
      </c>
      <c r="AC63" s="10"/>
    </row>
    <row r="64" spans="1:29" hidden="1" x14ac:dyDescent="0.25">
      <c r="A64" s="10" t="s">
        <v>301</v>
      </c>
      <c r="B64" s="10" t="s">
        <v>961</v>
      </c>
      <c r="C64" s="10" t="s">
        <v>321</v>
      </c>
      <c r="D64" s="10" t="s">
        <v>320</v>
      </c>
      <c r="E64" s="10" t="s">
        <v>285</v>
      </c>
      <c r="F64" s="10" t="s">
        <v>317</v>
      </c>
      <c r="G64" s="10" t="s">
        <v>356</v>
      </c>
      <c r="H64" s="12">
        <v>178.12</v>
      </c>
      <c r="I64">
        <v>1</v>
      </c>
      <c r="J64" s="12">
        <v>178.12</v>
      </c>
      <c r="K64" s="10" t="s">
        <v>284</v>
      </c>
      <c r="L64" s="2">
        <v>45832.875</v>
      </c>
      <c r="M64" s="10"/>
      <c r="N64">
        <v>0</v>
      </c>
      <c r="O64" s="10"/>
      <c r="P64">
        <v>0</v>
      </c>
      <c r="Q64">
        <v>0</v>
      </c>
      <c r="R64">
        <v>0</v>
      </c>
      <c r="S64">
        <v>0</v>
      </c>
      <c r="T64">
        <v>0</v>
      </c>
      <c r="U64">
        <v>0</v>
      </c>
      <c r="V64">
        <v>0</v>
      </c>
      <c r="W64">
        <v>0</v>
      </c>
      <c r="X64" s="13">
        <v>28.125</v>
      </c>
      <c r="Y64" s="10" t="s">
        <v>901</v>
      </c>
      <c r="Z64" s="10" t="s">
        <v>941</v>
      </c>
      <c r="AA64" s="10"/>
      <c r="AB64" s="10">
        <v>0.5</v>
      </c>
      <c r="AC64" s="10"/>
    </row>
    <row r="65" spans="1:29" hidden="1" x14ac:dyDescent="0.25">
      <c r="A65" s="10" t="s">
        <v>301</v>
      </c>
      <c r="B65" s="10" t="s">
        <v>961</v>
      </c>
      <c r="C65" s="10" t="s">
        <v>363</v>
      </c>
      <c r="D65" s="10" t="s">
        <v>364</v>
      </c>
      <c r="E65" s="10" t="s">
        <v>285</v>
      </c>
      <c r="F65" s="10" t="s">
        <v>359</v>
      </c>
      <c r="G65" s="10" t="s">
        <v>365</v>
      </c>
      <c r="H65" s="12">
        <v>204.66</v>
      </c>
      <c r="I65">
        <v>1</v>
      </c>
      <c r="J65" s="12">
        <v>204.66</v>
      </c>
      <c r="K65" s="10" t="s">
        <v>284</v>
      </c>
      <c r="L65" s="2">
        <v>45832.875</v>
      </c>
      <c r="M65" s="10"/>
      <c r="N65">
        <v>0</v>
      </c>
      <c r="O65" s="10"/>
      <c r="P65">
        <v>0</v>
      </c>
      <c r="Q65">
        <v>0</v>
      </c>
      <c r="R65">
        <v>0</v>
      </c>
      <c r="S65">
        <v>0</v>
      </c>
      <c r="T65">
        <v>0</v>
      </c>
      <c r="U65">
        <v>0</v>
      </c>
      <c r="V65">
        <v>0</v>
      </c>
      <c r="W65">
        <v>0</v>
      </c>
      <c r="X65" s="13">
        <v>28.125</v>
      </c>
      <c r="Y65" s="10" t="s">
        <v>901</v>
      </c>
      <c r="Z65" s="10" t="s">
        <v>941</v>
      </c>
      <c r="AA65" s="10"/>
      <c r="AB65" s="10">
        <v>0.5</v>
      </c>
      <c r="AC65" s="10"/>
    </row>
    <row r="66" spans="1:29" hidden="1" x14ac:dyDescent="0.25">
      <c r="A66" s="10" t="s">
        <v>301</v>
      </c>
      <c r="B66" s="10" t="s">
        <v>961</v>
      </c>
      <c r="C66" s="10" t="s">
        <v>302</v>
      </c>
      <c r="D66" s="10" t="s">
        <v>111</v>
      </c>
      <c r="E66" s="10" t="s">
        <v>285</v>
      </c>
      <c r="F66" s="10" t="s">
        <v>104</v>
      </c>
      <c r="G66" s="10" t="s">
        <v>478</v>
      </c>
      <c r="H66" s="12">
        <v>252.6</v>
      </c>
      <c r="I66">
        <v>1</v>
      </c>
      <c r="J66" s="12">
        <v>252.6</v>
      </c>
      <c r="K66" s="10" t="s">
        <v>284</v>
      </c>
      <c r="L66" s="2">
        <v>45832.875</v>
      </c>
      <c r="M66" s="10"/>
      <c r="N66">
        <v>0</v>
      </c>
      <c r="O66" s="10"/>
      <c r="P66">
        <v>0</v>
      </c>
      <c r="Q66">
        <v>0</v>
      </c>
      <c r="R66">
        <v>0</v>
      </c>
      <c r="S66">
        <v>0</v>
      </c>
      <c r="T66">
        <v>0</v>
      </c>
      <c r="U66">
        <v>0</v>
      </c>
      <c r="V66">
        <v>0</v>
      </c>
      <c r="W66">
        <v>25</v>
      </c>
      <c r="X66" s="13">
        <v>28.125</v>
      </c>
      <c r="Y66" s="10" t="s">
        <v>901</v>
      </c>
      <c r="Z66" s="10" t="s">
        <v>941</v>
      </c>
      <c r="AA66" s="10"/>
      <c r="AB66" s="10">
        <v>0.5</v>
      </c>
      <c r="AC66" s="10"/>
    </row>
    <row r="67" spans="1:29" hidden="1" x14ac:dyDescent="0.25">
      <c r="A67" s="10" t="s">
        <v>301</v>
      </c>
      <c r="B67" s="10" t="s">
        <v>961</v>
      </c>
      <c r="C67" s="10" t="s">
        <v>303</v>
      </c>
      <c r="D67" s="10" t="s">
        <v>112</v>
      </c>
      <c r="E67" s="10" t="s">
        <v>285</v>
      </c>
      <c r="F67" s="10" t="s">
        <v>105</v>
      </c>
      <c r="G67" s="10" t="s">
        <v>479</v>
      </c>
      <c r="H67" s="12">
        <v>296.29000000000002</v>
      </c>
      <c r="I67">
        <v>1</v>
      </c>
      <c r="J67" s="12">
        <v>296.29000000000002</v>
      </c>
      <c r="K67" s="10" t="s">
        <v>284</v>
      </c>
      <c r="L67" s="2">
        <v>45832.875</v>
      </c>
      <c r="M67" s="10"/>
      <c r="N67">
        <v>0</v>
      </c>
      <c r="O67" s="10"/>
      <c r="P67">
        <v>0</v>
      </c>
      <c r="Q67">
        <v>0</v>
      </c>
      <c r="R67">
        <v>0</v>
      </c>
      <c r="S67">
        <v>0</v>
      </c>
      <c r="T67">
        <v>0</v>
      </c>
      <c r="U67">
        <v>0</v>
      </c>
      <c r="V67">
        <v>0</v>
      </c>
      <c r="W67">
        <v>39</v>
      </c>
      <c r="X67" s="13">
        <v>28.125</v>
      </c>
      <c r="Y67" s="10" t="s">
        <v>901</v>
      </c>
      <c r="Z67" s="10" t="s">
        <v>941</v>
      </c>
      <c r="AA67" s="10"/>
      <c r="AB67" s="10">
        <v>0.5</v>
      </c>
      <c r="AC67" s="10"/>
    </row>
    <row r="68" spans="1:29" hidden="1" x14ac:dyDescent="0.25">
      <c r="A68" s="10" t="s">
        <v>301</v>
      </c>
      <c r="B68" s="10" t="s">
        <v>961</v>
      </c>
      <c r="C68" s="10" t="s">
        <v>304</v>
      </c>
      <c r="D68" s="10" t="s">
        <v>131</v>
      </c>
      <c r="E68" s="10" t="s">
        <v>285</v>
      </c>
      <c r="F68" s="10" t="s">
        <v>130</v>
      </c>
      <c r="G68" s="10" t="s">
        <v>480</v>
      </c>
      <c r="H68" s="12">
        <v>309.12</v>
      </c>
      <c r="I68">
        <v>1</v>
      </c>
      <c r="J68" s="12">
        <v>309.12</v>
      </c>
      <c r="K68" s="10" t="s">
        <v>284</v>
      </c>
      <c r="L68" s="2">
        <v>45832.875</v>
      </c>
      <c r="M68" s="10"/>
      <c r="N68">
        <v>0</v>
      </c>
      <c r="O68" s="10"/>
      <c r="P68">
        <v>0</v>
      </c>
      <c r="Q68">
        <v>0</v>
      </c>
      <c r="R68">
        <v>0</v>
      </c>
      <c r="S68">
        <v>0</v>
      </c>
      <c r="T68">
        <v>0</v>
      </c>
      <c r="U68">
        <v>0</v>
      </c>
      <c r="V68">
        <v>0</v>
      </c>
      <c r="W68">
        <v>42</v>
      </c>
      <c r="X68" s="13">
        <v>28.125</v>
      </c>
      <c r="Y68" s="10" t="s">
        <v>901</v>
      </c>
      <c r="Z68" s="10" t="s">
        <v>941</v>
      </c>
      <c r="AA68" s="10"/>
      <c r="AB68" s="10">
        <v>0.5</v>
      </c>
      <c r="AC68" s="10"/>
    </row>
    <row r="69" spans="1:29" hidden="1" x14ac:dyDescent="0.25">
      <c r="A69" s="10" t="s">
        <v>301</v>
      </c>
      <c r="B69" s="10" t="s">
        <v>961</v>
      </c>
      <c r="C69" s="10" t="s">
        <v>305</v>
      </c>
      <c r="D69" s="10" t="s">
        <v>136</v>
      </c>
      <c r="E69" s="10" t="s">
        <v>285</v>
      </c>
      <c r="F69" s="10" t="s">
        <v>135</v>
      </c>
      <c r="G69" s="10" t="s">
        <v>481</v>
      </c>
      <c r="H69" s="12">
        <v>418.19</v>
      </c>
      <c r="I69">
        <v>1</v>
      </c>
      <c r="J69" s="12">
        <v>418.19</v>
      </c>
      <c r="K69" s="10" t="s">
        <v>284</v>
      </c>
      <c r="L69" s="2">
        <v>45832.875</v>
      </c>
      <c r="M69" s="10"/>
      <c r="N69">
        <v>0</v>
      </c>
      <c r="O69" s="10"/>
      <c r="P69">
        <v>0</v>
      </c>
      <c r="Q69">
        <v>0</v>
      </c>
      <c r="R69">
        <v>0</v>
      </c>
      <c r="S69">
        <v>0</v>
      </c>
      <c r="T69">
        <v>0</v>
      </c>
      <c r="U69">
        <v>0</v>
      </c>
      <c r="V69">
        <v>0</v>
      </c>
      <c r="W69">
        <v>46</v>
      </c>
      <c r="X69" s="13">
        <v>28.125</v>
      </c>
      <c r="Y69" s="10" t="s">
        <v>901</v>
      </c>
      <c r="Z69" s="10" t="s">
        <v>941</v>
      </c>
      <c r="AA69" s="10"/>
      <c r="AB69" s="10">
        <v>0.5</v>
      </c>
      <c r="AC69" s="10"/>
    </row>
    <row r="70" spans="1:29" hidden="1" x14ac:dyDescent="0.25">
      <c r="A70" s="10" t="s">
        <v>301</v>
      </c>
      <c r="B70" s="10" t="s">
        <v>961</v>
      </c>
      <c r="C70" s="10" t="s">
        <v>306</v>
      </c>
      <c r="D70" s="10" t="s">
        <v>96</v>
      </c>
      <c r="E70" s="10" t="s">
        <v>285</v>
      </c>
      <c r="F70" s="10" t="s">
        <v>92</v>
      </c>
      <c r="G70" s="10" t="s">
        <v>482</v>
      </c>
      <c r="H70" s="12">
        <v>426.43</v>
      </c>
      <c r="I70">
        <v>1</v>
      </c>
      <c r="J70" s="12">
        <v>426.43</v>
      </c>
      <c r="K70" s="10" t="s">
        <v>284</v>
      </c>
      <c r="L70" s="2">
        <v>45832.875</v>
      </c>
      <c r="M70" s="10"/>
      <c r="N70">
        <v>0</v>
      </c>
      <c r="O70" s="10"/>
      <c r="P70">
        <v>0</v>
      </c>
      <c r="Q70">
        <v>0</v>
      </c>
      <c r="R70">
        <v>0</v>
      </c>
      <c r="S70">
        <v>0</v>
      </c>
      <c r="T70">
        <v>0</v>
      </c>
      <c r="U70">
        <v>0</v>
      </c>
      <c r="V70">
        <v>0</v>
      </c>
      <c r="W70">
        <v>50</v>
      </c>
      <c r="X70" s="13">
        <v>28.125</v>
      </c>
      <c r="Y70" s="10" t="s">
        <v>901</v>
      </c>
      <c r="Z70" s="10" t="s">
        <v>941</v>
      </c>
      <c r="AA70" s="10"/>
      <c r="AB70" s="10">
        <v>0.5</v>
      </c>
      <c r="AC70" s="10"/>
    </row>
    <row r="71" spans="1:29" hidden="1" x14ac:dyDescent="0.25">
      <c r="A71" s="10" t="s">
        <v>301</v>
      </c>
      <c r="B71" s="10" t="s">
        <v>961</v>
      </c>
      <c r="C71" s="10" t="s">
        <v>307</v>
      </c>
      <c r="D71" s="10" t="s">
        <v>137</v>
      </c>
      <c r="E71" s="10" t="s">
        <v>285</v>
      </c>
      <c r="F71" s="10" t="s">
        <v>126</v>
      </c>
      <c r="G71" s="10" t="s">
        <v>483</v>
      </c>
      <c r="H71" s="12">
        <v>560.86</v>
      </c>
      <c r="I71">
        <v>1</v>
      </c>
      <c r="J71" s="12">
        <v>560.86</v>
      </c>
      <c r="K71" s="10" t="s">
        <v>284</v>
      </c>
      <c r="L71" s="2">
        <v>45832.875</v>
      </c>
      <c r="M71" s="10"/>
      <c r="N71">
        <v>0</v>
      </c>
      <c r="O71" s="10"/>
      <c r="P71">
        <v>0</v>
      </c>
      <c r="Q71">
        <v>0</v>
      </c>
      <c r="R71">
        <v>0</v>
      </c>
      <c r="S71">
        <v>0</v>
      </c>
      <c r="T71">
        <v>0</v>
      </c>
      <c r="U71">
        <v>0</v>
      </c>
      <c r="V71">
        <v>0</v>
      </c>
      <c r="W71">
        <v>82</v>
      </c>
      <c r="X71" s="13">
        <v>28.125</v>
      </c>
      <c r="Y71" s="10" t="s">
        <v>901</v>
      </c>
      <c r="Z71" s="10" t="s">
        <v>941</v>
      </c>
      <c r="AA71" s="10"/>
      <c r="AB71" s="10">
        <v>0.5</v>
      </c>
      <c r="AC71" s="10"/>
    </row>
    <row r="72" spans="1:29" hidden="1" x14ac:dyDescent="0.25">
      <c r="A72" s="10" t="s">
        <v>301</v>
      </c>
      <c r="B72" s="10" t="s">
        <v>961</v>
      </c>
      <c r="C72" s="10" t="s">
        <v>308</v>
      </c>
      <c r="D72" s="10" t="s">
        <v>114</v>
      </c>
      <c r="E72" s="10" t="s">
        <v>285</v>
      </c>
      <c r="F72" s="10" t="s">
        <v>88</v>
      </c>
      <c r="G72" s="10" t="s">
        <v>484</v>
      </c>
      <c r="H72" s="12">
        <v>704.73</v>
      </c>
      <c r="I72">
        <v>1</v>
      </c>
      <c r="J72" s="12">
        <v>704.73</v>
      </c>
      <c r="K72" s="10" t="s">
        <v>284</v>
      </c>
      <c r="L72" s="2">
        <v>45832.875</v>
      </c>
      <c r="M72" s="10"/>
      <c r="N72">
        <v>0</v>
      </c>
      <c r="O72" s="10"/>
      <c r="P72">
        <v>0</v>
      </c>
      <c r="Q72">
        <v>0</v>
      </c>
      <c r="R72">
        <v>0</v>
      </c>
      <c r="S72">
        <v>0</v>
      </c>
      <c r="T72">
        <v>0</v>
      </c>
      <c r="U72">
        <v>0</v>
      </c>
      <c r="V72">
        <v>0</v>
      </c>
      <c r="W72">
        <v>94</v>
      </c>
      <c r="X72" s="13">
        <v>28.125</v>
      </c>
      <c r="Y72" s="10" t="s">
        <v>901</v>
      </c>
      <c r="Z72" s="10" t="s">
        <v>941</v>
      </c>
      <c r="AA72" s="10"/>
      <c r="AB72" s="10">
        <v>0.5</v>
      </c>
      <c r="AC72" s="10"/>
    </row>
    <row r="73" spans="1:29" hidden="1" x14ac:dyDescent="0.25">
      <c r="A73" s="10" t="s">
        <v>301</v>
      </c>
      <c r="B73" s="10" t="s">
        <v>961</v>
      </c>
      <c r="C73" s="10" t="s">
        <v>309</v>
      </c>
      <c r="D73" s="10" t="s">
        <v>73</v>
      </c>
      <c r="E73" s="10" t="s">
        <v>285</v>
      </c>
      <c r="F73" s="10" t="s">
        <v>68</v>
      </c>
      <c r="G73" s="10" t="s">
        <v>485</v>
      </c>
      <c r="H73" s="12">
        <v>796.35</v>
      </c>
      <c r="I73">
        <v>1</v>
      </c>
      <c r="J73" s="12">
        <v>796.35</v>
      </c>
      <c r="K73" s="10" t="s">
        <v>284</v>
      </c>
      <c r="L73" s="2">
        <v>45832.875</v>
      </c>
      <c r="M73" s="10"/>
      <c r="N73">
        <v>0</v>
      </c>
      <c r="O73" s="10"/>
      <c r="P73">
        <v>0</v>
      </c>
      <c r="Q73">
        <v>0</v>
      </c>
      <c r="R73">
        <v>0</v>
      </c>
      <c r="S73">
        <v>0</v>
      </c>
      <c r="T73">
        <v>0</v>
      </c>
      <c r="U73">
        <v>0</v>
      </c>
      <c r="V73">
        <v>0</v>
      </c>
      <c r="W73">
        <v>117</v>
      </c>
      <c r="X73" s="13">
        <v>28.125</v>
      </c>
      <c r="Y73" s="10" t="s">
        <v>901</v>
      </c>
      <c r="Z73" s="10" t="s">
        <v>941</v>
      </c>
      <c r="AA73" s="10"/>
      <c r="AB73" s="10">
        <v>0.5</v>
      </c>
      <c r="AC73" s="10"/>
    </row>
    <row r="74" spans="1:29" hidden="1" x14ac:dyDescent="0.25">
      <c r="A74" s="10" t="s">
        <v>301</v>
      </c>
      <c r="B74" s="10" t="s">
        <v>961</v>
      </c>
      <c r="C74" s="10" t="s">
        <v>310</v>
      </c>
      <c r="D74" s="10" t="s">
        <v>114</v>
      </c>
      <c r="E74" s="10" t="s">
        <v>285</v>
      </c>
      <c r="F74" s="10" t="s">
        <v>84</v>
      </c>
      <c r="G74" s="10" t="s">
        <v>486</v>
      </c>
      <c r="H74" s="12">
        <v>1219.8499999999999</v>
      </c>
      <c r="I74">
        <v>1</v>
      </c>
      <c r="J74" s="12">
        <v>1219.8499999999999</v>
      </c>
      <c r="K74" s="10" t="s">
        <v>284</v>
      </c>
      <c r="L74" s="2">
        <v>45832.875</v>
      </c>
      <c r="M74" s="10"/>
      <c r="N74">
        <v>0</v>
      </c>
      <c r="O74" s="10"/>
      <c r="P74">
        <v>0</v>
      </c>
      <c r="Q74">
        <v>0</v>
      </c>
      <c r="R74">
        <v>0</v>
      </c>
      <c r="S74">
        <v>0</v>
      </c>
      <c r="T74">
        <v>0</v>
      </c>
      <c r="U74">
        <v>0</v>
      </c>
      <c r="V74">
        <v>0</v>
      </c>
      <c r="W74">
        <v>112</v>
      </c>
      <c r="X74" s="13">
        <v>28.125</v>
      </c>
      <c r="Y74" s="10" t="s">
        <v>901</v>
      </c>
      <c r="Z74" s="10" t="s">
        <v>941</v>
      </c>
      <c r="AA74" s="10"/>
      <c r="AB74" s="10">
        <v>0.5</v>
      </c>
      <c r="AC74" s="10"/>
    </row>
    <row r="75" spans="1:29" hidden="1" x14ac:dyDescent="0.25">
      <c r="A75" s="10" t="s">
        <v>301</v>
      </c>
      <c r="B75" s="10" t="s">
        <v>961</v>
      </c>
      <c r="C75" s="10" t="s">
        <v>311</v>
      </c>
      <c r="D75" s="10" t="s">
        <v>115</v>
      </c>
      <c r="E75" s="10" t="s">
        <v>285</v>
      </c>
      <c r="F75" s="10" t="s">
        <v>99</v>
      </c>
      <c r="G75" s="10" t="s">
        <v>487</v>
      </c>
      <c r="H75" s="12">
        <v>998.2</v>
      </c>
      <c r="I75">
        <v>1</v>
      </c>
      <c r="J75" s="12">
        <v>998.2</v>
      </c>
      <c r="K75" s="10" t="s">
        <v>284</v>
      </c>
      <c r="L75" s="2">
        <v>45832.875</v>
      </c>
      <c r="M75" s="10"/>
      <c r="N75">
        <v>0</v>
      </c>
      <c r="O75" s="10"/>
      <c r="P75">
        <v>0</v>
      </c>
      <c r="Q75">
        <v>0</v>
      </c>
      <c r="R75">
        <v>0</v>
      </c>
      <c r="S75">
        <v>0</v>
      </c>
      <c r="T75">
        <v>0</v>
      </c>
      <c r="U75">
        <v>0</v>
      </c>
      <c r="V75">
        <v>0</v>
      </c>
      <c r="W75">
        <v>142</v>
      </c>
      <c r="X75" s="13">
        <v>28.125</v>
      </c>
      <c r="Y75" s="10" t="s">
        <v>901</v>
      </c>
      <c r="Z75" s="10" t="s">
        <v>941</v>
      </c>
      <c r="AA75" s="10"/>
      <c r="AB75" s="10">
        <v>0.5</v>
      </c>
      <c r="AC75" s="10"/>
    </row>
    <row r="76" spans="1:29" hidden="1" x14ac:dyDescent="0.25">
      <c r="A76" s="10" t="s">
        <v>301</v>
      </c>
      <c r="B76" s="10" t="s">
        <v>961</v>
      </c>
      <c r="C76" s="10" t="s">
        <v>312</v>
      </c>
      <c r="D76" s="10" t="s">
        <v>147</v>
      </c>
      <c r="E76" s="10" t="s">
        <v>285</v>
      </c>
      <c r="F76" s="10" t="s">
        <v>146</v>
      </c>
      <c r="G76" s="10" t="s">
        <v>488</v>
      </c>
      <c r="H76" s="12">
        <v>1393.09</v>
      </c>
      <c r="I76">
        <v>1</v>
      </c>
      <c r="J76" s="12">
        <v>1393.09</v>
      </c>
      <c r="K76" s="10" t="s">
        <v>284</v>
      </c>
      <c r="L76" s="2">
        <v>45832.875</v>
      </c>
      <c r="M76" s="10"/>
      <c r="N76">
        <v>0</v>
      </c>
      <c r="O76" s="10"/>
      <c r="P76">
        <v>0</v>
      </c>
      <c r="Q76">
        <v>0</v>
      </c>
      <c r="R76">
        <v>0</v>
      </c>
      <c r="S76">
        <v>0</v>
      </c>
      <c r="T76">
        <v>0</v>
      </c>
      <c r="U76">
        <v>0</v>
      </c>
      <c r="V76">
        <v>0</v>
      </c>
      <c r="W76">
        <v>116</v>
      </c>
      <c r="X76" s="13">
        <v>28.125</v>
      </c>
      <c r="Y76" s="10" t="s">
        <v>901</v>
      </c>
      <c r="Z76" s="10" t="s">
        <v>941</v>
      </c>
      <c r="AA76" s="10"/>
      <c r="AB76" s="10">
        <v>0.5</v>
      </c>
      <c r="AC76" s="10"/>
    </row>
    <row r="77" spans="1:29" hidden="1" x14ac:dyDescent="0.25">
      <c r="A77" s="10" t="s">
        <v>301</v>
      </c>
      <c r="B77" s="10" t="s">
        <v>961</v>
      </c>
      <c r="C77" s="10" t="s">
        <v>313</v>
      </c>
      <c r="D77" s="10" t="s">
        <v>152</v>
      </c>
      <c r="E77" s="10" t="s">
        <v>285</v>
      </c>
      <c r="F77" s="10" t="s">
        <v>151</v>
      </c>
      <c r="G77" s="10" t="s">
        <v>489</v>
      </c>
      <c r="H77" s="12">
        <v>1554.72</v>
      </c>
      <c r="I77">
        <v>1</v>
      </c>
      <c r="J77" s="12">
        <v>1554.72</v>
      </c>
      <c r="K77" s="10" t="s">
        <v>284</v>
      </c>
      <c r="L77" s="2">
        <v>45832.875</v>
      </c>
      <c r="M77" s="10"/>
      <c r="N77">
        <v>0</v>
      </c>
      <c r="O77" s="10"/>
      <c r="P77">
        <v>0</v>
      </c>
      <c r="Q77">
        <v>0</v>
      </c>
      <c r="R77">
        <v>0</v>
      </c>
      <c r="S77">
        <v>0</v>
      </c>
      <c r="T77">
        <v>0</v>
      </c>
      <c r="U77">
        <v>0</v>
      </c>
      <c r="V77">
        <v>0</v>
      </c>
      <c r="W77">
        <v>222</v>
      </c>
      <c r="X77" s="13">
        <v>28.125</v>
      </c>
      <c r="Y77" s="10" t="s">
        <v>901</v>
      </c>
      <c r="Z77" s="10" t="s">
        <v>941</v>
      </c>
      <c r="AA77" s="10"/>
      <c r="AB77" s="10">
        <v>0.5</v>
      </c>
      <c r="AC77" s="10"/>
    </row>
    <row r="78" spans="1:29" hidden="1" x14ac:dyDescent="0.25">
      <c r="A78" s="10" t="s">
        <v>314</v>
      </c>
      <c r="B78" s="10"/>
      <c r="C78" s="10"/>
      <c r="D78" s="10" t="s">
        <v>319</v>
      </c>
      <c r="E78" s="10" t="s">
        <v>315</v>
      </c>
      <c r="F78" s="10" t="s">
        <v>318</v>
      </c>
      <c r="G78" s="10" t="s">
        <v>357</v>
      </c>
      <c r="H78" s="12">
        <v>248.38</v>
      </c>
      <c r="I78">
        <v>1</v>
      </c>
      <c r="J78" s="12">
        <v>248.38</v>
      </c>
      <c r="K78" s="10" t="s">
        <v>284</v>
      </c>
      <c r="L78" s="2">
        <v>45832.875</v>
      </c>
      <c r="M78" s="10"/>
      <c r="N78">
        <v>0</v>
      </c>
      <c r="O78" s="10"/>
      <c r="P78">
        <v>0</v>
      </c>
      <c r="Q78">
        <v>0</v>
      </c>
      <c r="R78">
        <v>0</v>
      </c>
      <c r="S78">
        <v>0</v>
      </c>
      <c r="T78">
        <v>0</v>
      </c>
      <c r="U78">
        <v>0</v>
      </c>
      <c r="V78">
        <v>0</v>
      </c>
      <c r="W78">
        <v>0</v>
      </c>
      <c r="X78" s="13">
        <v>28.125</v>
      </c>
      <c r="Y78" s="10" t="s">
        <v>901</v>
      </c>
      <c r="Z78" s="10" t="s">
        <v>941</v>
      </c>
      <c r="AA78" s="10"/>
      <c r="AB78" s="10">
        <v>0.5</v>
      </c>
      <c r="AC78" s="10"/>
    </row>
    <row r="79" spans="1:29" hidden="1" x14ac:dyDescent="0.25">
      <c r="A79" s="10" t="s">
        <v>314</v>
      </c>
      <c r="B79" s="10"/>
      <c r="C79" s="10"/>
      <c r="D79" s="10" t="s">
        <v>361</v>
      </c>
      <c r="E79" s="10" t="s">
        <v>315</v>
      </c>
      <c r="F79" s="10" t="s">
        <v>360</v>
      </c>
      <c r="G79" s="10" t="s">
        <v>362</v>
      </c>
      <c r="H79" s="12">
        <v>248.38</v>
      </c>
      <c r="I79">
        <v>1</v>
      </c>
      <c r="J79" s="12">
        <v>248.38</v>
      </c>
      <c r="K79" s="10" t="s">
        <v>284</v>
      </c>
      <c r="L79" s="2">
        <v>45832.875</v>
      </c>
      <c r="M79" s="10"/>
      <c r="N79">
        <v>0</v>
      </c>
      <c r="O79" s="10"/>
      <c r="P79">
        <v>0</v>
      </c>
      <c r="Q79">
        <v>0</v>
      </c>
      <c r="R79">
        <v>0</v>
      </c>
      <c r="S79">
        <v>0</v>
      </c>
      <c r="T79">
        <v>0</v>
      </c>
      <c r="U79">
        <v>0</v>
      </c>
      <c r="V79">
        <v>0</v>
      </c>
      <c r="W79">
        <v>0</v>
      </c>
      <c r="X79" s="13">
        <v>28.125</v>
      </c>
      <c r="Y79" s="10" t="s">
        <v>901</v>
      </c>
      <c r="Z79" s="10" t="s">
        <v>941</v>
      </c>
      <c r="AA79" s="10"/>
      <c r="AB79" s="10">
        <v>0.5</v>
      </c>
      <c r="AC79" s="10"/>
    </row>
    <row r="80" spans="1:29" hidden="1" x14ac:dyDescent="0.25">
      <c r="A80" s="10" t="s">
        <v>314</v>
      </c>
      <c r="B80" s="10"/>
      <c r="C80" s="10"/>
      <c r="D80" s="10" t="s">
        <v>114</v>
      </c>
      <c r="E80" s="10" t="s">
        <v>315</v>
      </c>
      <c r="F80" s="10" t="s">
        <v>106</v>
      </c>
      <c r="G80" s="10" t="s">
        <v>490</v>
      </c>
      <c r="H80" s="12">
        <v>325.32</v>
      </c>
      <c r="I80">
        <v>1</v>
      </c>
      <c r="J80" s="12">
        <v>325.32</v>
      </c>
      <c r="K80" s="10" t="s">
        <v>284</v>
      </c>
      <c r="L80" s="2">
        <v>45832.875</v>
      </c>
      <c r="M80" s="10"/>
      <c r="N80">
        <v>0</v>
      </c>
      <c r="O80" s="10"/>
      <c r="P80">
        <v>0</v>
      </c>
      <c r="Q80">
        <v>0</v>
      </c>
      <c r="R80">
        <v>0</v>
      </c>
      <c r="S80">
        <v>0</v>
      </c>
      <c r="T80">
        <v>0</v>
      </c>
      <c r="U80">
        <v>0</v>
      </c>
      <c r="V80">
        <v>0</v>
      </c>
      <c r="W80">
        <v>0</v>
      </c>
      <c r="X80" s="13">
        <v>28.125</v>
      </c>
      <c r="Y80" s="10" t="s">
        <v>901</v>
      </c>
      <c r="Z80" s="10" t="s">
        <v>941</v>
      </c>
      <c r="AA80" s="10"/>
      <c r="AB80" s="10">
        <v>0.5</v>
      </c>
      <c r="AC80" s="10"/>
    </row>
    <row r="81" spans="1:29" hidden="1" x14ac:dyDescent="0.25">
      <c r="A81" s="10" t="s">
        <v>314</v>
      </c>
      <c r="B81" s="10"/>
      <c r="C81" s="10"/>
      <c r="D81" s="10" t="s">
        <v>113</v>
      </c>
      <c r="E81" s="10" t="s">
        <v>315</v>
      </c>
      <c r="F81" s="10" t="s">
        <v>107</v>
      </c>
      <c r="G81" s="10" t="s">
        <v>491</v>
      </c>
      <c r="H81" s="12">
        <v>404.22</v>
      </c>
      <c r="I81">
        <v>1</v>
      </c>
      <c r="J81" s="12">
        <v>404.22</v>
      </c>
      <c r="K81" s="10" t="s">
        <v>284</v>
      </c>
      <c r="L81" s="2">
        <v>45832.875</v>
      </c>
      <c r="M81" s="10"/>
      <c r="N81">
        <v>0</v>
      </c>
      <c r="O81" s="10"/>
      <c r="P81">
        <v>0</v>
      </c>
      <c r="Q81">
        <v>0</v>
      </c>
      <c r="R81">
        <v>0</v>
      </c>
      <c r="S81">
        <v>0</v>
      </c>
      <c r="T81">
        <v>0</v>
      </c>
      <c r="U81">
        <v>0</v>
      </c>
      <c r="V81">
        <v>0</v>
      </c>
      <c r="W81">
        <v>0</v>
      </c>
      <c r="X81" s="13">
        <v>28.125</v>
      </c>
      <c r="Y81" s="10" t="s">
        <v>901</v>
      </c>
      <c r="Z81" s="10" t="s">
        <v>941</v>
      </c>
      <c r="AA81" s="10"/>
      <c r="AB81" s="10">
        <v>0.5</v>
      </c>
      <c r="AC81" s="10"/>
    </row>
    <row r="82" spans="1:29" hidden="1" x14ac:dyDescent="0.25">
      <c r="A82" s="10" t="s">
        <v>314</v>
      </c>
      <c r="B82" s="10"/>
      <c r="C82" s="10"/>
      <c r="D82" s="10" t="s">
        <v>81</v>
      </c>
      <c r="E82" s="10" t="s">
        <v>315</v>
      </c>
      <c r="F82" s="10" t="s">
        <v>132</v>
      </c>
      <c r="G82" s="10" t="s">
        <v>492</v>
      </c>
      <c r="H82" s="12">
        <v>481.16</v>
      </c>
      <c r="I82">
        <v>1</v>
      </c>
      <c r="J82" s="12">
        <v>481.16</v>
      </c>
      <c r="K82" s="10" t="s">
        <v>284</v>
      </c>
      <c r="L82" s="2">
        <v>45832.875</v>
      </c>
      <c r="M82" s="10"/>
      <c r="N82">
        <v>0</v>
      </c>
      <c r="O82" s="10"/>
      <c r="P82">
        <v>0</v>
      </c>
      <c r="Q82">
        <v>0</v>
      </c>
      <c r="R82">
        <v>0</v>
      </c>
      <c r="S82">
        <v>0</v>
      </c>
      <c r="T82">
        <v>0</v>
      </c>
      <c r="U82">
        <v>0</v>
      </c>
      <c r="V82">
        <v>0</v>
      </c>
      <c r="W82">
        <v>0</v>
      </c>
      <c r="X82" s="13">
        <v>28.125</v>
      </c>
      <c r="Y82" s="10" t="s">
        <v>901</v>
      </c>
      <c r="Z82" s="10" t="s">
        <v>941</v>
      </c>
      <c r="AA82" s="10"/>
      <c r="AB82" s="10">
        <v>0.5</v>
      </c>
      <c r="AC82" s="10"/>
    </row>
    <row r="83" spans="1:29" hidden="1" x14ac:dyDescent="0.25">
      <c r="A83" s="10" t="s">
        <v>314</v>
      </c>
      <c r="B83" s="10"/>
      <c r="C83" s="10"/>
      <c r="D83" s="10" t="s">
        <v>134</v>
      </c>
      <c r="E83" s="10" t="s">
        <v>315</v>
      </c>
      <c r="F83" s="10" t="s">
        <v>133</v>
      </c>
      <c r="G83" s="10" t="s">
        <v>493</v>
      </c>
      <c r="H83" s="12">
        <v>559.09</v>
      </c>
      <c r="I83">
        <v>1</v>
      </c>
      <c r="J83" s="12">
        <v>559.09</v>
      </c>
      <c r="K83" s="10" t="s">
        <v>284</v>
      </c>
      <c r="L83" s="2">
        <v>45832.875</v>
      </c>
      <c r="M83" s="10"/>
      <c r="N83">
        <v>0</v>
      </c>
      <c r="O83" s="10"/>
      <c r="P83">
        <v>0</v>
      </c>
      <c r="Q83">
        <v>0</v>
      </c>
      <c r="R83">
        <v>0</v>
      </c>
      <c r="S83">
        <v>0</v>
      </c>
      <c r="T83">
        <v>0</v>
      </c>
      <c r="U83">
        <v>0</v>
      </c>
      <c r="V83">
        <v>0</v>
      </c>
      <c r="W83">
        <v>0</v>
      </c>
      <c r="X83" s="13">
        <v>28.125</v>
      </c>
      <c r="Y83" s="10" t="s">
        <v>901</v>
      </c>
      <c r="Z83" s="10" t="s">
        <v>941</v>
      </c>
      <c r="AA83" s="10"/>
      <c r="AB83" s="10">
        <v>0.5</v>
      </c>
      <c r="AC83" s="10"/>
    </row>
    <row r="84" spans="1:29" hidden="1" x14ac:dyDescent="0.25">
      <c r="A84" s="10" t="s">
        <v>314</v>
      </c>
      <c r="B84" s="10"/>
      <c r="C84" s="10"/>
      <c r="D84" s="10" t="s">
        <v>139</v>
      </c>
      <c r="E84" s="10" t="s">
        <v>315</v>
      </c>
      <c r="F84" s="10" t="s">
        <v>138</v>
      </c>
      <c r="G84" s="10" t="s">
        <v>494</v>
      </c>
      <c r="H84" s="12">
        <v>637.97</v>
      </c>
      <c r="I84">
        <v>1</v>
      </c>
      <c r="J84" s="12">
        <v>637.97</v>
      </c>
      <c r="K84" s="10" t="s">
        <v>284</v>
      </c>
      <c r="L84" s="2">
        <v>45832.875</v>
      </c>
      <c r="M84" s="10"/>
      <c r="N84">
        <v>0</v>
      </c>
      <c r="O84" s="10"/>
      <c r="P84">
        <v>0</v>
      </c>
      <c r="Q84">
        <v>0</v>
      </c>
      <c r="R84">
        <v>0</v>
      </c>
      <c r="S84">
        <v>0</v>
      </c>
      <c r="T84">
        <v>0</v>
      </c>
      <c r="U84">
        <v>0</v>
      </c>
      <c r="V84">
        <v>0</v>
      </c>
      <c r="W84">
        <v>0</v>
      </c>
      <c r="X84" s="13">
        <v>28.125</v>
      </c>
      <c r="Y84" s="10" t="s">
        <v>901</v>
      </c>
      <c r="Z84" s="10" t="s">
        <v>941</v>
      </c>
      <c r="AA84" s="10"/>
      <c r="AB84" s="10">
        <v>0.5</v>
      </c>
      <c r="AC84" s="10"/>
    </row>
    <row r="85" spans="1:29" hidden="1" x14ac:dyDescent="0.25">
      <c r="A85" s="10" t="s">
        <v>314</v>
      </c>
      <c r="B85" s="10"/>
      <c r="C85" s="10"/>
      <c r="D85" s="10" t="s">
        <v>140</v>
      </c>
      <c r="E85" s="10" t="s">
        <v>315</v>
      </c>
      <c r="F85" s="10" t="s">
        <v>93</v>
      </c>
      <c r="G85" s="10" t="s">
        <v>495</v>
      </c>
      <c r="H85" s="12">
        <v>768.5</v>
      </c>
      <c r="I85">
        <v>1</v>
      </c>
      <c r="J85" s="12">
        <v>768.5</v>
      </c>
      <c r="K85" s="10" t="s">
        <v>284</v>
      </c>
      <c r="L85" s="2">
        <v>45832.875</v>
      </c>
      <c r="M85" s="10"/>
      <c r="N85">
        <v>0</v>
      </c>
      <c r="O85" s="10"/>
      <c r="P85">
        <v>0</v>
      </c>
      <c r="Q85">
        <v>0</v>
      </c>
      <c r="R85">
        <v>0</v>
      </c>
      <c r="S85">
        <v>0</v>
      </c>
      <c r="T85">
        <v>0</v>
      </c>
      <c r="U85">
        <v>0</v>
      </c>
      <c r="V85">
        <v>0</v>
      </c>
      <c r="W85">
        <v>0</v>
      </c>
      <c r="X85" s="13">
        <v>28.125</v>
      </c>
      <c r="Y85" s="10" t="s">
        <v>901</v>
      </c>
      <c r="Z85" s="10" t="s">
        <v>941</v>
      </c>
      <c r="AA85" s="10"/>
      <c r="AB85" s="10">
        <v>0.5</v>
      </c>
      <c r="AC85" s="10"/>
    </row>
    <row r="86" spans="1:29" hidden="1" x14ac:dyDescent="0.25">
      <c r="A86" s="10" t="s">
        <v>314</v>
      </c>
      <c r="B86" s="10"/>
      <c r="C86" s="10"/>
      <c r="D86" s="10" t="s">
        <v>144</v>
      </c>
      <c r="E86" s="10" t="s">
        <v>315</v>
      </c>
      <c r="F86" s="10" t="s">
        <v>143</v>
      </c>
      <c r="G86" s="10" t="s">
        <v>496</v>
      </c>
      <c r="H86" s="12">
        <v>768.5</v>
      </c>
      <c r="I86">
        <v>1</v>
      </c>
      <c r="J86" s="12">
        <v>768.5</v>
      </c>
      <c r="K86" s="10" t="s">
        <v>284</v>
      </c>
      <c r="L86" s="2">
        <v>45832.875</v>
      </c>
      <c r="M86" s="10"/>
      <c r="N86">
        <v>0</v>
      </c>
      <c r="O86" s="10"/>
      <c r="P86">
        <v>0</v>
      </c>
      <c r="Q86">
        <v>0</v>
      </c>
      <c r="R86">
        <v>0</v>
      </c>
      <c r="S86">
        <v>0</v>
      </c>
      <c r="T86">
        <v>0</v>
      </c>
      <c r="U86">
        <v>0</v>
      </c>
      <c r="V86">
        <v>0</v>
      </c>
      <c r="W86">
        <v>0</v>
      </c>
      <c r="X86" s="13">
        <v>28.125</v>
      </c>
      <c r="Y86" s="10" t="s">
        <v>901</v>
      </c>
      <c r="Z86" s="10" t="s">
        <v>941</v>
      </c>
      <c r="AA86" s="10"/>
      <c r="AB86" s="10">
        <v>0.5</v>
      </c>
      <c r="AC86" s="10"/>
    </row>
    <row r="87" spans="1:29" hidden="1" x14ac:dyDescent="0.25">
      <c r="A87" s="10" t="s">
        <v>314</v>
      </c>
      <c r="B87" s="10"/>
      <c r="C87" s="10"/>
      <c r="D87" s="10" t="s">
        <v>114</v>
      </c>
      <c r="E87" s="10" t="s">
        <v>315</v>
      </c>
      <c r="F87" s="10" t="s">
        <v>89</v>
      </c>
      <c r="G87" s="10" t="s">
        <v>497</v>
      </c>
      <c r="H87" s="12">
        <v>1147.3900000000001</v>
      </c>
      <c r="I87">
        <v>1</v>
      </c>
      <c r="J87" s="12">
        <v>1147.3900000000001</v>
      </c>
      <c r="K87" s="10" t="s">
        <v>284</v>
      </c>
      <c r="L87" s="2">
        <v>45832.875</v>
      </c>
      <c r="M87" s="10"/>
      <c r="N87">
        <v>0</v>
      </c>
      <c r="O87" s="10"/>
      <c r="P87">
        <v>0</v>
      </c>
      <c r="Q87">
        <v>0</v>
      </c>
      <c r="R87">
        <v>0</v>
      </c>
      <c r="S87">
        <v>0</v>
      </c>
      <c r="T87">
        <v>0</v>
      </c>
      <c r="U87">
        <v>0</v>
      </c>
      <c r="V87">
        <v>0</v>
      </c>
      <c r="W87">
        <v>0</v>
      </c>
      <c r="X87" s="13">
        <v>28.125</v>
      </c>
      <c r="Y87" s="10" t="s">
        <v>901</v>
      </c>
      <c r="Z87" s="10" t="s">
        <v>941</v>
      </c>
      <c r="AA87" s="10"/>
      <c r="AB87" s="10">
        <v>0.5</v>
      </c>
      <c r="AC87" s="10"/>
    </row>
    <row r="88" spans="1:29" hidden="1" x14ac:dyDescent="0.25">
      <c r="A88" s="10" t="s">
        <v>314</v>
      </c>
      <c r="B88" s="10"/>
      <c r="C88" s="10"/>
      <c r="D88" s="10" t="s">
        <v>74</v>
      </c>
      <c r="E88" s="10" t="s">
        <v>315</v>
      </c>
      <c r="F88" s="10" t="s">
        <v>75</v>
      </c>
      <c r="G88" s="10" t="s">
        <v>498</v>
      </c>
      <c r="H88" s="12">
        <v>1477.57</v>
      </c>
      <c r="I88">
        <v>1</v>
      </c>
      <c r="J88" s="12">
        <v>1477.57</v>
      </c>
      <c r="K88" s="10" t="s">
        <v>284</v>
      </c>
      <c r="L88" s="2">
        <v>45832.875</v>
      </c>
      <c r="M88" s="10"/>
      <c r="N88">
        <v>0</v>
      </c>
      <c r="O88" s="10"/>
      <c r="P88">
        <v>0</v>
      </c>
      <c r="Q88">
        <v>0</v>
      </c>
      <c r="R88">
        <v>0</v>
      </c>
      <c r="S88">
        <v>0</v>
      </c>
      <c r="T88">
        <v>0</v>
      </c>
      <c r="U88">
        <v>0</v>
      </c>
      <c r="V88">
        <v>0</v>
      </c>
      <c r="W88">
        <v>0</v>
      </c>
      <c r="X88" s="13">
        <v>28.125</v>
      </c>
      <c r="Y88" s="10" t="s">
        <v>901</v>
      </c>
      <c r="Z88" s="10" t="s">
        <v>941</v>
      </c>
      <c r="AA88" s="10"/>
      <c r="AB88" s="10">
        <v>0.5</v>
      </c>
      <c r="AC88" s="10"/>
    </row>
    <row r="89" spans="1:29" hidden="1" x14ac:dyDescent="0.25">
      <c r="A89" s="10" t="s">
        <v>314</v>
      </c>
      <c r="B89" s="10"/>
      <c r="C89" s="10"/>
      <c r="D89" s="10" t="s">
        <v>114</v>
      </c>
      <c r="E89" s="10" t="s">
        <v>315</v>
      </c>
      <c r="F89" s="10" t="s">
        <v>85</v>
      </c>
      <c r="G89" s="10" t="s">
        <v>500</v>
      </c>
      <c r="H89" s="12">
        <v>1350.96</v>
      </c>
      <c r="I89">
        <v>1</v>
      </c>
      <c r="J89" s="12">
        <v>1350.96</v>
      </c>
      <c r="K89" s="10" t="s">
        <v>284</v>
      </c>
      <c r="L89" s="2">
        <v>45832.875</v>
      </c>
      <c r="M89" s="10"/>
      <c r="N89">
        <v>0</v>
      </c>
      <c r="O89" s="10"/>
      <c r="P89">
        <v>0</v>
      </c>
      <c r="Q89">
        <v>0</v>
      </c>
      <c r="R89">
        <v>0</v>
      </c>
      <c r="S89">
        <v>0</v>
      </c>
      <c r="T89">
        <v>0</v>
      </c>
      <c r="U89">
        <v>0</v>
      </c>
      <c r="V89">
        <v>0</v>
      </c>
      <c r="W89">
        <v>0</v>
      </c>
      <c r="X89" s="13">
        <v>28.125</v>
      </c>
      <c r="Y89" s="10" t="s">
        <v>901</v>
      </c>
      <c r="Z89" s="10" t="s">
        <v>941</v>
      </c>
      <c r="AA89" s="10"/>
      <c r="AB89" s="10">
        <v>0.5</v>
      </c>
      <c r="AC89" s="10"/>
    </row>
    <row r="90" spans="1:29" hidden="1" x14ac:dyDescent="0.25">
      <c r="A90" s="10" t="s">
        <v>314</v>
      </c>
      <c r="B90" s="10"/>
      <c r="C90" s="10"/>
      <c r="D90" s="10" t="s">
        <v>114</v>
      </c>
      <c r="E90" s="10" t="s">
        <v>315</v>
      </c>
      <c r="F90" s="10" t="s">
        <v>100</v>
      </c>
      <c r="G90" s="10" t="s">
        <v>499</v>
      </c>
      <c r="H90" s="12">
        <v>1685.04</v>
      </c>
      <c r="I90">
        <v>1</v>
      </c>
      <c r="J90" s="12">
        <v>1685.04</v>
      </c>
      <c r="K90" s="10" t="s">
        <v>284</v>
      </c>
      <c r="L90" s="2">
        <v>45832.875</v>
      </c>
      <c r="M90" s="10"/>
      <c r="N90">
        <v>0</v>
      </c>
      <c r="O90" s="10"/>
      <c r="P90">
        <v>0</v>
      </c>
      <c r="Q90">
        <v>0</v>
      </c>
      <c r="R90">
        <v>0</v>
      </c>
      <c r="S90">
        <v>0</v>
      </c>
      <c r="T90">
        <v>0</v>
      </c>
      <c r="U90">
        <v>0</v>
      </c>
      <c r="V90">
        <v>0</v>
      </c>
      <c r="W90">
        <v>0</v>
      </c>
      <c r="X90" s="13">
        <v>28.125</v>
      </c>
      <c r="Y90" s="10" t="s">
        <v>901</v>
      </c>
      <c r="Z90" s="10" t="s">
        <v>941</v>
      </c>
      <c r="AA90" s="10"/>
      <c r="AB90" s="10">
        <v>0.5</v>
      </c>
      <c r="AC90" s="10"/>
    </row>
    <row r="91" spans="1:29" hidden="1" x14ac:dyDescent="0.25">
      <c r="A91" s="10" t="s">
        <v>314</v>
      </c>
      <c r="B91" s="10"/>
      <c r="C91" s="10"/>
      <c r="D91" s="10" t="s">
        <v>114</v>
      </c>
      <c r="E91" s="10" t="s">
        <v>315</v>
      </c>
      <c r="F91" s="10" t="s">
        <v>148</v>
      </c>
      <c r="G91" s="10" t="s">
        <v>501</v>
      </c>
      <c r="H91" s="12">
        <v>2131.1</v>
      </c>
      <c r="I91">
        <v>1</v>
      </c>
      <c r="J91" s="12">
        <v>2131.1</v>
      </c>
      <c r="K91" s="10" t="s">
        <v>284</v>
      </c>
      <c r="L91" s="2">
        <v>45832.875</v>
      </c>
      <c r="M91" s="10"/>
      <c r="N91">
        <v>0</v>
      </c>
      <c r="O91" s="10"/>
      <c r="P91">
        <v>0</v>
      </c>
      <c r="Q91">
        <v>0</v>
      </c>
      <c r="R91">
        <v>0</v>
      </c>
      <c r="S91">
        <v>0</v>
      </c>
      <c r="T91">
        <v>0</v>
      </c>
      <c r="U91">
        <v>0</v>
      </c>
      <c r="V91">
        <v>0</v>
      </c>
      <c r="W91">
        <v>0</v>
      </c>
      <c r="X91" s="13">
        <v>28.125</v>
      </c>
      <c r="Y91" s="10" t="s">
        <v>901</v>
      </c>
      <c r="Z91" s="10" t="s">
        <v>941</v>
      </c>
      <c r="AA91" s="10"/>
      <c r="AB91" s="10">
        <v>0.5</v>
      </c>
      <c r="AC91" s="10"/>
    </row>
    <row r="92" spans="1:29" hidden="1" x14ac:dyDescent="0.25">
      <c r="A92" s="10" t="s">
        <v>314</v>
      </c>
      <c r="B92" s="10"/>
      <c r="C92" s="10"/>
      <c r="D92" s="10" t="s">
        <v>114</v>
      </c>
      <c r="E92" s="10" t="s">
        <v>315</v>
      </c>
      <c r="F92" s="10" t="s">
        <v>153</v>
      </c>
      <c r="G92" s="10" t="s">
        <v>502</v>
      </c>
      <c r="H92" s="12">
        <v>3643.79</v>
      </c>
      <c r="I92">
        <v>1</v>
      </c>
      <c r="J92" s="12">
        <v>3643.79</v>
      </c>
      <c r="K92" s="10" t="s">
        <v>284</v>
      </c>
      <c r="L92" s="2">
        <v>45832.875</v>
      </c>
      <c r="M92" s="10"/>
      <c r="N92">
        <v>0</v>
      </c>
      <c r="O92" s="10"/>
      <c r="P92">
        <v>0</v>
      </c>
      <c r="Q92">
        <v>0</v>
      </c>
      <c r="R92">
        <v>0</v>
      </c>
      <c r="S92">
        <v>0</v>
      </c>
      <c r="T92">
        <v>0</v>
      </c>
      <c r="U92">
        <v>0</v>
      </c>
      <c r="V92">
        <v>0</v>
      </c>
      <c r="W92">
        <v>0</v>
      </c>
      <c r="X92" s="13">
        <v>28.125</v>
      </c>
      <c r="Y92" s="10" t="s">
        <v>901</v>
      </c>
      <c r="Z92" s="10" t="s">
        <v>941</v>
      </c>
      <c r="AA92" s="10"/>
      <c r="AB92" s="10">
        <v>0.5</v>
      </c>
      <c r="AC92" s="10"/>
    </row>
    <row r="93" spans="1:29" hidden="1" x14ac:dyDescent="0.25">
      <c r="A93" s="10" t="s">
        <v>17</v>
      </c>
      <c r="B93" s="10" t="s">
        <v>366</v>
      </c>
      <c r="C93" s="10" t="s">
        <v>371</v>
      </c>
      <c r="D93" s="10"/>
      <c r="E93" s="10" t="s">
        <v>367</v>
      </c>
      <c r="F93" s="138" t="s">
        <v>368</v>
      </c>
      <c r="G93" s="10" t="s">
        <v>369</v>
      </c>
      <c r="H93" s="12">
        <v>21.2</v>
      </c>
      <c r="I93">
        <v>1</v>
      </c>
      <c r="J93" s="12">
        <v>21.2</v>
      </c>
      <c r="K93" s="10" t="s">
        <v>284</v>
      </c>
      <c r="L93" s="2">
        <v>45832.875</v>
      </c>
      <c r="M93" s="10"/>
      <c r="N93">
        <v>0</v>
      </c>
      <c r="O93" s="10"/>
      <c r="P93">
        <v>0</v>
      </c>
      <c r="Q93">
        <v>0</v>
      </c>
      <c r="R93">
        <v>0</v>
      </c>
      <c r="S93">
        <v>0</v>
      </c>
      <c r="T93">
        <v>0</v>
      </c>
      <c r="U93">
        <v>0</v>
      </c>
      <c r="V93">
        <v>0</v>
      </c>
      <c r="W93">
        <v>0</v>
      </c>
      <c r="X93" s="13">
        <v>30.125</v>
      </c>
      <c r="Y93" s="10" t="s">
        <v>901</v>
      </c>
      <c r="Z93" s="10" t="s">
        <v>941</v>
      </c>
      <c r="AA93" s="10">
        <v>0.1</v>
      </c>
      <c r="AB93" s="10">
        <v>0.25</v>
      </c>
      <c r="AC93" s="10">
        <v>0.25</v>
      </c>
    </row>
    <row r="94" spans="1:29" hidden="1" x14ac:dyDescent="0.25">
      <c r="A94" s="10" t="s">
        <v>17</v>
      </c>
      <c r="B94" s="10" t="s">
        <v>370</v>
      </c>
      <c r="C94" s="10" t="s">
        <v>372</v>
      </c>
      <c r="D94" s="10"/>
      <c r="E94" s="10"/>
      <c r="F94" s="10" t="s">
        <v>370</v>
      </c>
      <c r="G94" s="10" t="s">
        <v>428</v>
      </c>
      <c r="H94" s="12">
        <v>1</v>
      </c>
      <c r="I94">
        <v>1</v>
      </c>
      <c r="J94" s="12">
        <v>1</v>
      </c>
      <c r="K94" s="10" t="s">
        <v>114</v>
      </c>
      <c r="L94" s="2">
        <v>45832.875</v>
      </c>
      <c r="M94" s="10"/>
      <c r="N94">
        <v>0</v>
      </c>
      <c r="O94" s="10"/>
      <c r="P94">
        <v>0</v>
      </c>
      <c r="Q94">
        <v>0</v>
      </c>
      <c r="R94">
        <v>0</v>
      </c>
      <c r="S94">
        <v>0</v>
      </c>
      <c r="T94">
        <v>0</v>
      </c>
      <c r="U94">
        <v>0</v>
      </c>
      <c r="V94">
        <v>0</v>
      </c>
      <c r="W94">
        <v>0</v>
      </c>
      <c r="X94" s="13">
        <v>28.125</v>
      </c>
      <c r="Y94" s="10" t="s">
        <v>901</v>
      </c>
      <c r="Z94" s="10" t="s">
        <v>941</v>
      </c>
      <c r="AA94" s="10"/>
      <c r="AB94" s="10"/>
      <c r="AC94" s="10"/>
    </row>
    <row r="95" spans="1:29" hidden="1" x14ac:dyDescent="0.25">
      <c r="A95" s="10" t="s">
        <v>17</v>
      </c>
      <c r="B95" s="10" t="s">
        <v>962</v>
      </c>
      <c r="C95" s="10" t="s">
        <v>586</v>
      </c>
      <c r="D95" s="10" t="s">
        <v>225</v>
      </c>
      <c r="E95" s="10" t="s">
        <v>285</v>
      </c>
      <c r="F95" s="10" t="s">
        <v>224</v>
      </c>
      <c r="G95" s="10" t="s">
        <v>587</v>
      </c>
      <c r="H95" s="12">
        <v>3109.25</v>
      </c>
      <c r="I95">
        <v>1</v>
      </c>
      <c r="J95" s="12">
        <v>3109.25</v>
      </c>
      <c r="K95" s="10" t="s">
        <v>284</v>
      </c>
      <c r="L95" s="2">
        <v>45832.875</v>
      </c>
      <c r="M95" s="10"/>
      <c r="N95">
        <v>0</v>
      </c>
      <c r="O95" s="10"/>
      <c r="P95">
        <v>0</v>
      </c>
      <c r="Q95">
        <v>0</v>
      </c>
      <c r="R95">
        <v>0</v>
      </c>
      <c r="S95">
        <v>0</v>
      </c>
      <c r="T95">
        <v>0</v>
      </c>
      <c r="U95">
        <v>0</v>
      </c>
      <c r="V95">
        <v>0</v>
      </c>
      <c r="W95">
        <v>0</v>
      </c>
      <c r="X95" s="13">
        <v>27.125</v>
      </c>
      <c r="Y95" s="10" t="s">
        <v>901</v>
      </c>
      <c r="Z95" s="10" t="s">
        <v>941</v>
      </c>
      <c r="AA95" s="10">
        <v>4</v>
      </c>
      <c r="AB95" s="10"/>
      <c r="AC95" s="10"/>
    </row>
    <row r="96" spans="1:29" hidden="1" x14ac:dyDescent="0.25">
      <c r="A96" s="10" t="s">
        <v>17</v>
      </c>
      <c r="B96" s="10" t="s">
        <v>963</v>
      </c>
      <c r="C96" s="10" t="s">
        <v>761</v>
      </c>
      <c r="D96" s="10" t="s">
        <v>760</v>
      </c>
      <c r="E96" s="10" t="s">
        <v>285</v>
      </c>
      <c r="F96" s="10" t="s">
        <v>759</v>
      </c>
      <c r="G96" s="10" t="s">
        <v>762</v>
      </c>
      <c r="H96" s="12">
        <v>206.44</v>
      </c>
      <c r="I96">
        <v>1</v>
      </c>
      <c r="J96" s="12">
        <v>206.44</v>
      </c>
      <c r="K96" s="10" t="s">
        <v>284</v>
      </c>
      <c r="L96" s="2">
        <v>45838.875</v>
      </c>
      <c r="M96" s="10"/>
      <c r="N96">
        <v>0</v>
      </c>
      <c r="O96" s="10"/>
      <c r="P96">
        <v>0</v>
      </c>
      <c r="Q96">
        <v>0</v>
      </c>
      <c r="R96">
        <v>0</v>
      </c>
      <c r="S96">
        <v>0</v>
      </c>
      <c r="T96">
        <v>0</v>
      </c>
      <c r="U96">
        <v>0</v>
      </c>
      <c r="V96">
        <v>0</v>
      </c>
      <c r="W96">
        <v>0</v>
      </c>
      <c r="X96" s="13">
        <v>21.125</v>
      </c>
      <c r="Y96" s="10" t="s">
        <v>901</v>
      </c>
      <c r="Z96" s="10" t="s">
        <v>941</v>
      </c>
      <c r="AA96" s="10">
        <v>4</v>
      </c>
      <c r="AB96" s="10"/>
      <c r="AC96" s="10"/>
    </row>
    <row r="97" spans="1:29" hidden="1" x14ac:dyDescent="0.25">
      <c r="A97" s="10" t="s">
        <v>17</v>
      </c>
      <c r="B97" s="10" t="s">
        <v>621</v>
      </c>
      <c r="C97" s="10" t="s">
        <v>28</v>
      </c>
      <c r="D97" s="10"/>
      <c r="E97" s="10" t="s">
        <v>622</v>
      </c>
      <c r="F97" s="10" t="s">
        <v>226</v>
      </c>
      <c r="G97" s="10"/>
      <c r="H97" s="12">
        <v>1628</v>
      </c>
      <c r="I97">
        <v>1</v>
      </c>
      <c r="J97" s="12">
        <v>1628</v>
      </c>
      <c r="K97" s="10" t="s">
        <v>623</v>
      </c>
      <c r="L97" s="2">
        <v>45832.875</v>
      </c>
      <c r="M97" s="10"/>
      <c r="N97">
        <v>0</v>
      </c>
      <c r="O97" s="10"/>
      <c r="P97">
        <v>0</v>
      </c>
      <c r="Q97">
        <v>0</v>
      </c>
      <c r="R97">
        <v>0</v>
      </c>
      <c r="S97">
        <v>0</v>
      </c>
      <c r="T97">
        <v>0</v>
      </c>
      <c r="U97">
        <v>0</v>
      </c>
      <c r="V97">
        <v>0</v>
      </c>
      <c r="W97">
        <v>0</v>
      </c>
      <c r="X97" s="13">
        <v>19.125</v>
      </c>
      <c r="Y97" s="10" t="s">
        <v>901</v>
      </c>
      <c r="Z97" s="10" t="s">
        <v>941</v>
      </c>
      <c r="AA97" s="10"/>
      <c r="AB97" s="10"/>
      <c r="AC97" s="10"/>
    </row>
    <row r="98" spans="1:29" hidden="1" x14ac:dyDescent="0.25">
      <c r="A98" s="10" t="s">
        <v>389</v>
      </c>
      <c r="B98" s="10" t="s">
        <v>390</v>
      </c>
      <c r="C98" s="10" t="s">
        <v>391</v>
      </c>
      <c r="D98" s="10"/>
      <c r="E98" s="10" t="s">
        <v>285</v>
      </c>
      <c r="F98" s="10" t="s">
        <v>202</v>
      </c>
      <c r="G98" s="10" t="s">
        <v>387</v>
      </c>
      <c r="H98" s="12">
        <v>527.74</v>
      </c>
      <c r="I98">
        <v>1</v>
      </c>
      <c r="J98" s="12">
        <v>527.74</v>
      </c>
      <c r="K98" s="10" t="s">
        <v>284</v>
      </c>
      <c r="L98" s="2">
        <v>45832.875</v>
      </c>
      <c r="M98" s="10"/>
      <c r="N98">
        <v>0</v>
      </c>
      <c r="O98" s="10"/>
      <c r="P98">
        <v>0</v>
      </c>
      <c r="Q98">
        <v>0</v>
      </c>
      <c r="R98">
        <v>0</v>
      </c>
      <c r="S98">
        <v>0</v>
      </c>
      <c r="T98">
        <v>0</v>
      </c>
      <c r="U98">
        <v>0</v>
      </c>
      <c r="V98">
        <v>0</v>
      </c>
      <c r="W98">
        <v>0</v>
      </c>
      <c r="X98" s="13">
        <v>30.125</v>
      </c>
      <c r="Y98" s="10" t="s">
        <v>901</v>
      </c>
      <c r="Z98" s="10" t="s">
        <v>941</v>
      </c>
      <c r="AA98" s="10">
        <v>0.25</v>
      </c>
      <c r="AB98" s="10">
        <v>0.25</v>
      </c>
      <c r="AC98" s="10"/>
    </row>
    <row r="99" spans="1:29" hidden="1" x14ac:dyDescent="0.25">
      <c r="A99" s="10" t="s">
        <v>389</v>
      </c>
      <c r="B99" s="10" t="s">
        <v>390</v>
      </c>
      <c r="C99" s="10" t="s">
        <v>46</v>
      </c>
      <c r="D99" s="10"/>
      <c r="E99" s="10" t="s">
        <v>285</v>
      </c>
      <c r="F99" s="10" t="s">
        <v>203</v>
      </c>
      <c r="G99" s="10" t="s">
        <v>388</v>
      </c>
      <c r="H99" s="12">
        <v>527.74</v>
      </c>
      <c r="I99">
        <v>1</v>
      </c>
      <c r="J99" s="12">
        <v>527.74</v>
      </c>
      <c r="K99" s="10" t="s">
        <v>284</v>
      </c>
      <c r="L99" s="2">
        <v>45832.875</v>
      </c>
      <c r="M99" s="10"/>
      <c r="N99">
        <v>0</v>
      </c>
      <c r="O99" s="10"/>
      <c r="P99">
        <v>0</v>
      </c>
      <c r="Q99">
        <v>0</v>
      </c>
      <c r="R99">
        <v>0</v>
      </c>
      <c r="S99">
        <v>0</v>
      </c>
      <c r="T99">
        <v>0</v>
      </c>
      <c r="U99">
        <v>0</v>
      </c>
      <c r="V99">
        <v>0</v>
      </c>
      <c r="W99">
        <v>0</v>
      </c>
      <c r="X99" s="13">
        <v>30.125</v>
      </c>
      <c r="Y99" s="10" t="s">
        <v>901</v>
      </c>
      <c r="Z99" s="10" t="s">
        <v>941</v>
      </c>
      <c r="AA99" s="10">
        <v>0.25</v>
      </c>
      <c r="AB99" s="10">
        <v>0.25</v>
      </c>
      <c r="AC99" s="10"/>
    </row>
    <row r="100" spans="1:29" hidden="1" x14ac:dyDescent="0.25">
      <c r="A100" s="10" t="s">
        <v>389</v>
      </c>
      <c r="B100" s="10" t="s">
        <v>390</v>
      </c>
      <c r="C100" s="10" t="s">
        <v>392</v>
      </c>
      <c r="D100" s="10"/>
      <c r="E100" s="10" t="s">
        <v>285</v>
      </c>
      <c r="F100" s="10" t="s">
        <v>204</v>
      </c>
      <c r="G100" s="10" t="s">
        <v>396</v>
      </c>
      <c r="H100" s="12">
        <v>527.74</v>
      </c>
      <c r="I100">
        <v>1</v>
      </c>
      <c r="J100" s="12">
        <v>527.74</v>
      </c>
      <c r="K100" s="10" t="s">
        <v>284</v>
      </c>
      <c r="L100" s="2">
        <v>45832.875</v>
      </c>
      <c r="M100" s="10"/>
      <c r="N100">
        <v>0</v>
      </c>
      <c r="O100" s="10"/>
      <c r="P100">
        <v>0</v>
      </c>
      <c r="Q100">
        <v>0</v>
      </c>
      <c r="R100">
        <v>0</v>
      </c>
      <c r="S100">
        <v>0</v>
      </c>
      <c r="T100">
        <v>0</v>
      </c>
      <c r="U100">
        <v>0</v>
      </c>
      <c r="V100">
        <v>0</v>
      </c>
      <c r="W100">
        <v>0</v>
      </c>
      <c r="X100" s="13">
        <v>30.125</v>
      </c>
      <c r="Y100" s="10" t="s">
        <v>901</v>
      </c>
      <c r="Z100" s="10" t="s">
        <v>941</v>
      </c>
      <c r="AA100" s="10">
        <v>0.25</v>
      </c>
      <c r="AB100" s="10">
        <v>0.25</v>
      </c>
      <c r="AC100" s="10"/>
    </row>
    <row r="101" spans="1:29" hidden="1" x14ac:dyDescent="0.25">
      <c r="A101" s="10" t="s">
        <v>389</v>
      </c>
      <c r="B101" s="10" t="s">
        <v>390</v>
      </c>
      <c r="C101" s="10" t="s">
        <v>393</v>
      </c>
      <c r="D101" s="10"/>
      <c r="E101" s="10" t="s">
        <v>285</v>
      </c>
      <c r="F101" s="10" t="s">
        <v>205</v>
      </c>
      <c r="G101" s="10" t="s">
        <v>397</v>
      </c>
      <c r="H101" s="12">
        <v>527.74</v>
      </c>
      <c r="I101">
        <v>1</v>
      </c>
      <c r="J101" s="12">
        <v>527.74</v>
      </c>
      <c r="K101" s="10" t="s">
        <v>284</v>
      </c>
      <c r="L101" s="2">
        <v>45832.875</v>
      </c>
      <c r="M101" s="10"/>
      <c r="N101">
        <v>0</v>
      </c>
      <c r="O101" s="10"/>
      <c r="P101">
        <v>0</v>
      </c>
      <c r="Q101">
        <v>0</v>
      </c>
      <c r="R101">
        <v>0</v>
      </c>
      <c r="S101">
        <v>0</v>
      </c>
      <c r="T101">
        <v>0</v>
      </c>
      <c r="U101">
        <v>0</v>
      </c>
      <c r="V101">
        <v>0</v>
      </c>
      <c r="W101">
        <v>0</v>
      </c>
      <c r="X101" s="13">
        <v>30.125</v>
      </c>
      <c r="Y101" s="10" t="s">
        <v>901</v>
      </c>
      <c r="Z101" s="10" t="s">
        <v>941</v>
      </c>
      <c r="AA101" s="10">
        <v>0.25</v>
      </c>
      <c r="AB101" s="10">
        <v>0.25</v>
      </c>
      <c r="AC101" s="10"/>
    </row>
    <row r="102" spans="1:29" hidden="1" x14ac:dyDescent="0.25">
      <c r="A102" s="10" t="s">
        <v>389</v>
      </c>
      <c r="B102" s="10" t="s">
        <v>390</v>
      </c>
      <c r="C102" s="10" t="s">
        <v>394</v>
      </c>
      <c r="D102" s="10"/>
      <c r="E102" s="10" t="s">
        <v>285</v>
      </c>
      <c r="F102" s="10" t="s">
        <v>206</v>
      </c>
      <c r="G102" s="10" t="s">
        <v>398</v>
      </c>
      <c r="H102" s="12">
        <v>527.74</v>
      </c>
      <c r="I102">
        <v>1</v>
      </c>
      <c r="J102" s="12">
        <v>527.74</v>
      </c>
      <c r="K102" s="10" t="s">
        <v>284</v>
      </c>
      <c r="L102" s="2">
        <v>45832.875</v>
      </c>
      <c r="M102" s="10"/>
      <c r="N102">
        <v>0</v>
      </c>
      <c r="O102" s="10"/>
      <c r="P102">
        <v>0</v>
      </c>
      <c r="Q102">
        <v>0</v>
      </c>
      <c r="R102">
        <v>0</v>
      </c>
      <c r="S102">
        <v>0</v>
      </c>
      <c r="T102">
        <v>0</v>
      </c>
      <c r="U102">
        <v>0</v>
      </c>
      <c r="V102">
        <v>0</v>
      </c>
      <c r="W102">
        <v>0</v>
      </c>
      <c r="X102" s="13">
        <v>30.125</v>
      </c>
      <c r="Y102" s="10" t="s">
        <v>901</v>
      </c>
      <c r="Z102" s="10" t="s">
        <v>941</v>
      </c>
      <c r="AA102" s="10">
        <v>0.25</v>
      </c>
      <c r="AB102" s="10">
        <v>0.5</v>
      </c>
      <c r="AC102" s="10"/>
    </row>
    <row r="103" spans="1:29" hidden="1" x14ac:dyDescent="0.25">
      <c r="A103" s="10" t="s">
        <v>389</v>
      </c>
      <c r="B103" s="10" t="s">
        <v>390</v>
      </c>
      <c r="C103" s="10" t="s">
        <v>307</v>
      </c>
      <c r="D103" s="10"/>
      <c r="E103" s="10" t="s">
        <v>285</v>
      </c>
      <c r="F103" s="10" t="s">
        <v>207</v>
      </c>
      <c r="G103" s="10" t="s">
        <v>399</v>
      </c>
      <c r="H103" s="12">
        <v>807.98</v>
      </c>
      <c r="I103">
        <v>1</v>
      </c>
      <c r="J103" s="12">
        <v>807.98</v>
      </c>
      <c r="K103" s="10" t="s">
        <v>284</v>
      </c>
      <c r="L103" s="2">
        <v>45832.875</v>
      </c>
      <c r="M103" s="10"/>
      <c r="N103">
        <v>0</v>
      </c>
      <c r="O103" s="10"/>
      <c r="P103">
        <v>0</v>
      </c>
      <c r="Q103">
        <v>0</v>
      </c>
      <c r="R103">
        <v>0</v>
      </c>
      <c r="S103">
        <v>0</v>
      </c>
      <c r="T103">
        <v>0</v>
      </c>
      <c r="U103">
        <v>0</v>
      </c>
      <c r="V103">
        <v>0</v>
      </c>
      <c r="W103">
        <v>0</v>
      </c>
      <c r="X103" s="13">
        <v>30.125</v>
      </c>
      <c r="Y103" s="10" t="s">
        <v>901</v>
      </c>
      <c r="Z103" s="10" t="s">
        <v>941</v>
      </c>
      <c r="AA103" s="10">
        <v>0.25</v>
      </c>
      <c r="AB103" s="10">
        <v>0.5</v>
      </c>
      <c r="AC103" s="10"/>
    </row>
    <row r="104" spans="1:29" hidden="1" x14ac:dyDescent="0.25">
      <c r="A104" s="10" t="s">
        <v>389</v>
      </c>
      <c r="B104" s="10" t="s">
        <v>390</v>
      </c>
      <c r="C104" s="10" t="s">
        <v>308</v>
      </c>
      <c r="D104" s="10"/>
      <c r="E104" s="10" t="s">
        <v>285</v>
      </c>
      <c r="F104" s="10" t="s">
        <v>208</v>
      </c>
      <c r="G104" s="10" t="s">
        <v>400</v>
      </c>
      <c r="H104" s="12">
        <v>807.98</v>
      </c>
      <c r="I104">
        <v>1</v>
      </c>
      <c r="J104" s="12">
        <v>807.98</v>
      </c>
      <c r="K104" s="10" t="s">
        <v>284</v>
      </c>
      <c r="L104" s="2">
        <v>45832.875</v>
      </c>
      <c r="M104" s="10"/>
      <c r="N104">
        <v>0</v>
      </c>
      <c r="O104" s="10"/>
      <c r="P104">
        <v>0</v>
      </c>
      <c r="Q104">
        <v>0</v>
      </c>
      <c r="R104">
        <v>0</v>
      </c>
      <c r="S104">
        <v>0</v>
      </c>
      <c r="T104">
        <v>0</v>
      </c>
      <c r="U104">
        <v>0</v>
      </c>
      <c r="V104">
        <v>0</v>
      </c>
      <c r="W104">
        <v>0</v>
      </c>
      <c r="X104" s="13">
        <v>30.125</v>
      </c>
      <c r="Y104" s="10" t="s">
        <v>901</v>
      </c>
      <c r="Z104" s="10" t="s">
        <v>941</v>
      </c>
      <c r="AA104" s="10">
        <v>0.25</v>
      </c>
      <c r="AB104" s="10">
        <v>0.5</v>
      </c>
      <c r="AC104" s="10"/>
    </row>
    <row r="105" spans="1:29" hidden="1" x14ac:dyDescent="0.25">
      <c r="A105" s="10" t="s">
        <v>389</v>
      </c>
      <c r="B105" s="10" t="s">
        <v>390</v>
      </c>
      <c r="C105" s="10" t="s">
        <v>401</v>
      </c>
      <c r="D105" s="10"/>
      <c r="E105" s="10" t="s">
        <v>285</v>
      </c>
      <c r="F105" s="10" t="s">
        <v>209</v>
      </c>
      <c r="G105" s="10" t="s">
        <v>402</v>
      </c>
      <c r="H105" s="12">
        <v>807.98</v>
      </c>
      <c r="I105">
        <v>1</v>
      </c>
      <c r="J105" s="12">
        <v>807.98</v>
      </c>
      <c r="K105" s="10" t="s">
        <v>284</v>
      </c>
      <c r="L105" s="2">
        <v>45832.875</v>
      </c>
      <c r="M105" s="10"/>
      <c r="N105">
        <v>0</v>
      </c>
      <c r="O105" s="10"/>
      <c r="P105">
        <v>0</v>
      </c>
      <c r="Q105">
        <v>0</v>
      </c>
      <c r="R105">
        <v>0</v>
      </c>
      <c r="S105">
        <v>0</v>
      </c>
      <c r="T105">
        <v>0</v>
      </c>
      <c r="U105">
        <v>0</v>
      </c>
      <c r="V105">
        <v>0</v>
      </c>
      <c r="W105">
        <v>0</v>
      </c>
      <c r="X105" s="13">
        <v>30.125</v>
      </c>
      <c r="Y105" s="10" t="s">
        <v>901</v>
      </c>
      <c r="Z105" s="10" t="s">
        <v>941</v>
      </c>
      <c r="AA105" s="10">
        <v>0.25</v>
      </c>
      <c r="AB105" s="10">
        <v>0.5</v>
      </c>
      <c r="AC105" s="10"/>
    </row>
    <row r="106" spans="1:29" hidden="1" x14ac:dyDescent="0.25">
      <c r="A106" s="10" t="s">
        <v>403</v>
      </c>
      <c r="B106" s="10" t="s">
        <v>404</v>
      </c>
      <c r="C106" s="10" t="s">
        <v>393</v>
      </c>
      <c r="D106" s="10" t="s">
        <v>406</v>
      </c>
      <c r="E106" s="10" t="s">
        <v>285</v>
      </c>
      <c r="F106" s="10" t="s">
        <v>220</v>
      </c>
      <c r="G106" s="10" t="s">
        <v>405</v>
      </c>
      <c r="H106" s="12">
        <v>165.15</v>
      </c>
      <c r="I106">
        <v>1</v>
      </c>
      <c r="J106" s="12">
        <v>165.15</v>
      </c>
      <c r="K106" s="10" t="s">
        <v>284</v>
      </c>
      <c r="L106" s="2">
        <v>45832.875</v>
      </c>
      <c r="M106" s="10"/>
      <c r="N106">
        <v>0</v>
      </c>
      <c r="O106" s="10"/>
      <c r="P106">
        <v>0</v>
      </c>
      <c r="Q106">
        <v>0</v>
      </c>
      <c r="R106">
        <v>0</v>
      </c>
      <c r="S106">
        <v>0</v>
      </c>
      <c r="T106">
        <v>0</v>
      </c>
      <c r="U106">
        <v>0</v>
      </c>
      <c r="V106">
        <v>0</v>
      </c>
      <c r="W106">
        <v>0</v>
      </c>
      <c r="X106" s="13">
        <v>30.125</v>
      </c>
      <c r="Y106" s="10" t="s">
        <v>901</v>
      </c>
      <c r="Z106" s="10" t="s">
        <v>941</v>
      </c>
      <c r="AA106" s="10">
        <v>0.1</v>
      </c>
      <c r="AB106" s="10">
        <v>0.25</v>
      </c>
      <c r="AC106" s="10"/>
    </row>
    <row r="107" spans="1:29" hidden="1" x14ac:dyDescent="0.25">
      <c r="A107" s="10" t="s">
        <v>403</v>
      </c>
      <c r="B107" s="10" t="s">
        <v>404</v>
      </c>
      <c r="C107" s="10" t="s">
        <v>407</v>
      </c>
      <c r="D107" s="10"/>
      <c r="E107" s="10" t="s">
        <v>285</v>
      </c>
      <c r="F107" s="10" t="s">
        <v>221</v>
      </c>
      <c r="G107" s="10" t="s">
        <v>410</v>
      </c>
      <c r="H107" s="12">
        <v>192.79</v>
      </c>
      <c r="I107">
        <v>1</v>
      </c>
      <c r="J107" s="12">
        <v>192.79</v>
      </c>
      <c r="K107" s="10" t="s">
        <v>284</v>
      </c>
      <c r="L107" s="2">
        <v>45832.875</v>
      </c>
      <c r="M107" s="10"/>
      <c r="N107">
        <v>0</v>
      </c>
      <c r="O107" s="10"/>
      <c r="P107">
        <v>0</v>
      </c>
      <c r="Q107">
        <v>0</v>
      </c>
      <c r="R107">
        <v>0</v>
      </c>
      <c r="S107">
        <v>0</v>
      </c>
      <c r="T107">
        <v>0</v>
      </c>
      <c r="U107">
        <v>0</v>
      </c>
      <c r="V107">
        <v>0</v>
      </c>
      <c r="W107">
        <v>0</v>
      </c>
      <c r="X107" s="13">
        <v>30.125</v>
      </c>
      <c r="Y107" s="10" t="s">
        <v>901</v>
      </c>
      <c r="Z107" s="10" t="s">
        <v>941</v>
      </c>
      <c r="AA107" s="10">
        <v>0.1</v>
      </c>
      <c r="AB107" s="10">
        <v>0.25</v>
      </c>
      <c r="AC107" s="10"/>
    </row>
    <row r="108" spans="1:29" hidden="1" x14ac:dyDescent="0.25">
      <c r="A108" s="10" t="s">
        <v>403</v>
      </c>
      <c r="B108" s="10" t="s">
        <v>404</v>
      </c>
      <c r="C108" s="10" t="s">
        <v>408</v>
      </c>
      <c r="D108" s="10"/>
      <c r="E108" s="10" t="s">
        <v>285</v>
      </c>
      <c r="F108" s="10" t="s">
        <v>212</v>
      </c>
      <c r="G108" s="10" t="s">
        <v>411</v>
      </c>
      <c r="H108" s="12">
        <v>205.58</v>
      </c>
      <c r="I108">
        <v>1</v>
      </c>
      <c r="J108" s="12">
        <v>205.58</v>
      </c>
      <c r="K108" s="10" t="s">
        <v>284</v>
      </c>
      <c r="L108" s="2">
        <v>45832.875</v>
      </c>
      <c r="M108" s="10"/>
      <c r="N108">
        <v>0</v>
      </c>
      <c r="O108" s="10"/>
      <c r="P108">
        <v>0</v>
      </c>
      <c r="Q108">
        <v>0</v>
      </c>
      <c r="R108">
        <v>0</v>
      </c>
      <c r="S108">
        <v>0</v>
      </c>
      <c r="T108">
        <v>0</v>
      </c>
      <c r="U108">
        <v>0</v>
      </c>
      <c r="V108">
        <v>0</v>
      </c>
      <c r="W108">
        <v>0</v>
      </c>
      <c r="X108" s="13">
        <v>30.125</v>
      </c>
      <c r="Y108" s="10" t="s">
        <v>901</v>
      </c>
      <c r="Z108" s="10" t="s">
        <v>941</v>
      </c>
      <c r="AA108" s="10">
        <v>0.1</v>
      </c>
      <c r="AB108" s="10">
        <v>0.25</v>
      </c>
      <c r="AC108" s="10"/>
    </row>
    <row r="109" spans="1:29" hidden="1" x14ac:dyDescent="0.25">
      <c r="A109" s="10" t="s">
        <v>403</v>
      </c>
      <c r="B109" s="10" t="s">
        <v>404</v>
      </c>
      <c r="C109" s="10" t="s">
        <v>306</v>
      </c>
      <c r="D109" s="10"/>
      <c r="E109" s="10" t="s">
        <v>285</v>
      </c>
      <c r="F109" s="10" t="s">
        <v>214</v>
      </c>
      <c r="G109" s="10" t="s">
        <v>412</v>
      </c>
      <c r="H109" s="12">
        <v>233.24</v>
      </c>
      <c r="I109">
        <v>1</v>
      </c>
      <c r="J109" s="12">
        <v>233.24</v>
      </c>
      <c r="K109" s="10" t="s">
        <v>284</v>
      </c>
      <c r="L109" s="2">
        <v>45832.875</v>
      </c>
      <c r="M109" s="10"/>
      <c r="N109">
        <v>0</v>
      </c>
      <c r="O109" s="10"/>
      <c r="P109">
        <v>0</v>
      </c>
      <c r="Q109">
        <v>0</v>
      </c>
      <c r="R109">
        <v>0</v>
      </c>
      <c r="S109">
        <v>0</v>
      </c>
      <c r="T109">
        <v>0</v>
      </c>
      <c r="U109">
        <v>0</v>
      </c>
      <c r="V109">
        <v>0</v>
      </c>
      <c r="W109">
        <v>0</v>
      </c>
      <c r="X109" s="13">
        <v>30.125</v>
      </c>
      <c r="Y109" s="10" t="s">
        <v>901</v>
      </c>
      <c r="Z109" s="10" t="s">
        <v>941</v>
      </c>
      <c r="AA109" s="10">
        <v>0.1</v>
      </c>
      <c r="AB109" s="10">
        <v>0.25</v>
      </c>
      <c r="AC109" s="10"/>
    </row>
    <row r="110" spans="1:29" hidden="1" x14ac:dyDescent="0.25">
      <c r="A110" s="10" t="s">
        <v>403</v>
      </c>
      <c r="B110" s="10" t="s">
        <v>404</v>
      </c>
      <c r="C110" s="10" t="s">
        <v>409</v>
      </c>
      <c r="D110" s="10"/>
      <c r="E110" s="10" t="s">
        <v>285</v>
      </c>
      <c r="F110" s="10" t="s">
        <v>215</v>
      </c>
      <c r="G110" s="10" t="s">
        <v>413</v>
      </c>
      <c r="H110" s="12">
        <v>358.94</v>
      </c>
      <c r="I110">
        <v>1</v>
      </c>
      <c r="J110" s="12">
        <v>358.94</v>
      </c>
      <c r="K110" s="10" t="s">
        <v>284</v>
      </c>
      <c r="L110" s="2">
        <v>45832.875</v>
      </c>
      <c r="M110" s="10"/>
      <c r="N110">
        <v>0</v>
      </c>
      <c r="O110" s="10"/>
      <c r="P110">
        <v>0</v>
      </c>
      <c r="Q110">
        <v>0</v>
      </c>
      <c r="R110">
        <v>0</v>
      </c>
      <c r="S110">
        <v>0</v>
      </c>
      <c r="T110">
        <v>0</v>
      </c>
      <c r="U110">
        <v>0</v>
      </c>
      <c r="V110">
        <v>0</v>
      </c>
      <c r="W110">
        <v>0</v>
      </c>
      <c r="X110" s="13">
        <v>30.125</v>
      </c>
      <c r="Y110" s="10" t="s">
        <v>901</v>
      </c>
      <c r="Z110" s="10" t="s">
        <v>941</v>
      </c>
      <c r="AA110" s="10">
        <v>0.1</v>
      </c>
      <c r="AB110" s="10">
        <v>0.25</v>
      </c>
      <c r="AC110" s="10"/>
    </row>
    <row r="111" spans="1:29" hidden="1" x14ac:dyDescent="0.25">
      <c r="A111" s="10" t="s">
        <v>403</v>
      </c>
      <c r="B111" s="10" t="s">
        <v>404</v>
      </c>
      <c r="C111" s="10" t="s">
        <v>416</v>
      </c>
      <c r="D111" s="10"/>
      <c r="E111" s="10" t="s">
        <v>285</v>
      </c>
      <c r="F111" s="10" t="s">
        <v>414</v>
      </c>
      <c r="G111" s="10" t="s">
        <v>412</v>
      </c>
      <c r="H111" s="12">
        <v>438.99</v>
      </c>
      <c r="I111">
        <v>1</v>
      </c>
      <c r="J111" s="12">
        <v>438.99</v>
      </c>
      <c r="K111" s="10" t="s">
        <v>284</v>
      </c>
      <c r="L111" s="2">
        <v>45832.875</v>
      </c>
      <c r="M111" s="10"/>
      <c r="N111">
        <v>0</v>
      </c>
      <c r="O111" s="10"/>
      <c r="P111">
        <v>0</v>
      </c>
      <c r="Q111">
        <v>0</v>
      </c>
      <c r="R111">
        <v>0</v>
      </c>
      <c r="S111">
        <v>0</v>
      </c>
      <c r="T111">
        <v>0</v>
      </c>
      <c r="U111">
        <v>0</v>
      </c>
      <c r="V111">
        <v>0</v>
      </c>
      <c r="W111">
        <v>0</v>
      </c>
      <c r="X111" s="13">
        <v>30.125</v>
      </c>
      <c r="Y111" s="10" t="s">
        <v>901</v>
      </c>
      <c r="Z111" s="10" t="s">
        <v>941</v>
      </c>
      <c r="AA111" s="10">
        <v>0.1</v>
      </c>
      <c r="AB111" s="10">
        <v>0.25</v>
      </c>
      <c r="AC111" s="10"/>
    </row>
    <row r="112" spans="1:29" hidden="1" x14ac:dyDescent="0.25">
      <c r="A112" s="10" t="s">
        <v>403</v>
      </c>
      <c r="B112" s="10" t="s">
        <v>404</v>
      </c>
      <c r="C112" s="10" t="s">
        <v>417</v>
      </c>
      <c r="D112" s="10" t="s">
        <v>420</v>
      </c>
      <c r="E112" s="10" t="s">
        <v>285</v>
      </c>
      <c r="F112" s="10" t="s">
        <v>415</v>
      </c>
      <c r="G112" s="10" t="s">
        <v>418</v>
      </c>
      <c r="H112" s="12">
        <v>476.91</v>
      </c>
      <c r="I112">
        <v>1</v>
      </c>
      <c r="J112" s="12">
        <v>476.91</v>
      </c>
      <c r="K112" s="10" t="s">
        <v>284</v>
      </c>
      <c r="L112" s="2">
        <v>45832.875</v>
      </c>
      <c r="M112" s="10"/>
      <c r="N112">
        <v>0</v>
      </c>
      <c r="O112" s="10"/>
      <c r="P112">
        <v>0</v>
      </c>
      <c r="Q112">
        <v>0</v>
      </c>
      <c r="R112">
        <v>0</v>
      </c>
      <c r="S112">
        <v>0</v>
      </c>
      <c r="T112">
        <v>0</v>
      </c>
      <c r="U112">
        <v>0</v>
      </c>
      <c r="V112">
        <v>0</v>
      </c>
      <c r="W112">
        <v>0</v>
      </c>
      <c r="X112" s="13">
        <v>30.125</v>
      </c>
      <c r="Y112" s="10" t="s">
        <v>901</v>
      </c>
      <c r="Z112" s="10" t="s">
        <v>941</v>
      </c>
      <c r="AA112" s="10">
        <v>0.1</v>
      </c>
      <c r="AB112" s="10">
        <v>0.25</v>
      </c>
      <c r="AC112" s="10"/>
    </row>
    <row r="113" spans="1:29" hidden="1" x14ac:dyDescent="0.25">
      <c r="A113" s="10" t="s">
        <v>403</v>
      </c>
      <c r="B113" s="10" t="s">
        <v>404</v>
      </c>
      <c r="C113" s="10"/>
      <c r="D113" s="10"/>
      <c r="E113" s="10" t="s">
        <v>285</v>
      </c>
      <c r="F113" s="10" t="s">
        <v>213</v>
      </c>
      <c r="G113" s="10" t="s">
        <v>419</v>
      </c>
      <c r="H113" s="12">
        <v>22.02</v>
      </c>
      <c r="I113">
        <v>1</v>
      </c>
      <c r="J113" s="12">
        <v>22.02</v>
      </c>
      <c r="K113" s="10" t="s">
        <v>284</v>
      </c>
      <c r="L113" s="2">
        <v>45832.875</v>
      </c>
      <c r="M113" s="10"/>
      <c r="N113">
        <v>0</v>
      </c>
      <c r="O113" s="10"/>
      <c r="P113">
        <v>0</v>
      </c>
      <c r="Q113">
        <v>0</v>
      </c>
      <c r="R113">
        <v>0</v>
      </c>
      <c r="S113">
        <v>0</v>
      </c>
      <c r="T113">
        <v>0</v>
      </c>
      <c r="U113">
        <v>0</v>
      </c>
      <c r="V113">
        <v>0</v>
      </c>
      <c r="W113">
        <v>0</v>
      </c>
      <c r="X113" s="13">
        <v>30.125</v>
      </c>
      <c r="Y113" s="10" t="s">
        <v>901</v>
      </c>
      <c r="Z113" s="10" t="s">
        <v>941</v>
      </c>
      <c r="AA113" s="10">
        <v>0.1</v>
      </c>
      <c r="AB113" s="10">
        <v>0.1</v>
      </c>
      <c r="AC113" s="10"/>
    </row>
    <row r="114" spans="1:29" hidden="1" x14ac:dyDescent="0.25">
      <c r="A114" s="10" t="s">
        <v>421</v>
      </c>
      <c r="B114" s="10"/>
      <c r="C114" s="10"/>
      <c r="D114" s="10"/>
      <c r="E114" s="10" t="s">
        <v>285</v>
      </c>
      <c r="F114" s="10" t="s">
        <v>222</v>
      </c>
      <c r="G114" s="10" t="s">
        <v>422</v>
      </c>
      <c r="H114" s="12">
        <v>128.41</v>
      </c>
      <c r="I114">
        <v>1</v>
      </c>
      <c r="J114" s="12">
        <v>128.41</v>
      </c>
      <c r="K114" s="10" t="s">
        <v>284</v>
      </c>
      <c r="L114" s="2">
        <v>45832.875</v>
      </c>
      <c r="M114" s="10"/>
      <c r="N114">
        <v>0</v>
      </c>
      <c r="O114" s="10"/>
      <c r="P114">
        <v>0</v>
      </c>
      <c r="Q114">
        <v>0</v>
      </c>
      <c r="R114">
        <v>0</v>
      </c>
      <c r="S114">
        <v>0</v>
      </c>
      <c r="T114">
        <v>0</v>
      </c>
      <c r="U114">
        <v>0</v>
      </c>
      <c r="V114">
        <v>0</v>
      </c>
      <c r="W114">
        <v>0</v>
      </c>
      <c r="X114" s="13">
        <v>30.125</v>
      </c>
      <c r="Y114" s="10" t="s">
        <v>901</v>
      </c>
      <c r="Z114" s="10" t="s">
        <v>941</v>
      </c>
      <c r="AA114" s="10">
        <v>0.25</v>
      </c>
      <c r="AB114" s="10">
        <v>0.25</v>
      </c>
      <c r="AC114" s="10"/>
    </row>
    <row r="115" spans="1:29" hidden="1" x14ac:dyDescent="0.25">
      <c r="A115" s="10" t="s">
        <v>421</v>
      </c>
      <c r="B115" s="10"/>
      <c r="C115" s="10"/>
      <c r="D115" s="10"/>
      <c r="E115" s="10" t="s">
        <v>285</v>
      </c>
      <c r="F115" s="10" t="s">
        <v>216</v>
      </c>
      <c r="G115" s="10" t="s">
        <v>424</v>
      </c>
      <c r="H115" s="12">
        <v>204.33</v>
      </c>
      <c r="I115">
        <v>1</v>
      </c>
      <c r="J115" s="12">
        <v>204.33</v>
      </c>
      <c r="K115" s="10" t="s">
        <v>284</v>
      </c>
      <c r="L115" s="2">
        <v>45832.875</v>
      </c>
      <c r="M115" s="10"/>
      <c r="N115">
        <v>0</v>
      </c>
      <c r="O115" s="10"/>
      <c r="P115">
        <v>0</v>
      </c>
      <c r="Q115">
        <v>0</v>
      </c>
      <c r="R115">
        <v>0</v>
      </c>
      <c r="S115">
        <v>0</v>
      </c>
      <c r="T115">
        <v>0</v>
      </c>
      <c r="U115">
        <v>0</v>
      </c>
      <c r="V115">
        <v>0</v>
      </c>
      <c r="W115">
        <v>0</v>
      </c>
      <c r="X115" s="13">
        <v>30.125</v>
      </c>
      <c r="Y115" s="10" t="s">
        <v>901</v>
      </c>
      <c r="Z115" s="10" t="s">
        <v>941</v>
      </c>
      <c r="AA115" s="10">
        <v>0.25</v>
      </c>
      <c r="AB115" s="10">
        <v>0.25</v>
      </c>
      <c r="AC115" s="10"/>
    </row>
    <row r="116" spans="1:29" hidden="1" x14ac:dyDescent="0.25">
      <c r="A116" s="10" t="s">
        <v>421</v>
      </c>
      <c r="B116" s="10"/>
      <c r="C116" s="10"/>
      <c r="D116" s="10"/>
      <c r="E116" s="10" t="s">
        <v>285</v>
      </c>
      <c r="F116" s="10" t="s">
        <v>219</v>
      </c>
      <c r="G116" s="10" t="s">
        <v>423</v>
      </c>
      <c r="H116" s="12">
        <v>281.2</v>
      </c>
      <c r="I116">
        <v>1</v>
      </c>
      <c r="J116" s="12">
        <v>281.2</v>
      </c>
      <c r="K116" s="10" t="s">
        <v>284</v>
      </c>
      <c r="L116" s="2">
        <v>45832.875</v>
      </c>
      <c r="M116" s="10"/>
      <c r="N116">
        <v>0</v>
      </c>
      <c r="O116" s="10"/>
      <c r="P116">
        <v>0</v>
      </c>
      <c r="Q116">
        <v>0</v>
      </c>
      <c r="R116">
        <v>0</v>
      </c>
      <c r="S116">
        <v>0</v>
      </c>
      <c r="T116">
        <v>0</v>
      </c>
      <c r="U116">
        <v>0</v>
      </c>
      <c r="V116">
        <v>0</v>
      </c>
      <c r="W116">
        <v>0</v>
      </c>
      <c r="X116" s="13">
        <v>30.125</v>
      </c>
      <c r="Y116" s="10" t="s">
        <v>901</v>
      </c>
      <c r="Z116" s="10" t="s">
        <v>941</v>
      </c>
      <c r="AA116" s="10">
        <v>0.25</v>
      </c>
      <c r="AB116" s="10">
        <v>0.25</v>
      </c>
      <c r="AC116" s="10"/>
    </row>
    <row r="117" spans="1:29" hidden="1" x14ac:dyDescent="0.25">
      <c r="A117" s="10" t="s">
        <v>421</v>
      </c>
      <c r="B117" s="10"/>
      <c r="C117" s="10"/>
      <c r="D117" s="10" t="s">
        <v>426</v>
      </c>
      <c r="E117" s="10" t="s">
        <v>285</v>
      </c>
      <c r="F117" s="10" t="s">
        <v>218</v>
      </c>
      <c r="G117" s="10" t="s">
        <v>425</v>
      </c>
      <c r="H117" s="12">
        <v>234.52</v>
      </c>
      <c r="I117">
        <v>1</v>
      </c>
      <c r="J117" s="12">
        <v>234.52</v>
      </c>
      <c r="K117" s="10" t="s">
        <v>284</v>
      </c>
      <c r="L117" s="2">
        <v>45832.875</v>
      </c>
      <c r="M117" s="10"/>
      <c r="N117">
        <v>0</v>
      </c>
      <c r="O117" s="10"/>
      <c r="P117">
        <v>0</v>
      </c>
      <c r="Q117">
        <v>0</v>
      </c>
      <c r="R117">
        <v>0</v>
      </c>
      <c r="S117">
        <v>0</v>
      </c>
      <c r="T117">
        <v>0</v>
      </c>
      <c r="U117">
        <v>0</v>
      </c>
      <c r="V117">
        <v>0</v>
      </c>
      <c r="W117">
        <v>0</v>
      </c>
      <c r="X117" s="13">
        <v>30.125</v>
      </c>
      <c r="Y117" s="10" t="s">
        <v>901</v>
      </c>
      <c r="Z117" s="10" t="s">
        <v>941</v>
      </c>
      <c r="AA117" s="10">
        <v>0.25</v>
      </c>
      <c r="AB117" s="10">
        <v>0</v>
      </c>
      <c r="AC117" s="10"/>
    </row>
    <row r="118" spans="1:29" hidden="1" x14ac:dyDescent="0.25">
      <c r="A118" s="10" t="s">
        <v>421</v>
      </c>
      <c r="B118" s="10"/>
      <c r="C118" s="10"/>
      <c r="D118" s="10"/>
      <c r="E118" s="10" t="s">
        <v>285</v>
      </c>
      <c r="F118" s="10" t="s">
        <v>217</v>
      </c>
      <c r="G118" s="10" t="s">
        <v>427</v>
      </c>
      <c r="H118" s="12">
        <v>162.5</v>
      </c>
      <c r="I118">
        <v>1</v>
      </c>
      <c r="J118" s="12">
        <v>162.5</v>
      </c>
      <c r="K118" s="10" t="s">
        <v>284</v>
      </c>
      <c r="L118" s="2">
        <v>45832.875</v>
      </c>
      <c r="M118" s="10"/>
      <c r="N118">
        <v>0</v>
      </c>
      <c r="O118" s="10"/>
      <c r="P118">
        <v>0</v>
      </c>
      <c r="Q118">
        <v>0</v>
      </c>
      <c r="R118">
        <v>0</v>
      </c>
      <c r="S118">
        <v>0</v>
      </c>
      <c r="T118">
        <v>0</v>
      </c>
      <c r="U118">
        <v>0</v>
      </c>
      <c r="V118">
        <v>0</v>
      </c>
      <c r="W118">
        <v>0</v>
      </c>
      <c r="X118" s="13">
        <v>30.125</v>
      </c>
      <c r="Y118" s="10" t="s">
        <v>901</v>
      </c>
      <c r="Z118" s="10" t="s">
        <v>941</v>
      </c>
      <c r="AA118" s="10">
        <v>0.25</v>
      </c>
      <c r="AB118" s="10">
        <v>1</v>
      </c>
      <c r="AC118" s="10"/>
    </row>
    <row r="119" spans="1:29" hidden="1" x14ac:dyDescent="0.25">
      <c r="A119" s="10" t="s">
        <v>620</v>
      </c>
      <c r="B119" s="10"/>
      <c r="C119" s="10"/>
      <c r="D119" s="10"/>
      <c r="E119" s="10" t="s">
        <v>503</v>
      </c>
      <c r="F119" s="10" t="s">
        <v>162</v>
      </c>
      <c r="G119" s="10" t="s">
        <v>265</v>
      </c>
      <c r="H119" s="12">
        <v>1900.36</v>
      </c>
      <c r="I119">
        <v>1</v>
      </c>
      <c r="J119" s="12">
        <v>1900.36</v>
      </c>
      <c r="K119" s="10" t="s">
        <v>284</v>
      </c>
      <c r="L119" s="2">
        <v>45832.875</v>
      </c>
      <c r="M119" s="10"/>
      <c r="N119">
        <v>0</v>
      </c>
      <c r="O119" s="10"/>
      <c r="P119">
        <v>0</v>
      </c>
      <c r="Q119">
        <v>0</v>
      </c>
      <c r="R119">
        <v>0</v>
      </c>
      <c r="S119">
        <v>0</v>
      </c>
      <c r="T119">
        <v>0</v>
      </c>
      <c r="U119">
        <v>0</v>
      </c>
      <c r="V119">
        <v>0</v>
      </c>
      <c r="W119">
        <v>0</v>
      </c>
      <c r="X119" s="13">
        <v>29.125</v>
      </c>
      <c r="Y119" s="10" t="s">
        <v>901</v>
      </c>
      <c r="Z119" s="10" t="s">
        <v>941</v>
      </c>
      <c r="AA119" s="10">
        <v>0.1</v>
      </c>
      <c r="AB119" s="10"/>
      <c r="AC119" s="10"/>
    </row>
    <row r="120" spans="1:29" hidden="1" x14ac:dyDescent="0.25">
      <c r="A120" s="10" t="s">
        <v>620</v>
      </c>
      <c r="B120" s="10"/>
      <c r="C120" s="10"/>
      <c r="D120" s="10"/>
      <c r="E120" s="10" t="s">
        <v>503</v>
      </c>
      <c r="F120" s="10" t="s">
        <v>163</v>
      </c>
      <c r="G120" s="10" t="s">
        <v>266</v>
      </c>
      <c r="H120" s="12">
        <v>1931.51</v>
      </c>
      <c r="I120">
        <v>1</v>
      </c>
      <c r="J120" s="12">
        <v>1931.51</v>
      </c>
      <c r="K120" s="10" t="s">
        <v>284</v>
      </c>
      <c r="L120" s="2">
        <v>45832.875</v>
      </c>
      <c r="M120" s="10"/>
      <c r="N120">
        <v>0</v>
      </c>
      <c r="O120" s="10"/>
      <c r="P120">
        <v>0</v>
      </c>
      <c r="Q120">
        <v>0</v>
      </c>
      <c r="R120">
        <v>0</v>
      </c>
      <c r="S120">
        <v>0</v>
      </c>
      <c r="T120">
        <v>0</v>
      </c>
      <c r="U120">
        <v>0</v>
      </c>
      <c r="V120">
        <v>0</v>
      </c>
      <c r="W120">
        <v>0</v>
      </c>
      <c r="X120" s="13">
        <v>29.125</v>
      </c>
      <c r="Y120" s="10" t="s">
        <v>901</v>
      </c>
      <c r="Z120" s="10" t="s">
        <v>941</v>
      </c>
      <c r="AA120" s="10">
        <v>0.1</v>
      </c>
      <c r="AB120" s="10"/>
      <c r="AC120" s="10"/>
    </row>
    <row r="121" spans="1:29" hidden="1" x14ac:dyDescent="0.25">
      <c r="A121" s="10" t="s">
        <v>620</v>
      </c>
      <c r="B121" s="10"/>
      <c r="C121" s="10"/>
      <c r="D121" s="10"/>
      <c r="E121" s="10" t="s">
        <v>503</v>
      </c>
      <c r="F121" s="10" t="s">
        <v>164</v>
      </c>
      <c r="G121" s="10" t="s">
        <v>267</v>
      </c>
      <c r="H121" s="12">
        <v>1900.36</v>
      </c>
      <c r="I121">
        <v>1</v>
      </c>
      <c r="J121" s="12">
        <v>1900.36</v>
      </c>
      <c r="K121" s="10" t="s">
        <v>284</v>
      </c>
      <c r="L121" s="2">
        <v>45832.875</v>
      </c>
      <c r="M121" s="10"/>
      <c r="N121">
        <v>0</v>
      </c>
      <c r="O121" s="10"/>
      <c r="P121">
        <v>0</v>
      </c>
      <c r="Q121">
        <v>0</v>
      </c>
      <c r="R121">
        <v>0</v>
      </c>
      <c r="S121">
        <v>0</v>
      </c>
      <c r="T121">
        <v>0</v>
      </c>
      <c r="U121">
        <v>0</v>
      </c>
      <c r="V121">
        <v>0</v>
      </c>
      <c r="W121">
        <v>0</v>
      </c>
      <c r="X121" s="13">
        <v>29.125</v>
      </c>
      <c r="Y121" s="10" t="s">
        <v>901</v>
      </c>
      <c r="Z121" s="10" t="s">
        <v>941</v>
      </c>
      <c r="AA121" s="10">
        <v>0.1</v>
      </c>
      <c r="AB121" s="10"/>
      <c r="AC121" s="10"/>
    </row>
    <row r="122" spans="1:29" hidden="1" x14ac:dyDescent="0.25">
      <c r="A122" s="10" t="s">
        <v>620</v>
      </c>
      <c r="B122" s="10"/>
      <c r="C122" s="10"/>
      <c r="D122" s="10"/>
      <c r="E122" s="10" t="s">
        <v>503</v>
      </c>
      <c r="F122" s="10" t="s">
        <v>168</v>
      </c>
      <c r="G122" s="10" t="s">
        <v>268</v>
      </c>
      <c r="H122" s="12">
        <v>3325.05</v>
      </c>
      <c r="I122">
        <v>1</v>
      </c>
      <c r="J122" s="12">
        <v>3325.05</v>
      </c>
      <c r="K122" s="10" t="s">
        <v>284</v>
      </c>
      <c r="L122" s="2">
        <v>45832.875</v>
      </c>
      <c r="M122" s="10"/>
      <c r="N122">
        <v>0</v>
      </c>
      <c r="O122" s="10"/>
      <c r="P122">
        <v>0</v>
      </c>
      <c r="Q122">
        <v>0</v>
      </c>
      <c r="R122">
        <v>0</v>
      </c>
      <c r="S122">
        <v>0</v>
      </c>
      <c r="T122">
        <v>0</v>
      </c>
      <c r="U122">
        <v>0</v>
      </c>
      <c r="V122">
        <v>0</v>
      </c>
      <c r="W122">
        <v>0</v>
      </c>
      <c r="X122" s="13">
        <v>29.125</v>
      </c>
      <c r="Y122" s="10" t="s">
        <v>901</v>
      </c>
      <c r="Z122" s="10" t="s">
        <v>941</v>
      </c>
      <c r="AA122" s="10">
        <v>0.1</v>
      </c>
      <c r="AB122" s="10"/>
      <c r="AC122" s="10"/>
    </row>
    <row r="123" spans="1:29" hidden="1" x14ac:dyDescent="0.25">
      <c r="A123" s="10" t="s">
        <v>620</v>
      </c>
      <c r="B123" s="10"/>
      <c r="C123" s="10"/>
      <c r="D123" s="10"/>
      <c r="E123" s="10" t="s">
        <v>503</v>
      </c>
      <c r="F123" s="10" t="s">
        <v>169</v>
      </c>
      <c r="G123" s="10" t="s">
        <v>269</v>
      </c>
      <c r="H123" s="12">
        <v>3353.41</v>
      </c>
      <c r="I123">
        <v>1</v>
      </c>
      <c r="J123" s="12">
        <v>3353.41</v>
      </c>
      <c r="K123" s="10" t="s">
        <v>284</v>
      </c>
      <c r="L123" s="2">
        <v>45832.875</v>
      </c>
      <c r="M123" s="10"/>
      <c r="N123">
        <v>0</v>
      </c>
      <c r="O123" s="10"/>
      <c r="P123">
        <v>0</v>
      </c>
      <c r="Q123">
        <v>0</v>
      </c>
      <c r="R123">
        <v>0</v>
      </c>
      <c r="S123">
        <v>0</v>
      </c>
      <c r="T123">
        <v>0</v>
      </c>
      <c r="U123">
        <v>0</v>
      </c>
      <c r="V123">
        <v>0</v>
      </c>
      <c r="W123">
        <v>0</v>
      </c>
      <c r="X123" s="13">
        <v>29.125</v>
      </c>
      <c r="Y123" s="10" t="s">
        <v>901</v>
      </c>
      <c r="Z123" s="10" t="s">
        <v>941</v>
      </c>
      <c r="AA123" s="10">
        <v>0.2</v>
      </c>
      <c r="AB123" s="10"/>
      <c r="AC123" s="10"/>
    </row>
    <row r="124" spans="1:29" hidden="1" x14ac:dyDescent="0.25">
      <c r="A124" s="10" t="s">
        <v>620</v>
      </c>
      <c r="B124" s="10"/>
      <c r="C124" s="10"/>
      <c r="D124" s="10"/>
      <c r="E124" s="10" t="s">
        <v>503</v>
      </c>
      <c r="F124" s="10" t="s">
        <v>170</v>
      </c>
      <c r="G124" s="10" t="s">
        <v>270</v>
      </c>
      <c r="H124" s="12">
        <v>3325.05</v>
      </c>
      <c r="I124">
        <v>1</v>
      </c>
      <c r="J124" s="12">
        <v>3325.05</v>
      </c>
      <c r="K124" s="10" t="s">
        <v>284</v>
      </c>
      <c r="L124" s="2">
        <v>45832.875</v>
      </c>
      <c r="M124" s="10"/>
      <c r="N124">
        <v>0</v>
      </c>
      <c r="O124" s="10"/>
      <c r="P124">
        <v>0</v>
      </c>
      <c r="Q124">
        <v>0</v>
      </c>
      <c r="R124">
        <v>0</v>
      </c>
      <c r="S124">
        <v>0</v>
      </c>
      <c r="T124">
        <v>0</v>
      </c>
      <c r="U124">
        <v>0</v>
      </c>
      <c r="V124">
        <v>0</v>
      </c>
      <c r="W124">
        <v>0</v>
      </c>
      <c r="X124" s="13">
        <v>29.125</v>
      </c>
      <c r="Y124" s="10" t="s">
        <v>901</v>
      </c>
      <c r="Z124" s="10" t="s">
        <v>941</v>
      </c>
      <c r="AA124" s="10">
        <v>0.2</v>
      </c>
      <c r="AB124" s="10"/>
      <c r="AC124" s="10"/>
    </row>
    <row r="125" spans="1:29" hidden="1" x14ac:dyDescent="0.25">
      <c r="A125" s="10" t="s">
        <v>620</v>
      </c>
      <c r="B125" s="10"/>
      <c r="C125" s="10"/>
      <c r="D125" s="10" t="s">
        <v>160</v>
      </c>
      <c r="E125" s="10" t="s">
        <v>503</v>
      </c>
      <c r="F125" s="10" t="s">
        <v>159</v>
      </c>
      <c r="G125" s="10" t="s">
        <v>509</v>
      </c>
      <c r="H125" s="12">
        <v>239.67</v>
      </c>
      <c r="I125">
        <v>1</v>
      </c>
      <c r="J125" s="12">
        <v>239.67</v>
      </c>
      <c r="K125" s="10" t="s">
        <v>284</v>
      </c>
      <c r="L125" s="2">
        <v>45832.875</v>
      </c>
      <c r="M125" s="10"/>
      <c r="N125">
        <v>0</v>
      </c>
      <c r="O125" s="10"/>
      <c r="P125">
        <v>0</v>
      </c>
      <c r="Q125">
        <v>0</v>
      </c>
      <c r="R125">
        <v>0</v>
      </c>
      <c r="S125">
        <v>0</v>
      </c>
      <c r="T125">
        <v>0</v>
      </c>
      <c r="U125">
        <v>0</v>
      </c>
      <c r="V125">
        <v>0</v>
      </c>
      <c r="W125">
        <v>0</v>
      </c>
      <c r="X125" s="13">
        <v>30.125</v>
      </c>
      <c r="Y125" s="10" t="s">
        <v>901</v>
      </c>
      <c r="Z125" s="10" t="s">
        <v>941</v>
      </c>
      <c r="AA125" s="10">
        <v>8</v>
      </c>
      <c r="AB125" s="10">
        <v>8</v>
      </c>
      <c r="AC125" s="10"/>
    </row>
    <row r="126" spans="1:29" hidden="1" x14ac:dyDescent="0.25">
      <c r="A126" s="10" t="s">
        <v>620</v>
      </c>
      <c r="B126" s="10"/>
      <c r="C126" s="10"/>
      <c r="D126" s="10" t="s">
        <v>166</v>
      </c>
      <c r="E126" s="10" t="s">
        <v>503</v>
      </c>
      <c r="F126" s="10" t="s">
        <v>165</v>
      </c>
      <c r="G126" s="10" t="s">
        <v>510</v>
      </c>
      <c r="H126" s="12">
        <v>471.08</v>
      </c>
      <c r="I126">
        <v>1</v>
      </c>
      <c r="J126" s="12">
        <v>471.08</v>
      </c>
      <c r="K126" s="10" t="s">
        <v>284</v>
      </c>
      <c r="L126" s="2">
        <v>45832.875</v>
      </c>
      <c r="M126" s="10"/>
      <c r="N126">
        <v>0</v>
      </c>
      <c r="O126" s="10"/>
      <c r="P126">
        <v>0</v>
      </c>
      <c r="Q126">
        <v>0</v>
      </c>
      <c r="R126">
        <v>0</v>
      </c>
      <c r="S126">
        <v>0</v>
      </c>
      <c r="T126">
        <v>0</v>
      </c>
      <c r="U126">
        <v>0</v>
      </c>
      <c r="V126">
        <v>0</v>
      </c>
      <c r="W126">
        <v>0</v>
      </c>
      <c r="X126" s="13">
        <v>30.125</v>
      </c>
      <c r="Y126" s="10" t="s">
        <v>901</v>
      </c>
      <c r="Z126" s="10" t="s">
        <v>941</v>
      </c>
      <c r="AA126" s="10">
        <v>12</v>
      </c>
      <c r="AB126" s="10">
        <v>12</v>
      </c>
      <c r="AC126" s="10"/>
    </row>
    <row r="127" spans="1:29" hidden="1" x14ac:dyDescent="0.25">
      <c r="A127" s="10" t="s">
        <v>620</v>
      </c>
      <c r="B127" s="10"/>
      <c r="C127" s="10"/>
      <c r="D127" s="10"/>
      <c r="E127" s="10" t="s">
        <v>503</v>
      </c>
      <c r="F127" s="10" t="s">
        <v>161</v>
      </c>
      <c r="G127" s="10" t="s">
        <v>511</v>
      </c>
      <c r="H127" s="12">
        <v>251.66</v>
      </c>
      <c r="I127">
        <v>1</v>
      </c>
      <c r="J127" s="12">
        <v>251.66</v>
      </c>
      <c r="K127" s="10" t="s">
        <v>284</v>
      </c>
      <c r="L127" s="2">
        <v>45832.875</v>
      </c>
      <c r="M127" s="10"/>
      <c r="N127">
        <v>0</v>
      </c>
      <c r="O127" s="10"/>
      <c r="P127">
        <v>0</v>
      </c>
      <c r="Q127">
        <v>0</v>
      </c>
      <c r="R127">
        <v>0</v>
      </c>
      <c r="S127">
        <v>0</v>
      </c>
      <c r="T127">
        <v>0</v>
      </c>
      <c r="U127">
        <v>0</v>
      </c>
      <c r="V127">
        <v>0</v>
      </c>
      <c r="W127">
        <v>0</v>
      </c>
      <c r="X127" s="13">
        <v>30.125</v>
      </c>
      <c r="Y127" s="10" t="s">
        <v>901</v>
      </c>
      <c r="Z127" s="10" t="s">
        <v>941</v>
      </c>
      <c r="AA127" s="10">
        <v>8</v>
      </c>
      <c r="AB127" s="10">
        <v>8</v>
      </c>
      <c r="AC127" s="10"/>
    </row>
    <row r="128" spans="1:29" hidden="1" x14ac:dyDescent="0.25">
      <c r="A128" s="10" t="s">
        <v>620</v>
      </c>
      <c r="B128" s="10"/>
      <c r="C128" s="10"/>
      <c r="D128" s="10"/>
      <c r="E128" s="10" t="s">
        <v>503</v>
      </c>
      <c r="F128" s="10" t="s">
        <v>167</v>
      </c>
      <c r="G128" s="10" t="s">
        <v>512</v>
      </c>
      <c r="H128" s="12">
        <v>909.52</v>
      </c>
      <c r="I128">
        <v>1</v>
      </c>
      <c r="J128" s="12">
        <v>909.52</v>
      </c>
      <c r="K128" s="10" t="s">
        <v>284</v>
      </c>
      <c r="L128" s="2">
        <v>45832.875</v>
      </c>
      <c r="M128" s="10"/>
      <c r="N128">
        <v>0</v>
      </c>
      <c r="O128" s="10"/>
      <c r="P128">
        <v>0</v>
      </c>
      <c r="Q128">
        <v>0</v>
      </c>
      <c r="R128">
        <v>0</v>
      </c>
      <c r="S128">
        <v>0</v>
      </c>
      <c r="T128">
        <v>0</v>
      </c>
      <c r="U128">
        <v>0</v>
      </c>
      <c r="V128">
        <v>0</v>
      </c>
      <c r="W128">
        <v>0</v>
      </c>
      <c r="X128" s="13">
        <v>30.125</v>
      </c>
      <c r="Y128" s="10" t="s">
        <v>901</v>
      </c>
      <c r="Z128" s="10" t="s">
        <v>941</v>
      </c>
      <c r="AA128" s="10">
        <v>12</v>
      </c>
      <c r="AB128" s="10">
        <v>12</v>
      </c>
      <c r="AC128" s="10"/>
    </row>
    <row r="129" spans="1:29" hidden="1" x14ac:dyDescent="0.25">
      <c r="A129" s="10" t="s">
        <v>620</v>
      </c>
      <c r="B129" s="10"/>
      <c r="C129" s="10"/>
      <c r="D129" s="10" t="s">
        <v>155</v>
      </c>
      <c r="E129" s="10" t="s">
        <v>503</v>
      </c>
      <c r="F129" s="10" t="s">
        <v>154</v>
      </c>
      <c r="G129" s="10" t="s">
        <v>508</v>
      </c>
      <c r="H129" s="12">
        <v>215.16</v>
      </c>
      <c r="I129">
        <v>1</v>
      </c>
      <c r="J129" s="12">
        <v>215.16</v>
      </c>
      <c r="K129" s="10" t="s">
        <v>284</v>
      </c>
      <c r="L129" s="2">
        <v>45832.875</v>
      </c>
      <c r="M129" s="10"/>
      <c r="N129">
        <v>0</v>
      </c>
      <c r="O129" s="10"/>
      <c r="P129">
        <v>0</v>
      </c>
      <c r="Q129">
        <v>0</v>
      </c>
      <c r="R129">
        <v>0</v>
      </c>
      <c r="S129">
        <v>0</v>
      </c>
      <c r="T129">
        <v>0</v>
      </c>
      <c r="U129">
        <v>0</v>
      </c>
      <c r="V129">
        <v>0</v>
      </c>
      <c r="W129">
        <v>0</v>
      </c>
      <c r="X129" s="13">
        <v>30.125</v>
      </c>
      <c r="Y129" s="10" t="s">
        <v>901</v>
      </c>
      <c r="Z129" s="10" t="s">
        <v>941</v>
      </c>
      <c r="AA129" s="10">
        <v>0.1</v>
      </c>
      <c r="AB129" s="10">
        <v>0.25</v>
      </c>
      <c r="AC129" s="10"/>
    </row>
    <row r="130" spans="1:29" hidden="1" x14ac:dyDescent="0.25">
      <c r="A130" s="10" t="s">
        <v>620</v>
      </c>
      <c r="B130" s="10"/>
      <c r="C130" s="10"/>
      <c r="D130" s="10" t="s">
        <v>157</v>
      </c>
      <c r="E130" s="10" t="s">
        <v>503</v>
      </c>
      <c r="F130" s="10" t="s">
        <v>156</v>
      </c>
      <c r="G130" s="10" t="s">
        <v>507</v>
      </c>
      <c r="H130" s="12">
        <v>184.51</v>
      </c>
      <c r="I130">
        <v>1</v>
      </c>
      <c r="J130" s="12">
        <v>184.51</v>
      </c>
      <c r="K130" s="10" t="s">
        <v>284</v>
      </c>
      <c r="L130" s="2">
        <v>45832.875</v>
      </c>
      <c r="M130" s="10"/>
      <c r="N130">
        <v>0</v>
      </c>
      <c r="O130" s="10"/>
      <c r="P130">
        <v>0</v>
      </c>
      <c r="Q130">
        <v>0</v>
      </c>
      <c r="R130">
        <v>0</v>
      </c>
      <c r="S130">
        <v>0</v>
      </c>
      <c r="T130">
        <v>0</v>
      </c>
      <c r="U130">
        <v>0</v>
      </c>
      <c r="V130">
        <v>0</v>
      </c>
      <c r="W130">
        <v>0</v>
      </c>
      <c r="X130" s="13">
        <v>30.125</v>
      </c>
      <c r="Y130" s="10" t="s">
        <v>901</v>
      </c>
      <c r="Z130" s="10" t="s">
        <v>941</v>
      </c>
      <c r="AA130" s="10">
        <v>0.1</v>
      </c>
      <c r="AB130" s="10">
        <v>0.5</v>
      </c>
      <c r="AC130" s="10"/>
    </row>
    <row r="131" spans="1:29" hidden="1" x14ac:dyDescent="0.25">
      <c r="A131" s="10" t="s">
        <v>620</v>
      </c>
      <c r="B131" s="10"/>
      <c r="C131" s="10"/>
      <c r="D131" s="10" t="s">
        <v>27</v>
      </c>
      <c r="E131" s="10" t="s">
        <v>503</v>
      </c>
      <c r="F131" s="10" t="s">
        <v>158</v>
      </c>
      <c r="G131" s="10" t="s">
        <v>506</v>
      </c>
      <c r="H131" s="12">
        <v>61.59</v>
      </c>
      <c r="I131">
        <v>1</v>
      </c>
      <c r="J131" s="12">
        <v>61.59</v>
      </c>
      <c r="K131" s="10" t="s">
        <v>284</v>
      </c>
      <c r="L131" s="2">
        <v>45832.875</v>
      </c>
      <c r="M131" s="10"/>
      <c r="N131">
        <v>0</v>
      </c>
      <c r="O131" s="10"/>
      <c r="P131">
        <v>0</v>
      </c>
      <c r="Q131">
        <v>0</v>
      </c>
      <c r="R131">
        <v>0</v>
      </c>
      <c r="S131">
        <v>0</v>
      </c>
      <c r="T131">
        <v>0</v>
      </c>
      <c r="U131">
        <v>0</v>
      </c>
      <c r="V131">
        <v>0</v>
      </c>
      <c r="W131">
        <v>0</v>
      </c>
      <c r="X131" s="13">
        <v>30.125</v>
      </c>
      <c r="Y131" s="10" t="s">
        <v>901</v>
      </c>
      <c r="Z131" s="10" t="s">
        <v>941</v>
      </c>
      <c r="AA131" s="10">
        <v>0.1</v>
      </c>
      <c r="AB131" s="10">
        <v>0.5</v>
      </c>
      <c r="AC131" s="10"/>
    </row>
    <row r="132" spans="1:29" hidden="1" x14ac:dyDescent="0.25">
      <c r="A132" s="10" t="s">
        <v>620</v>
      </c>
      <c r="B132" s="10"/>
      <c r="C132" s="10"/>
      <c r="D132" s="10" t="s">
        <v>504</v>
      </c>
      <c r="E132" s="10" t="s">
        <v>503</v>
      </c>
      <c r="F132" s="10" t="s">
        <v>183</v>
      </c>
      <c r="G132" s="10" t="s">
        <v>505</v>
      </c>
      <c r="H132" s="12">
        <v>95.32</v>
      </c>
      <c r="I132">
        <v>1</v>
      </c>
      <c r="J132" s="12">
        <v>95.32</v>
      </c>
      <c r="K132" s="10" t="s">
        <v>284</v>
      </c>
      <c r="L132" s="2">
        <v>45832.875</v>
      </c>
      <c r="M132" s="10"/>
      <c r="N132">
        <v>0</v>
      </c>
      <c r="O132" s="10"/>
      <c r="P132">
        <v>0</v>
      </c>
      <c r="Q132">
        <v>0</v>
      </c>
      <c r="R132">
        <v>0</v>
      </c>
      <c r="S132">
        <v>0</v>
      </c>
      <c r="T132">
        <v>0</v>
      </c>
      <c r="U132">
        <v>0</v>
      </c>
      <c r="V132">
        <v>0</v>
      </c>
      <c r="W132">
        <v>0</v>
      </c>
      <c r="X132" s="13">
        <v>28.125</v>
      </c>
      <c r="Y132" s="10" t="s">
        <v>901</v>
      </c>
      <c r="Z132" s="10" t="s">
        <v>941</v>
      </c>
      <c r="AA132" s="10"/>
      <c r="AB132" s="10">
        <v>0.25</v>
      </c>
      <c r="AC132" s="10"/>
    </row>
    <row r="133" spans="1:29" hidden="1" x14ac:dyDescent="0.25">
      <c r="A133" s="10" t="s">
        <v>620</v>
      </c>
      <c r="B133" s="10"/>
      <c r="C133" s="10"/>
      <c r="D133" s="10" t="s">
        <v>673</v>
      </c>
      <c r="E133" s="10" t="s">
        <v>503</v>
      </c>
      <c r="F133" s="10" t="s">
        <v>672</v>
      </c>
      <c r="G133" s="10" t="s">
        <v>674</v>
      </c>
      <c r="H133" s="12">
        <v>437.08</v>
      </c>
      <c r="I133">
        <v>1</v>
      </c>
      <c r="J133" s="12">
        <v>437.08</v>
      </c>
      <c r="K133" s="10" t="s">
        <v>284</v>
      </c>
      <c r="L133" s="2">
        <v>45832.875</v>
      </c>
      <c r="M133" s="10"/>
      <c r="N133">
        <v>0</v>
      </c>
      <c r="O133" s="10"/>
      <c r="P133">
        <v>0</v>
      </c>
      <c r="Q133">
        <v>0</v>
      </c>
      <c r="R133">
        <v>0</v>
      </c>
      <c r="S133">
        <v>0</v>
      </c>
      <c r="T133">
        <v>0</v>
      </c>
      <c r="U133">
        <v>0</v>
      </c>
      <c r="V133">
        <v>0</v>
      </c>
      <c r="W133">
        <v>0</v>
      </c>
      <c r="X133" s="13">
        <v>28.125</v>
      </c>
      <c r="Y133" s="10" t="s">
        <v>901</v>
      </c>
      <c r="Z133" s="10" t="s">
        <v>941</v>
      </c>
      <c r="AA133" s="10"/>
      <c r="AB133" s="10">
        <v>0.5</v>
      </c>
      <c r="AC133" s="10"/>
    </row>
    <row r="134" spans="1:29" hidden="1" x14ac:dyDescent="0.25">
      <c r="A134" s="10" t="s">
        <v>620</v>
      </c>
      <c r="B134" s="10"/>
      <c r="C134" s="10"/>
      <c r="D134" s="10" t="s">
        <v>751</v>
      </c>
      <c r="E134" s="10" t="s">
        <v>503</v>
      </c>
      <c r="F134" s="10" t="s">
        <v>756</v>
      </c>
      <c r="G134" s="10" t="s">
        <v>755</v>
      </c>
      <c r="H134" s="12">
        <v>572.97</v>
      </c>
      <c r="I134">
        <v>1</v>
      </c>
      <c r="J134" s="12">
        <v>572.97</v>
      </c>
      <c r="K134" s="10" t="s">
        <v>284</v>
      </c>
      <c r="L134" s="2">
        <v>45838.875</v>
      </c>
      <c r="M134" s="10"/>
      <c r="N134">
        <v>0</v>
      </c>
      <c r="O134" s="10"/>
      <c r="P134">
        <v>0</v>
      </c>
      <c r="Q134">
        <v>0</v>
      </c>
      <c r="R134">
        <v>0</v>
      </c>
      <c r="S134">
        <v>0</v>
      </c>
      <c r="T134">
        <v>0</v>
      </c>
      <c r="U134">
        <v>0</v>
      </c>
      <c r="V134">
        <v>0</v>
      </c>
      <c r="W134">
        <v>0</v>
      </c>
      <c r="X134" s="13">
        <v>24.125</v>
      </c>
      <c r="Y134" s="10" t="s">
        <v>901</v>
      </c>
      <c r="Z134" s="10" t="s">
        <v>941</v>
      </c>
      <c r="AA134" s="10"/>
      <c r="AB134" s="10"/>
      <c r="AC134" s="10">
        <v>4</v>
      </c>
    </row>
    <row r="135" spans="1:29" hidden="1" x14ac:dyDescent="0.25">
      <c r="A135" s="10" t="s">
        <v>620</v>
      </c>
      <c r="B135" s="10"/>
      <c r="C135" s="10"/>
      <c r="D135" s="10" t="s">
        <v>752</v>
      </c>
      <c r="E135" s="10" t="s">
        <v>503</v>
      </c>
      <c r="F135" s="10" t="s">
        <v>763</v>
      </c>
      <c r="G135" s="10" t="s">
        <v>764</v>
      </c>
      <c r="H135" s="12">
        <v>124.98</v>
      </c>
      <c r="I135">
        <v>1</v>
      </c>
      <c r="J135" s="12">
        <v>124.98</v>
      </c>
      <c r="K135" s="10" t="s">
        <v>284</v>
      </c>
      <c r="L135" s="2">
        <v>45838.875</v>
      </c>
      <c r="M135" s="10"/>
      <c r="N135">
        <v>0</v>
      </c>
      <c r="O135" s="10"/>
      <c r="P135">
        <v>0</v>
      </c>
      <c r="Q135">
        <v>0</v>
      </c>
      <c r="R135">
        <v>0</v>
      </c>
      <c r="S135">
        <v>0</v>
      </c>
      <c r="T135">
        <v>0</v>
      </c>
      <c r="U135">
        <v>0</v>
      </c>
      <c r="V135">
        <v>0</v>
      </c>
      <c r="W135">
        <v>0</v>
      </c>
      <c r="X135" s="13">
        <v>24.125</v>
      </c>
      <c r="Y135" s="10" t="s">
        <v>901</v>
      </c>
      <c r="Z135" s="10" t="s">
        <v>941</v>
      </c>
      <c r="AA135" s="10">
        <v>8</v>
      </c>
      <c r="AB135" s="10">
        <v>8</v>
      </c>
      <c r="AC135" s="10"/>
    </row>
    <row r="136" spans="1:29" hidden="1" x14ac:dyDescent="0.25">
      <c r="A136" s="10" t="s">
        <v>620</v>
      </c>
      <c r="B136" s="10"/>
      <c r="C136" s="10"/>
      <c r="D136" s="10" t="s">
        <v>813</v>
      </c>
      <c r="E136" s="10" t="s">
        <v>503</v>
      </c>
      <c r="F136" s="10" t="s">
        <v>814</v>
      </c>
      <c r="G136" s="10" t="s">
        <v>815</v>
      </c>
      <c r="H136" s="12">
        <v>308.2</v>
      </c>
      <c r="I136">
        <v>1</v>
      </c>
      <c r="J136" s="12">
        <v>308.2</v>
      </c>
      <c r="K136" s="10" t="s">
        <v>284</v>
      </c>
      <c r="L136" s="2">
        <v>45838.875</v>
      </c>
      <c r="M136" s="10"/>
      <c r="N136">
        <v>0</v>
      </c>
      <c r="O136" s="10"/>
      <c r="P136">
        <v>0</v>
      </c>
      <c r="Q136">
        <v>0</v>
      </c>
      <c r="R136">
        <v>0</v>
      </c>
      <c r="S136">
        <v>0</v>
      </c>
      <c r="T136">
        <v>0</v>
      </c>
      <c r="U136">
        <v>0</v>
      </c>
      <c r="V136">
        <v>0</v>
      </c>
      <c r="W136">
        <v>0</v>
      </c>
      <c r="X136" s="13">
        <v>24.125</v>
      </c>
      <c r="Y136" s="10" t="s">
        <v>901</v>
      </c>
      <c r="Z136" s="10" t="s">
        <v>941</v>
      </c>
      <c r="AA136" s="10">
        <v>4</v>
      </c>
      <c r="AB136" s="10"/>
      <c r="AC136" s="10">
        <v>4</v>
      </c>
    </row>
    <row r="137" spans="1:29" hidden="1" x14ac:dyDescent="0.25">
      <c r="A137" s="10" t="s">
        <v>620</v>
      </c>
      <c r="B137" s="10"/>
      <c r="C137" s="10"/>
      <c r="D137" s="10" t="s">
        <v>818</v>
      </c>
      <c r="E137" s="10" t="s">
        <v>503</v>
      </c>
      <c r="F137" s="10" t="s">
        <v>816</v>
      </c>
      <c r="G137" s="10" t="s">
        <v>817</v>
      </c>
      <c r="H137" s="12">
        <v>66.53</v>
      </c>
      <c r="I137">
        <v>1</v>
      </c>
      <c r="J137" s="12">
        <v>66.53</v>
      </c>
      <c r="K137" s="10" t="s">
        <v>284</v>
      </c>
      <c r="L137" s="2">
        <v>45838.875</v>
      </c>
      <c r="M137" s="10"/>
      <c r="N137">
        <v>0</v>
      </c>
      <c r="O137" s="10"/>
      <c r="P137">
        <v>0</v>
      </c>
      <c r="Q137">
        <v>0</v>
      </c>
      <c r="R137">
        <v>0</v>
      </c>
      <c r="S137">
        <v>0</v>
      </c>
      <c r="T137">
        <v>0</v>
      </c>
      <c r="U137">
        <v>0</v>
      </c>
      <c r="V137">
        <v>0</v>
      </c>
      <c r="W137">
        <v>0</v>
      </c>
      <c r="X137" s="13">
        <v>24.125</v>
      </c>
      <c r="Y137" s="10" t="s">
        <v>901</v>
      </c>
      <c r="Z137" s="10" t="s">
        <v>941</v>
      </c>
      <c r="AA137" s="10">
        <v>8</v>
      </c>
      <c r="AB137" s="10">
        <v>8</v>
      </c>
      <c r="AC137" s="10"/>
    </row>
    <row r="138" spans="1:29" hidden="1" x14ac:dyDescent="0.25">
      <c r="A138" s="10" t="s">
        <v>620</v>
      </c>
      <c r="B138" s="10"/>
      <c r="C138" s="10"/>
      <c r="D138" s="10" t="s">
        <v>881</v>
      </c>
      <c r="E138" s="10" t="s">
        <v>503</v>
      </c>
      <c r="F138" s="10" t="s">
        <v>882</v>
      </c>
      <c r="G138" s="10" t="s">
        <v>883</v>
      </c>
      <c r="H138" s="12">
        <v>420.29</v>
      </c>
      <c r="I138">
        <v>1</v>
      </c>
      <c r="J138" s="12">
        <v>420.29</v>
      </c>
      <c r="K138" s="10" t="s">
        <v>284</v>
      </c>
      <c r="L138" s="2">
        <v>45839.875</v>
      </c>
      <c r="M138" s="10"/>
      <c r="N138">
        <v>0</v>
      </c>
      <c r="O138" s="10"/>
      <c r="P138">
        <v>0</v>
      </c>
      <c r="Q138">
        <v>0</v>
      </c>
      <c r="R138">
        <v>0</v>
      </c>
      <c r="S138">
        <v>0</v>
      </c>
      <c r="T138">
        <v>0</v>
      </c>
      <c r="U138">
        <v>0</v>
      </c>
      <c r="V138">
        <v>0</v>
      </c>
      <c r="W138">
        <v>0</v>
      </c>
      <c r="X138" s="13">
        <v>23.125</v>
      </c>
      <c r="Y138" s="10" t="s">
        <v>901</v>
      </c>
      <c r="Z138" s="10" t="s">
        <v>941</v>
      </c>
      <c r="AA138" s="10"/>
      <c r="AB138" s="10"/>
      <c r="AC138" s="10">
        <v>4</v>
      </c>
    </row>
    <row r="139" spans="1:29" hidden="1" x14ac:dyDescent="0.25">
      <c r="A139" s="10" t="s">
        <v>620</v>
      </c>
      <c r="B139" s="10"/>
      <c r="C139" s="10"/>
      <c r="D139" s="10" t="s">
        <v>885</v>
      </c>
      <c r="E139" s="10" t="s">
        <v>503</v>
      </c>
      <c r="F139" s="10" t="s">
        <v>884</v>
      </c>
      <c r="G139" s="10" t="s">
        <v>886</v>
      </c>
      <c r="H139" s="12">
        <v>93.84</v>
      </c>
      <c r="I139">
        <v>1</v>
      </c>
      <c r="J139" s="12">
        <v>93.84</v>
      </c>
      <c r="K139" s="10" t="s">
        <v>284</v>
      </c>
      <c r="L139" s="2">
        <v>45839.875</v>
      </c>
      <c r="M139" s="10"/>
      <c r="N139">
        <v>0</v>
      </c>
      <c r="O139" s="10"/>
      <c r="P139">
        <v>0</v>
      </c>
      <c r="Q139">
        <v>0</v>
      </c>
      <c r="R139">
        <v>0</v>
      </c>
      <c r="S139">
        <v>0</v>
      </c>
      <c r="T139">
        <v>0</v>
      </c>
      <c r="U139">
        <v>0</v>
      </c>
      <c r="V139">
        <v>0</v>
      </c>
      <c r="W139">
        <v>0</v>
      </c>
      <c r="X139" s="13">
        <v>23.125</v>
      </c>
      <c r="Y139" s="10" t="s">
        <v>901</v>
      </c>
      <c r="Z139" s="10" t="s">
        <v>941</v>
      </c>
      <c r="AA139" s="10">
        <v>8</v>
      </c>
      <c r="AB139" s="10">
        <v>8</v>
      </c>
      <c r="AC139" s="10"/>
    </row>
    <row r="140" spans="1:29" hidden="1" x14ac:dyDescent="0.25">
      <c r="A140" s="10" t="s">
        <v>174</v>
      </c>
      <c r="B140" s="10" t="s">
        <v>519</v>
      </c>
      <c r="C140" s="10"/>
      <c r="D140" s="10" t="s">
        <v>177</v>
      </c>
      <c r="E140" s="10" t="s">
        <v>285</v>
      </c>
      <c r="F140" s="10" t="s">
        <v>176</v>
      </c>
      <c r="G140" s="10" t="s">
        <v>520</v>
      </c>
      <c r="H140" s="12">
        <v>128.57</v>
      </c>
      <c r="I140">
        <v>1</v>
      </c>
      <c r="J140" s="12">
        <v>128.57</v>
      </c>
      <c r="K140" s="10" t="s">
        <v>284</v>
      </c>
      <c r="L140" s="2">
        <v>45832.875</v>
      </c>
      <c r="M140" s="10"/>
      <c r="N140">
        <v>0</v>
      </c>
      <c r="O140" s="10"/>
      <c r="P140">
        <v>0</v>
      </c>
      <c r="Q140">
        <v>0</v>
      </c>
      <c r="R140">
        <v>0</v>
      </c>
      <c r="S140">
        <v>0</v>
      </c>
      <c r="T140">
        <v>0</v>
      </c>
      <c r="U140">
        <v>0</v>
      </c>
      <c r="V140">
        <v>0</v>
      </c>
      <c r="W140">
        <v>0</v>
      </c>
      <c r="X140" s="13">
        <v>28.125</v>
      </c>
      <c r="Y140" s="10" t="s">
        <v>901</v>
      </c>
      <c r="Z140" s="10" t="s">
        <v>941</v>
      </c>
      <c r="AA140" s="10"/>
      <c r="AB140" s="10">
        <v>0.25</v>
      </c>
      <c r="AC140" s="10"/>
    </row>
    <row r="141" spans="1:29" hidden="1" x14ac:dyDescent="0.25">
      <c r="A141" s="10" t="s">
        <v>174</v>
      </c>
      <c r="B141" s="10" t="s">
        <v>519</v>
      </c>
      <c r="C141" s="10"/>
      <c r="D141" s="10" t="s">
        <v>173</v>
      </c>
      <c r="E141" s="10" t="s">
        <v>285</v>
      </c>
      <c r="F141" s="10" t="s">
        <v>175</v>
      </c>
      <c r="G141" s="10" t="s">
        <v>521</v>
      </c>
      <c r="H141" s="12">
        <v>171.81</v>
      </c>
      <c r="I141">
        <v>1</v>
      </c>
      <c r="J141" s="12">
        <v>171.81</v>
      </c>
      <c r="K141" s="10" t="s">
        <v>284</v>
      </c>
      <c r="L141" s="2">
        <v>45832.875</v>
      </c>
      <c r="M141" s="10"/>
      <c r="N141">
        <v>0</v>
      </c>
      <c r="O141" s="10"/>
      <c r="P141">
        <v>0</v>
      </c>
      <c r="Q141">
        <v>0</v>
      </c>
      <c r="R141">
        <v>0</v>
      </c>
      <c r="S141">
        <v>0</v>
      </c>
      <c r="T141">
        <v>0</v>
      </c>
      <c r="U141">
        <v>0</v>
      </c>
      <c r="V141">
        <v>0</v>
      </c>
      <c r="W141">
        <v>0</v>
      </c>
      <c r="X141" s="13">
        <v>28.125</v>
      </c>
      <c r="Y141" s="10" t="s">
        <v>901</v>
      </c>
      <c r="Z141" s="10" t="s">
        <v>941</v>
      </c>
      <c r="AA141" s="10"/>
      <c r="AB141" s="10">
        <v>0.25</v>
      </c>
      <c r="AC141" s="10"/>
    </row>
    <row r="142" spans="1:29" hidden="1" x14ac:dyDescent="0.25">
      <c r="A142" s="10" t="s">
        <v>619</v>
      </c>
      <c r="B142" s="10"/>
      <c r="C142" s="10"/>
      <c r="D142" s="10" t="s">
        <v>179</v>
      </c>
      <c r="E142" s="10" t="s">
        <v>503</v>
      </c>
      <c r="F142" s="10" t="s">
        <v>180</v>
      </c>
      <c r="G142" s="10" t="s">
        <v>522</v>
      </c>
      <c r="H142" s="12">
        <v>295.87</v>
      </c>
      <c r="I142">
        <v>1</v>
      </c>
      <c r="J142" s="12">
        <v>295.87</v>
      </c>
      <c r="K142" s="10" t="s">
        <v>284</v>
      </c>
      <c r="L142" s="2">
        <v>45832.875</v>
      </c>
      <c r="M142" s="10"/>
      <c r="N142">
        <v>0</v>
      </c>
      <c r="O142" s="10"/>
      <c r="P142">
        <v>0</v>
      </c>
      <c r="Q142">
        <v>0</v>
      </c>
      <c r="R142">
        <v>0</v>
      </c>
      <c r="S142">
        <v>0</v>
      </c>
      <c r="T142">
        <v>0</v>
      </c>
      <c r="U142">
        <v>0</v>
      </c>
      <c r="V142">
        <v>0</v>
      </c>
      <c r="W142">
        <v>0</v>
      </c>
      <c r="X142" s="13">
        <v>30.125</v>
      </c>
      <c r="Y142" s="10" t="s">
        <v>901</v>
      </c>
      <c r="Z142" s="10" t="s">
        <v>941</v>
      </c>
      <c r="AA142" s="10">
        <v>0.5</v>
      </c>
      <c r="AB142" s="10">
        <v>1</v>
      </c>
      <c r="AC142" s="10"/>
    </row>
    <row r="143" spans="1:29" hidden="1" x14ac:dyDescent="0.25">
      <c r="A143" s="10" t="s">
        <v>619</v>
      </c>
      <c r="B143" s="10"/>
      <c r="C143" s="10"/>
      <c r="D143" s="10" t="s">
        <v>524</v>
      </c>
      <c r="E143" s="10" t="s">
        <v>503</v>
      </c>
      <c r="F143" s="10" t="s">
        <v>181</v>
      </c>
      <c r="G143" s="10" t="s">
        <v>523</v>
      </c>
      <c r="H143" s="12">
        <v>53.79</v>
      </c>
      <c r="I143">
        <v>1</v>
      </c>
      <c r="J143" s="12">
        <v>53.79</v>
      </c>
      <c r="K143" s="10" t="s">
        <v>284</v>
      </c>
      <c r="L143" s="2">
        <v>45832.875</v>
      </c>
      <c r="M143" s="10"/>
      <c r="N143">
        <v>0</v>
      </c>
      <c r="O143" s="10"/>
      <c r="P143">
        <v>0</v>
      </c>
      <c r="Q143">
        <v>0</v>
      </c>
      <c r="R143">
        <v>0</v>
      </c>
      <c r="S143">
        <v>0</v>
      </c>
      <c r="T143">
        <v>0</v>
      </c>
      <c r="U143">
        <v>0</v>
      </c>
      <c r="V143">
        <v>0</v>
      </c>
      <c r="W143">
        <v>0</v>
      </c>
      <c r="X143" s="13">
        <v>30.125</v>
      </c>
      <c r="Y143" s="10" t="s">
        <v>901</v>
      </c>
      <c r="Z143" s="10" t="s">
        <v>941</v>
      </c>
      <c r="AA143" s="10">
        <v>0.25</v>
      </c>
      <c r="AB143" s="10">
        <v>0.5</v>
      </c>
      <c r="AC143" s="10"/>
    </row>
    <row r="144" spans="1:29" hidden="1" x14ac:dyDescent="0.25">
      <c r="A144" s="10" t="s">
        <v>619</v>
      </c>
      <c r="B144" s="10"/>
      <c r="C144" s="10"/>
      <c r="D144" s="10" t="s">
        <v>824</v>
      </c>
      <c r="E144" s="10" t="s">
        <v>503</v>
      </c>
      <c r="F144" s="10" t="s">
        <v>822</v>
      </c>
      <c r="G144" s="10" t="s">
        <v>823</v>
      </c>
      <c r="H144" s="12">
        <v>169.39</v>
      </c>
      <c r="I144">
        <v>1</v>
      </c>
      <c r="J144" s="12">
        <v>169.39</v>
      </c>
      <c r="K144" s="10" t="s">
        <v>284</v>
      </c>
      <c r="L144" s="2">
        <v>45838.875</v>
      </c>
      <c r="M144" s="10"/>
      <c r="N144">
        <v>0</v>
      </c>
      <c r="O144" s="10"/>
      <c r="P144">
        <v>0</v>
      </c>
      <c r="Q144">
        <v>0</v>
      </c>
      <c r="R144">
        <v>0</v>
      </c>
      <c r="S144">
        <v>0</v>
      </c>
      <c r="T144">
        <v>0</v>
      </c>
      <c r="U144">
        <v>0</v>
      </c>
      <c r="V144">
        <v>0</v>
      </c>
      <c r="W144">
        <v>0</v>
      </c>
      <c r="X144" s="13">
        <v>24.125</v>
      </c>
      <c r="Y144" s="10" t="s">
        <v>901</v>
      </c>
      <c r="Z144" s="10" t="s">
        <v>941</v>
      </c>
      <c r="AA144" s="10">
        <v>0.5</v>
      </c>
      <c r="AB144" s="10">
        <v>1</v>
      </c>
      <c r="AC144" s="10"/>
    </row>
    <row r="145" spans="1:29" hidden="1" x14ac:dyDescent="0.25">
      <c r="A145" s="10" t="s">
        <v>619</v>
      </c>
      <c r="B145" s="10"/>
      <c r="C145" s="10"/>
      <c r="D145" s="10" t="s">
        <v>821</v>
      </c>
      <c r="E145" s="10" t="s">
        <v>503</v>
      </c>
      <c r="F145" s="10" t="s">
        <v>819</v>
      </c>
      <c r="G145" s="10" t="s">
        <v>820</v>
      </c>
      <c r="H145" s="12">
        <v>76.44</v>
      </c>
      <c r="I145">
        <v>1</v>
      </c>
      <c r="J145" s="12">
        <v>76.44</v>
      </c>
      <c r="K145" s="10" t="s">
        <v>284</v>
      </c>
      <c r="L145" s="2">
        <v>45838.875</v>
      </c>
      <c r="M145" s="10"/>
      <c r="N145">
        <v>0</v>
      </c>
      <c r="O145" s="10"/>
      <c r="P145">
        <v>0</v>
      </c>
      <c r="Q145">
        <v>0</v>
      </c>
      <c r="R145">
        <v>0</v>
      </c>
      <c r="S145">
        <v>0</v>
      </c>
      <c r="T145">
        <v>0</v>
      </c>
      <c r="U145">
        <v>0</v>
      </c>
      <c r="V145">
        <v>0</v>
      </c>
      <c r="W145">
        <v>0</v>
      </c>
      <c r="X145" s="13">
        <v>24.125</v>
      </c>
      <c r="Y145" s="10" t="s">
        <v>901</v>
      </c>
      <c r="Z145" s="10" t="s">
        <v>941</v>
      </c>
      <c r="AA145" s="10">
        <v>0.25</v>
      </c>
      <c r="AB145" s="10">
        <v>0.5</v>
      </c>
      <c r="AC145" s="10"/>
    </row>
    <row r="146" spans="1:29" hidden="1" x14ac:dyDescent="0.25">
      <c r="A146" s="10" t="s">
        <v>178</v>
      </c>
      <c r="B146" s="10"/>
      <c r="C146" s="10"/>
      <c r="D146" s="10" t="s">
        <v>527</v>
      </c>
      <c r="E146" s="10" t="s">
        <v>528</v>
      </c>
      <c r="F146" s="10" t="s">
        <v>185</v>
      </c>
      <c r="G146" s="10" t="s">
        <v>530</v>
      </c>
      <c r="H146" s="12">
        <v>5233.1499999999996</v>
      </c>
      <c r="I146">
        <v>1.05</v>
      </c>
      <c r="J146" s="12">
        <v>5494.8074999999999</v>
      </c>
      <c r="K146" s="10" t="s">
        <v>529</v>
      </c>
      <c r="L146" s="2">
        <v>45572.875</v>
      </c>
      <c r="M146" s="10"/>
      <c r="N146">
        <v>0</v>
      </c>
      <c r="O146" s="10"/>
      <c r="P146">
        <v>0</v>
      </c>
      <c r="Q146">
        <v>0</v>
      </c>
      <c r="R146">
        <v>0</v>
      </c>
      <c r="S146">
        <v>0</v>
      </c>
      <c r="T146">
        <v>0</v>
      </c>
      <c r="U146">
        <v>0</v>
      </c>
      <c r="V146">
        <v>0</v>
      </c>
      <c r="W146">
        <v>0</v>
      </c>
      <c r="X146" s="13">
        <v>290.125</v>
      </c>
      <c r="Y146" s="10" t="s">
        <v>901</v>
      </c>
      <c r="Z146" s="10" t="s">
        <v>941</v>
      </c>
      <c r="AA146" s="10">
        <v>0.25</v>
      </c>
      <c r="AB146" s="10">
        <v>1</v>
      </c>
      <c r="AC146" s="10"/>
    </row>
    <row r="147" spans="1:29" hidden="1" x14ac:dyDescent="0.25">
      <c r="A147" s="10" t="s">
        <v>178</v>
      </c>
      <c r="B147" s="10"/>
      <c r="C147" s="10"/>
      <c r="D147" s="10" t="s">
        <v>194</v>
      </c>
      <c r="E147" s="10" t="s">
        <v>528</v>
      </c>
      <c r="F147" s="10" t="s">
        <v>536</v>
      </c>
      <c r="G147" s="10" t="s">
        <v>531</v>
      </c>
      <c r="H147" s="12">
        <v>399.7</v>
      </c>
      <c r="I147">
        <v>1</v>
      </c>
      <c r="J147" s="12">
        <v>399.7</v>
      </c>
      <c r="K147" s="10" t="s">
        <v>529</v>
      </c>
      <c r="L147" s="2">
        <v>45785.875</v>
      </c>
      <c r="M147" s="10"/>
      <c r="N147">
        <v>0</v>
      </c>
      <c r="O147" s="10"/>
      <c r="P147">
        <v>0</v>
      </c>
      <c r="Q147">
        <v>0</v>
      </c>
      <c r="R147">
        <v>0</v>
      </c>
      <c r="S147">
        <v>0</v>
      </c>
      <c r="T147">
        <v>0</v>
      </c>
      <c r="U147">
        <v>0</v>
      </c>
      <c r="V147">
        <v>0</v>
      </c>
      <c r="W147">
        <v>0</v>
      </c>
      <c r="X147" s="13">
        <v>77.125</v>
      </c>
      <c r="Y147" s="10" t="s">
        <v>901</v>
      </c>
      <c r="Z147" s="10" t="s">
        <v>941</v>
      </c>
      <c r="AA147" s="10"/>
      <c r="AB147" s="10">
        <v>0.5</v>
      </c>
      <c r="AC147" s="10"/>
    </row>
    <row r="148" spans="1:29" hidden="1" x14ac:dyDescent="0.25">
      <c r="A148" s="10" t="s">
        <v>178</v>
      </c>
      <c r="B148" s="10"/>
      <c r="C148" s="10"/>
      <c r="D148" s="10" t="s">
        <v>201</v>
      </c>
      <c r="E148" s="10" t="s">
        <v>528</v>
      </c>
      <c r="F148" s="10" t="s">
        <v>187</v>
      </c>
      <c r="G148" s="10" t="s">
        <v>533</v>
      </c>
      <c r="H148" s="12">
        <v>2034.78</v>
      </c>
      <c r="I148">
        <v>1.02</v>
      </c>
      <c r="J148" s="12">
        <v>2075.4756000000002</v>
      </c>
      <c r="K148" s="10" t="s">
        <v>532</v>
      </c>
      <c r="L148" s="2">
        <v>45665.875</v>
      </c>
      <c r="M148" s="10"/>
      <c r="N148">
        <v>0</v>
      </c>
      <c r="O148" s="10"/>
      <c r="P148">
        <v>0</v>
      </c>
      <c r="Q148">
        <v>0</v>
      </c>
      <c r="R148">
        <v>0</v>
      </c>
      <c r="S148">
        <v>0</v>
      </c>
      <c r="T148">
        <v>0</v>
      </c>
      <c r="U148">
        <v>0</v>
      </c>
      <c r="V148">
        <v>0</v>
      </c>
      <c r="W148">
        <v>0</v>
      </c>
      <c r="X148" s="13">
        <v>197.125</v>
      </c>
      <c r="Y148" s="10" t="s">
        <v>901</v>
      </c>
      <c r="Z148" s="10" t="s">
        <v>941</v>
      </c>
      <c r="AA148" s="10"/>
      <c r="AB148" s="10">
        <v>0.25</v>
      </c>
      <c r="AC148" s="10"/>
    </row>
    <row r="149" spans="1:29" hidden="1" x14ac:dyDescent="0.25">
      <c r="A149" s="10" t="s">
        <v>245</v>
      </c>
      <c r="B149" s="10"/>
      <c r="C149" s="10"/>
      <c r="D149" s="10" t="s">
        <v>227</v>
      </c>
      <c r="E149" s="10" t="s">
        <v>285</v>
      </c>
      <c r="F149" s="10" t="s">
        <v>228</v>
      </c>
      <c r="G149" s="10" t="s">
        <v>537</v>
      </c>
      <c r="H149" s="12">
        <v>223.48</v>
      </c>
      <c r="I149">
        <v>1</v>
      </c>
      <c r="J149" s="12">
        <v>223.48</v>
      </c>
      <c r="K149" s="10" t="s">
        <v>284</v>
      </c>
      <c r="L149" s="2">
        <v>45832.875</v>
      </c>
      <c r="M149" s="10"/>
      <c r="N149">
        <v>0</v>
      </c>
      <c r="O149" s="10"/>
      <c r="P149">
        <v>0</v>
      </c>
      <c r="Q149">
        <v>0</v>
      </c>
      <c r="R149">
        <v>0</v>
      </c>
      <c r="S149">
        <v>0</v>
      </c>
      <c r="T149">
        <v>0</v>
      </c>
      <c r="U149">
        <v>0</v>
      </c>
      <c r="V149">
        <v>0</v>
      </c>
      <c r="W149">
        <v>0</v>
      </c>
      <c r="X149" s="13">
        <v>19.125</v>
      </c>
      <c r="Y149" s="10" t="s">
        <v>901</v>
      </c>
      <c r="Z149" s="10" t="s">
        <v>941</v>
      </c>
      <c r="AA149" s="10"/>
      <c r="AB149" s="10"/>
      <c r="AC149" s="10"/>
    </row>
    <row r="150" spans="1:29" hidden="1" x14ac:dyDescent="0.25">
      <c r="A150" s="10" t="s">
        <v>245</v>
      </c>
      <c r="B150" s="10"/>
      <c r="C150" s="10"/>
      <c r="D150" s="10" t="s">
        <v>538</v>
      </c>
      <c r="E150" s="10" t="s">
        <v>285</v>
      </c>
      <c r="F150" s="10" t="s">
        <v>229</v>
      </c>
      <c r="G150" s="10" t="s">
        <v>539</v>
      </c>
      <c r="H150" s="12">
        <v>11.02</v>
      </c>
      <c r="I150">
        <v>1</v>
      </c>
      <c r="J150" s="12">
        <v>11.02</v>
      </c>
      <c r="K150" s="10" t="s">
        <v>284</v>
      </c>
      <c r="L150" s="2">
        <v>45832.875</v>
      </c>
      <c r="M150" s="10"/>
      <c r="N150">
        <v>0</v>
      </c>
      <c r="O150" s="10"/>
      <c r="P150">
        <v>0</v>
      </c>
      <c r="Q150">
        <v>0</v>
      </c>
      <c r="R150">
        <v>0</v>
      </c>
      <c r="S150">
        <v>0</v>
      </c>
      <c r="T150">
        <v>0</v>
      </c>
      <c r="U150">
        <v>0</v>
      </c>
      <c r="V150">
        <v>0</v>
      </c>
      <c r="W150">
        <v>0</v>
      </c>
      <c r="X150" s="13">
        <v>19.125</v>
      </c>
      <c r="Y150" s="10" t="s">
        <v>901</v>
      </c>
      <c r="Z150" s="10" t="s">
        <v>941</v>
      </c>
      <c r="AA150" s="10"/>
      <c r="AB150" s="10"/>
      <c r="AC150" s="10"/>
    </row>
    <row r="151" spans="1:29" hidden="1" x14ac:dyDescent="0.25">
      <c r="A151" s="10" t="s">
        <v>544</v>
      </c>
      <c r="B151" s="10"/>
      <c r="C151" s="10" t="s">
        <v>964</v>
      </c>
      <c r="D151" s="10" t="s">
        <v>19</v>
      </c>
      <c r="E151" s="10" t="s">
        <v>542</v>
      </c>
      <c r="F151" s="10" t="s">
        <v>244</v>
      </c>
      <c r="G151" s="10" t="s">
        <v>543</v>
      </c>
      <c r="H151" s="12">
        <v>568.74</v>
      </c>
      <c r="I151">
        <v>1</v>
      </c>
      <c r="J151" s="12">
        <v>568.74</v>
      </c>
      <c r="K151" s="10" t="s">
        <v>284</v>
      </c>
      <c r="L151" s="2">
        <v>45832.875</v>
      </c>
      <c r="M151" s="10"/>
      <c r="N151">
        <v>0</v>
      </c>
      <c r="O151" s="10"/>
      <c r="P151">
        <v>2.0833333333333299</v>
      </c>
      <c r="Q151">
        <v>0</v>
      </c>
      <c r="R151">
        <v>0</v>
      </c>
      <c r="S151">
        <v>0</v>
      </c>
      <c r="T151">
        <v>0</v>
      </c>
      <c r="U151">
        <v>0</v>
      </c>
      <c r="V151">
        <v>0</v>
      </c>
      <c r="W151">
        <v>50</v>
      </c>
      <c r="X151" s="13">
        <v>30.125</v>
      </c>
      <c r="Y151" s="10" t="s">
        <v>901</v>
      </c>
      <c r="Z151" s="10" t="s">
        <v>941</v>
      </c>
      <c r="AA151" s="10">
        <v>1</v>
      </c>
      <c r="AB151" s="10">
        <v>4</v>
      </c>
      <c r="AC151" s="10"/>
    </row>
    <row r="152" spans="1:29" hidden="1" x14ac:dyDescent="0.25">
      <c r="A152" s="10" t="s">
        <v>544</v>
      </c>
      <c r="B152" s="10"/>
      <c r="C152" s="10" t="s">
        <v>965</v>
      </c>
      <c r="D152" s="10"/>
      <c r="E152" s="10" t="s">
        <v>542</v>
      </c>
      <c r="F152" s="10" t="s">
        <v>243</v>
      </c>
      <c r="G152" s="10" t="s">
        <v>545</v>
      </c>
      <c r="H152" s="12">
        <v>935.37</v>
      </c>
      <c r="I152">
        <v>1</v>
      </c>
      <c r="J152" s="12">
        <v>935.37</v>
      </c>
      <c r="K152" s="10" t="s">
        <v>284</v>
      </c>
      <c r="L152" s="2">
        <v>45832.875</v>
      </c>
      <c r="M152" s="10"/>
      <c r="N152">
        <v>0</v>
      </c>
      <c r="O152" s="10"/>
      <c r="P152">
        <v>3.125</v>
      </c>
      <c r="Q152">
        <v>0</v>
      </c>
      <c r="R152">
        <v>0</v>
      </c>
      <c r="S152">
        <v>0</v>
      </c>
      <c r="T152">
        <v>0</v>
      </c>
      <c r="U152">
        <v>0</v>
      </c>
      <c r="V152">
        <v>0</v>
      </c>
      <c r="W152">
        <v>75</v>
      </c>
      <c r="X152" s="13">
        <v>30.125</v>
      </c>
      <c r="Y152" s="10" t="s">
        <v>901</v>
      </c>
      <c r="Z152" s="10" t="s">
        <v>941</v>
      </c>
      <c r="AA152" s="10">
        <v>1</v>
      </c>
      <c r="AB152" s="10">
        <v>4</v>
      </c>
      <c r="AC152" s="10"/>
    </row>
    <row r="153" spans="1:29" hidden="1" x14ac:dyDescent="0.25">
      <c r="A153" s="10" t="s">
        <v>544</v>
      </c>
      <c r="B153" s="10"/>
      <c r="C153" s="10" t="s">
        <v>963</v>
      </c>
      <c r="D153" s="10"/>
      <c r="E153" s="10" t="s">
        <v>542</v>
      </c>
      <c r="F153" s="10" t="s">
        <v>242</v>
      </c>
      <c r="G153" s="10" t="s">
        <v>546</v>
      </c>
      <c r="H153" s="12">
        <v>1234</v>
      </c>
      <c r="I153">
        <v>1</v>
      </c>
      <c r="J153" s="12">
        <v>1234</v>
      </c>
      <c r="K153" s="10" t="s">
        <v>284</v>
      </c>
      <c r="L153" s="2">
        <v>45832.875</v>
      </c>
      <c r="M153" s="10"/>
      <c r="N153">
        <v>0</v>
      </c>
      <c r="O153" s="10"/>
      <c r="P153">
        <v>4.1666666666666696</v>
      </c>
      <c r="Q153">
        <v>0</v>
      </c>
      <c r="R153">
        <v>0</v>
      </c>
      <c r="S153">
        <v>0</v>
      </c>
      <c r="T153">
        <v>0</v>
      </c>
      <c r="U153">
        <v>0</v>
      </c>
      <c r="V153">
        <v>0</v>
      </c>
      <c r="W153">
        <v>100</v>
      </c>
      <c r="X153" s="13">
        <v>30.125</v>
      </c>
      <c r="Y153" s="10" t="s">
        <v>901</v>
      </c>
      <c r="Z153" s="10" t="s">
        <v>941</v>
      </c>
      <c r="AA153" s="10">
        <v>1</v>
      </c>
      <c r="AB153" s="10">
        <v>4</v>
      </c>
      <c r="AC153" s="10"/>
    </row>
    <row r="154" spans="1:29" hidden="1" x14ac:dyDescent="0.25">
      <c r="A154" s="10" t="s">
        <v>544</v>
      </c>
      <c r="B154" s="10"/>
      <c r="C154" s="10" t="s">
        <v>966</v>
      </c>
      <c r="D154" s="10"/>
      <c r="E154" s="10" t="s">
        <v>542</v>
      </c>
      <c r="F154" s="10" t="s">
        <v>241</v>
      </c>
      <c r="G154" s="10" t="s">
        <v>547</v>
      </c>
      <c r="H154" s="12">
        <v>1680.79</v>
      </c>
      <c r="I154">
        <v>1</v>
      </c>
      <c r="J154" s="12">
        <v>1680.79</v>
      </c>
      <c r="K154" s="10" t="s">
        <v>284</v>
      </c>
      <c r="L154" s="2">
        <v>45832.875</v>
      </c>
      <c r="M154" s="10"/>
      <c r="N154">
        <v>0</v>
      </c>
      <c r="O154" s="10"/>
      <c r="P154">
        <v>6.25</v>
      </c>
      <c r="Q154">
        <v>0</v>
      </c>
      <c r="R154">
        <v>0</v>
      </c>
      <c r="S154">
        <v>0</v>
      </c>
      <c r="T154">
        <v>0</v>
      </c>
      <c r="U154">
        <v>0</v>
      </c>
      <c r="V154">
        <v>0</v>
      </c>
      <c r="W154">
        <v>150</v>
      </c>
      <c r="X154" s="13">
        <v>30.125</v>
      </c>
      <c r="Y154" s="10" t="s">
        <v>901</v>
      </c>
      <c r="Z154" s="10" t="s">
        <v>941</v>
      </c>
      <c r="AA154" s="10">
        <v>1</v>
      </c>
      <c r="AB154" s="10">
        <v>4</v>
      </c>
      <c r="AC154" s="10"/>
    </row>
    <row r="155" spans="1:29" hidden="1" x14ac:dyDescent="0.25">
      <c r="A155" s="10" t="s">
        <v>544</v>
      </c>
      <c r="B155" s="10"/>
      <c r="C155" s="10" t="s">
        <v>967</v>
      </c>
      <c r="D155" s="10"/>
      <c r="E155" s="10" t="s">
        <v>542</v>
      </c>
      <c r="F155" s="10" t="s">
        <v>190</v>
      </c>
      <c r="G155" s="10" t="s">
        <v>548</v>
      </c>
      <c r="H155" s="12">
        <v>1573.91</v>
      </c>
      <c r="I155">
        <v>1</v>
      </c>
      <c r="J155" s="12">
        <v>1573.91</v>
      </c>
      <c r="K155" s="10" t="s">
        <v>284</v>
      </c>
      <c r="L155" s="2">
        <v>45832.875</v>
      </c>
      <c r="M155" s="10"/>
      <c r="N155">
        <v>0</v>
      </c>
      <c r="O155" s="10"/>
      <c r="P155">
        <v>10.4166666666667</v>
      </c>
      <c r="Q155">
        <v>0</v>
      </c>
      <c r="R155">
        <v>0</v>
      </c>
      <c r="S155">
        <v>0</v>
      </c>
      <c r="T155">
        <v>0</v>
      </c>
      <c r="U155">
        <v>0</v>
      </c>
      <c r="V155">
        <v>0</v>
      </c>
      <c r="W155">
        <v>250</v>
      </c>
      <c r="X155" s="13">
        <v>30.125</v>
      </c>
      <c r="Y155" s="10" t="s">
        <v>901</v>
      </c>
      <c r="Z155" s="10" t="s">
        <v>941</v>
      </c>
      <c r="AA155" s="10">
        <v>1</v>
      </c>
      <c r="AB155" s="10">
        <v>4</v>
      </c>
      <c r="AC155" s="10"/>
    </row>
    <row r="156" spans="1:29" hidden="1" x14ac:dyDescent="0.25">
      <c r="A156" s="10" t="s">
        <v>620</v>
      </c>
      <c r="B156" s="10" t="s">
        <v>968</v>
      </c>
      <c r="C156" s="10" t="s">
        <v>392</v>
      </c>
      <c r="D156" s="10" t="s">
        <v>812</v>
      </c>
      <c r="E156" s="10" t="s">
        <v>285</v>
      </c>
      <c r="F156" s="10" t="s">
        <v>811</v>
      </c>
      <c r="G156" s="10" t="s">
        <v>810</v>
      </c>
      <c r="H156" s="12">
        <v>26.7</v>
      </c>
      <c r="I156">
        <v>1</v>
      </c>
      <c r="J156" s="12">
        <v>26.7</v>
      </c>
      <c r="K156" s="10" t="s">
        <v>284</v>
      </c>
      <c r="L156" s="2">
        <v>45838.875</v>
      </c>
      <c r="M156" s="10"/>
      <c r="N156">
        <v>0</v>
      </c>
      <c r="O156" s="10"/>
      <c r="P156">
        <v>0</v>
      </c>
      <c r="Q156">
        <v>0</v>
      </c>
      <c r="R156">
        <v>0</v>
      </c>
      <c r="S156">
        <v>0</v>
      </c>
      <c r="T156">
        <v>0</v>
      </c>
      <c r="U156">
        <v>0</v>
      </c>
      <c r="V156">
        <v>0</v>
      </c>
      <c r="W156">
        <v>0</v>
      </c>
      <c r="X156" s="13">
        <v>24.125</v>
      </c>
      <c r="Y156" s="10" t="s">
        <v>901</v>
      </c>
      <c r="Z156" s="10" t="s">
        <v>941</v>
      </c>
      <c r="AA156" s="10">
        <v>0.1</v>
      </c>
      <c r="AB156" s="10">
        <v>0.25</v>
      </c>
      <c r="AC156" s="10"/>
    </row>
    <row r="157" spans="1:29" hidden="1" x14ac:dyDescent="0.25">
      <c r="A157" s="10" t="s">
        <v>562</v>
      </c>
      <c r="B157" s="10"/>
      <c r="C157" s="10"/>
      <c r="D157" s="10"/>
      <c r="E157" s="10"/>
      <c r="F157" s="10" t="s">
        <v>563</v>
      </c>
      <c r="G157" s="10" t="s">
        <v>585</v>
      </c>
      <c r="H157" s="12">
        <v>250</v>
      </c>
      <c r="I157">
        <v>1</v>
      </c>
      <c r="J157" s="12">
        <v>250</v>
      </c>
      <c r="K157" s="10" t="s">
        <v>114</v>
      </c>
      <c r="L157" s="2">
        <v>45832.875</v>
      </c>
      <c r="M157" s="10"/>
      <c r="N157">
        <v>0</v>
      </c>
      <c r="O157" s="10"/>
      <c r="P157">
        <v>0</v>
      </c>
      <c r="Q157">
        <v>0</v>
      </c>
      <c r="R157">
        <v>0</v>
      </c>
      <c r="S157">
        <v>0</v>
      </c>
      <c r="T157">
        <v>0</v>
      </c>
      <c r="U157">
        <v>0</v>
      </c>
      <c r="V157">
        <v>0</v>
      </c>
      <c r="W157">
        <v>0</v>
      </c>
      <c r="X157" s="13">
        <v>19.125</v>
      </c>
      <c r="Y157" s="10" t="s">
        <v>901</v>
      </c>
      <c r="Z157" s="10" t="s">
        <v>941</v>
      </c>
      <c r="AA157" s="10"/>
      <c r="AB157" s="10"/>
      <c r="AC157" s="10"/>
    </row>
    <row r="158" spans="1:29" hidden="1" x14ac:dyDescent="0.25">
      <c r="A158" s="10" t="s">
        <v>562</v>
      </c>
      <c r="B158" s="10"/>
      <c r="C158" s="10"/>
      <c r="D158" s="10"/>
      <c r="E158" s="10"/>
      <c r="F158" s="10" t="s">
        <v>564</v>
      </c>
      <c r="G158" s="10" t="s">
        <v>585</v>
      </c>
      <c r="H158" s="12">
        <v>500</v>
      </c>
      <c r="I158">
        <v>1</v>
      </c>
      <c r="J158" s="12">
        <v>500</v>
      </c>
      <c r="K158" s="10" t="s">
        <v>114</v>
      </c>
      <c r="L158" s="2">
        <v>45832.875</v>
      </c>
      <c r="M158" s="10"/>
      <c r="N158">
        <v>0</v>
      </c>
      <c r="O158" s="10"/>
      <c r="P158">
        <v>0</v>
      </c>
      <c r="Q158">
        <v>0</v>
      </c>
      <c r="R158">
        <v>0</v>
      </c>
      <c r="S158">
        <v>0</v>
      </c>
      <c r="T158">
        <v>0</v>
      </c>
      <c r="U158">
        <v>0</v>
      </c>
      <c r="V158">
        <v>0</v>
      </c>
      <c r="W158">
        <v>0</v>
      </c>
      <c r="X158" s="13">
        <v>19.125</v>
      </c>
      <c r="Y158" s="10" t="s">
        <v>901</v>
      </c>
      <c r="Z158" s="10" t="s">
        <v>941</v>
      </c>
      <c r="AA158" s="10"/>
      <c r="AB158" s="10"/>
      <c r="AC158" s="10"/>
    </row>
    <row r="159" spans="1:29" hidden="1" x14ac:dyDescent="0.25">
      <c r="A159" s="10" t="s">
        <v>562</v>
      </c>
      <c r="B159" s="10"/>
      <c r="C159" s="10"/>
      <c r="D159" s="10"/>
      <c r="E159" s="10"/>
      <c r="F159" s="10" t="s">
        <v>565</v>
      </c>
      <c r="G159" s="10" t="s">
        <v>585</v>
      </c>
      <c r="H159" s="12">
        <v>750</v>
      </c>
      <c r="I159">
        <v>1</v>
      </c>
      <c r="J159" s="12">
        <v>750</v>
      </c>
      <c r="K159" s="10" t="s">
        <v>114</v>
      </c>
      <c r="L159" s="2">
        <v>45832.875</v>
      </c>
      <c r="M159" s="10"/>
      <c r="N159">
        <v>0</v>
      </c>
      <c r="O159" s="10"/>
      <c r="P159">
        <v>0</v>
      </c>
      <c r="Q159">
        <v>0</v>
      </c>
      <c r="R159">
        <v>0</v>
      </c>
      <c r="S159">
        <v>0</v>
      </c>
      <c r="T159">
        <v>0</v>
      </c>
      <c r="U159">
        <v>0</v>
      </c>
      <c r="V159">
        <v>0</v>
      </c>
      <c r="W159">
        <v>0</v>
      </c>
      <c r="X159" s="13">
        <v>19.125</v>
      </c>
      <c r="Y159" s="10" t="s">
        <v>901</v>
      </c>
      <c r="Z159" s="10" t="s">
        <v>941</v>
      </c>
      <c r="AA159" s="10"/>
      <c r="AB159" s="10"/>
      <c r="AC159" s="10"/>
    </row>
    <row r="160" spans="1:29" hidden="1" x14ac:dyDescent="0.25">
      <c r="A160" s="10" t="s">
        <v>562</v>
      </c>
      <c r="B160" s="10"/>
      <c r="C160" s="10"/>
      <c r="D160" s="10"/>
      <c r="E160" s="10"/>
      <c r="F160" s="10" t="s">
        <v>566</v>
      </c>
      <c r="G160" s="10" t="s">
        <v>585</v>
      </c>
      <c r="H160" s="12">
        <v>1000</v>
      </c>
      <c r="I160">
        <v>1</v>
      </c>
      <c r="J160" s="12">
        <v>1000</v>
      </c>
      <c r="K160" s="10" t="s">
        <v>114</v>
      </c>
      <c r="L160" s="2">
        <v>45832.875</v>
      </c>
      <c r="M160" s="10"/>
      <c r="N160">
        <v>0</v>
      </c>
      <c r="O160" s="10"/>
      <c r="P160">
        <v>0</v>
      </c>
      <c r="Q160">
        <v>0</v>
      </c>
      <c r="R160">
        <v>0</v>
      </c>
      <c r="S160">
        <v>0</v>
      </c>
      <c r="T160">
        <v>0</v>
      </c>
      <c r="U160">
        <v>0</v>
      </c>
      <c r="V160">
        <v>0</v>
      </c>
      <c r="W160">
        <v>0</v>
      </c>
      <c r="X160" s="13">
        <v>19.125</v>
      </c>
      <c r="Y160" s="10" t="s">
        <v>901</v>
      </c>
      <c r="Z160" s="10" t="s">
        <v>941</v>
      </c>
      <c r="AA160" s="10"/>
      <c r="AB160" s="10"/>
      <c r="AC160" s="10"/>
    </row>
    <row r="161" spans="1:29" hidden="1" x14ac:dyDescent="0.25">
      <c r="A161" s="10" t="s">
        <v>178</v>
      </c>
      <c r="B161" s="10"/>
      <c r="C161" s="10" t="s">
        <v>603</v>
      </c>
      <c r="D161" s="10" t="s">
        <v>195</v>
      </c>
      <c r="E161" s="10" t="s">
        <v>285</v>
      </c>
      <c r="F161" s="10" t="s">
        <v>196</v>
      </c>
      <c r="G161" s="10" t="s">
        <v>604</v>
      </c>
      <c r="H161" s="12">
        <v>5015.41</v>
      </c>
      <c r="I161">
        <v>1</v>
      </c>
      <c r="J161" s="12">
        <v>5015.41</v>
      </c>
      <c r="K161" s="10"/>
      <c r="L161" s="2">
        <v>45832.875</v>
      </c>
      <c r="M161" s="10"/>
      <c r="N161">
        <v>0</v>
      </c>
      <c r="O161" s="10"/>
      <c r="P161">
        <v>0</v>
      </c>
      <c r="Q161">
        <v>0</v>
      </c>
      <c r="R161">
        <v>0</v>
      </c>
      <c r="S161">
        <v>0</v>
      </c>
      <c r="T161">
        <v>0</v>
      </c>
      <c r="U161">
        <v>0</v>
      </c>
      <c r="V161">
        <v>0</v>
      </c>
      <c r="W161">
        <v>0</v>
      </c>
      <c r="X161" s="13">
        <v>30.125</v>
      </c>
      <c r="Y161" s="10" t="s">
        <v>901</v>
      </c>
      <c r="Z161" s="10" t="s">
        <v>941</v>
      </c>
      <c r="AA161" s="10">
        <v>0.25</v>
      </c>
      <c r="AB161" s="10">
        <v>1</v>
      </c>
      <c r="AC161" s="10"/>
    </row>
    <row r="162" spans="1:29" hidden="1" x14ac:dyDescent="0.25">
      <c r="A162" s="10" t="s">
        <v>178</v>
      </c>
      <c r="B162" s="10"/>
      <c r="C162" s="10" t="s">
        <v>603</v>
      </c>
      <c r="D162" s="10" t="s">
        <v>197</v>
      </c>
      <c r="E162" s="10" t="s">
        <v>285</v>
      </c>
      <c r="F162" s="10" t="s">
        <v>198</v>
      </c>
      <c r="G162" s="10" t="s">
        <v>615</v>
      </c>
      <c r="H162" s="12">
        <v>528.76</v>
      </c>
      <c r="I162">
        <v>1</v>
      </c>
      <c r="J162" s="12">
        <v>528.76</v>
      </c>
      <c r="K162" s="10"/>
      <c r="L162" s="2">
        <v>45832.875</v>
      </c>
      <c r="M162" s="10"/>
      <c r="N162">
        <v>0</v>
      </c>
      <c r="O162" s="10"/>
      <c r="P162">
        <v>0</v>
      </c>
      <c r="Q162">
        <v>0</v>
      </c>
      <c r="R162">
        <v>0</v>
      </c>
      <c r="S162">
        <v>0</v>
      </c>
      <c r="T162">
        <v>0</v>
      </c>
      <c r="U162">
        <v>0</v>
      </c>
      <c r="V162">
        <v>0</v>
      </c>
      <c r="W162">
        <v>0</v>
      </c>
      <c r="X162" s="13">
        <v>30.125</v>
      </c>
      <c r="Y162" s="10" t="s">
        <v>901</v>
      </c>
      <c r="Z162" s="10" t="s">
        <v>941</v>
      </c>
      <c r="AA162" s="10"/>
      <c r="AB162" s="10">
        <v>0.5</v>
      </c>
      <c r="AC162" s="10"/>
    </row>
    <row r="163" spans="1:29" hidden="1" x14ac:dyDescent="0.25">
      <c r="A163" s="10" t="s">
        <v>178</v>
      </c>
      <c r="B163" s="10"/>
      <c r="C163" s="10" t="s">
        <v>603</v>
      </c>
      <c r="D163" s="10" t="s">
        <v>200</v>
      </c>
      <c r="E163" s="10" t="s">
        <v>285</v>
      </c>
      <c r="F163" s="10" t="s">
        <v>199</v>
      </c>
      <c r="G163" s="10" t="s">
        <v>616</v>
      </c>
      <c r="H163" s="12">
        <v>166.64</v>
      </c>
      <c r="I163">
        <v>1</v>
      </c>
      <c r="J163" s="12">
        <v>166.64</v>
      </c>
      <c r="K163" s="10"/>
      <c r="L163" s="2">
        <v>45832.875</v>
      </c>
      <c r="M163" s="10"/>
      <c r="N163">
        <v>0</v>
      </c>
      <c r="O163" s="10"/>
      <c r="P163">
        <v>0</v>
      </c>
      <c r="Q163">
        <v>0</v>
      </c>
      <c r="R163">
        <v>0</v>
      </c>
      <c r="S163">
        <v>0</v>
      </c>
      <c r="T163">
        <v>0</v>
      </c>
      <c r="U163">
        <v>0</v>
      </c>
      <c r="V163">
        <v>0</v>
      </c>
      <c r="W163">
        <v>0</v>
      </c>
      <c r="X163" s="13">
        <v>30.125</v>
      </c>
      <c r="Y163" s="10" t="s">
        <v>901</v>
      </c>
      <c r="Z163" s="10" t="s">
        <v>941</v>
      </c>
      <c r="AA163" s="10"/>
      <c r="AB163" s="10">
        <v>0.25</v>
      </c>
      <c r="AC163" s="10"/>
    </row>
    <row r="164" spans="1:29" hidden="1" x14ac:dyDescent="0.25">
      <c r="A164" s="10" t="s">
        <v>605</v>
      </c>
      <c r="B164" s="10"/>
      <c r="C164" s="10"/>
      <c r="D164" s="10"/>
      <c r="E164" s="10"/>
      <c r="F164" s="10" t="s">
        <v>606</v>
      </c>
      <c r="G164" s="10" t="s">
        <v>608</v>
      </c>
      <c r="H164" s="12">
        <v>3500</v>
      </c>
      <c r="I164">
        <v>1</v>
      </c>
      <c r="J164" s="12">
        <v>3500</v>
      </c>
      <c r="K164" s="10"/>
      <c r="L164" s="2">
        <v>45832.875</v>
      </c>
      <c r="M164" s="10"/>
      <c r="N164">
        <v>0</v>
      </c>
      <c r="O164" s="10"/>
      <c r="P164">
        <v>0</v>
      </c>
      <c r="Q164">
        <v>0</v>
      </c>
      <c r="R164">
        <v>0</v>
      </c>
      <c r="S164">
        <v>0</v>
      </c>
      <c r="T164">
        <v>0</v>
      </c>
      <c r="U164">
        <v>0</v>
      </c>
      <c r="V164">
        <v>0</v>
      </c>
      <c r="W164">
        <v>0</v>
      </c>
      <c r="X164" s="13">
        <v>29.125</v>
      </c>
      <c r="Y164" s="10" t="s">
        <v>901</v>
      </c>
      <c r="Z164" s="10" t="s">
        <v>941</v>
      </c>
      <c r="AA164" s="10"/>
      <c r="AB164" s="10"/>
      <c r="AC164" s="10"/>
    </row>
    <row r="165" spans="1:29" hidden="1" x14ac:dyDescent="0.25">
      <c r="A165" s="10" t="s">
        <v>605</v>
      </c>
      <c r="B165" s="10"/>
      <c r="C165" s="10"/>
      <c r="D165" s="10"/>
      <c r="E165" s="10"/>
      <c r="F165" s="10" t="s">
        <v>607</v>
      </c>
      <c r="G165" s="10" t="s">
        <v>608</v>
      </c>
      <c r="H165" s="12">
        <v>4500</v>
      </c>
      <c r="I165">
        <v>1</v>
      </c>
      <c r="J165" s="12">
        <v>4500</v>
      </c>
      <c r="K165" s="10"/>
      <c r="L165" s="2">
        <v>45832.875</v>
      </c>
      <c r="M165" s="10"/>
      <c r="N165">
        <v>0</v>
      </c>
      <c r="O165" s="10"/>
      <c r="P165">
        <v>0</v>
      </c>
      <c r="Q165">
        <v>0</v>
      </c>
      <c r="R165">
        <v>0</v>
      </c>
      <c r="S165">
        <v>0</v>
      </c>
      <c r="T165">
        <v>0</v>
      </c>
      <c r="U165">
        <v>0</v>
      </c>
      <c r="V165">
        <v>0</v>
      </c>
      <c r="W165">
        <v>0</v>
      </c>
      <c r="X165" s="13">
        <v>29.125</v>
      </c>
      <c r="Y165" s="10" t="s">
        <v>901</v>
      </c>
      <c r="Z165" s="10" t="s">
        <v>941</v>
      </c>
      <c r="AA165" s="10"/>
      <c r="AB165" s="10"/>
      <c r="AC165" s="10"/>
    </row>
    <row r="166" spans="1:29" hidden="1" x14ac:dyDescent="0.25">
      <c r="A166" s="10" t="s">
        <v>605</v>
      </c>
      <c r="B166" s="10"/>
      <c r="C166" s="10"/>
      <c r="D166" s="10"/>
      <c r="E166" s="10"/>
      <c r="F166" s="10" t="s">
        <v>889</v>
      </c>
      <c r="G166" s="10" t="s">
        <v>608</v>
      </c>
      <c r="H166" s="12">
        <v>2500</v>
      </c>
      <c r="I166">
        <v>1</v>
      </c>
      <c r="J166" s="12">
        <v>2500</v>
      </c>
      <c r="K166" s="10"/>
      <c r="L166" s="2">
        <v>45832.875</v>
      </c>
      <c r="M166" s="10"/>
      <c r="N166">
        <v>0</v>
      </c>
      <c r="O166" s="10"/>
      <c r="P166">
        <v>0</v>
      </c>
      <c r="Q166">
        <v>0</v>
      </c>
      <c r="R166">
        <v>0</v>
      </c>
      <c r="S166">
        <v>0</v>
      </c>
      <c r="T166">
        <v>0</v>
      </c>
      <c r="U166">
        <v>0</v>
      </c>
      <c r="V166">
        <v>0</v>
      </c>
      <c r="W166">
        <v>0</v>
      </c>
      <c r="X166" s="13">
        <v>29.125</v>
      </c>
      <c r="Y166" s="10" t="s">
        <v>901</v>
      </c>
      <c r="Z166" s="10" t="s">
        <v>941</v>
      </c>
      <c r="AA166" s="10"/>
      <c r="AB166" s="10"/>
      <c r="AC166" s="10"/>
    </row>
    <row r="167" spans="1:29" hidden="1" x14ac:dyDescent="0.25">
      <c r="A167" s="10" t="s">
        <v>605</v>
      </c>
      <c r="B167" s="10"/>
      <c r="C167" s="10"/>
      <c r="D167" s="10"/>
      <c r="E167" s="10"/>
      <c r="F167" s="10" t="s">
        <v>609</v>
      </c>
      <c r="G167" s="10" t="s">
        <v>608</v>
      </c>
      <c r="H167" s="12">
        <v>250</v>
      </c>
      <c r="I167">
        <v>1</v>
      </c>
      <c r="J167" s="12">
        <v>250</v>
      </c>
      <c r="K167" s="10"/>
      <c r="L167" s="2">
        <v>45832.875</v>
      </c>
      <c r="M167" s="10"/>
      <c r="N167">
        <v>0</v>
      </c>
      <c r="O167" s="10"/>
      <c r="P167">
        <v>0</v>
      </c>
      <c r="Q167">
        <v>0</v>
      </c>
      <c r="R167">
        <v>0</v>
      </c>
      <c r="S167">
        <v>0</v>
      </c>
      <c r="T167">
        <v>0</v>
      </c>
      <c r="U167">
        <v>0</v>
      </c>
      <c r="V167">
        <v>0</v>
      </c>
      <c r="W167">
        <v>0</v>
      </c>
      <c r="X167" s="13">
        <v>29.125</v>
      </c>
      <c r="Y167" s="10" t="s">
        <v>901</v>
      </c>
      <c r="Z167" s="10" t="s">
        <v>941</v>
      </c>
      <c r="AA167" s="10"/>
      <c r="AB167" s="10"/>
      <c r="AC167" s="10"/>
    </row>
    <row r="168" spans="1:29" hidden="1" x14ac:dyDescent="0.25">
      <c r="A168" s="10" t="s">
        <v>610</v>
      </c>
      <c r="B168" s="10"/>
      <c r="C168" s="10"/>
      <c r="D168" s="10"/>
      <c r="E168" s="10"/>
      <c r="F168" s="10" t="s">
        <v>611</v>
      </c>
      <c r="G168" s="10" t="s">
        <v>614</v>
      </c>
      <c r="H168" s="12">
        <v>1000</v>
      </c>
      <c r="I168">
        <v>1</v>
      </c>
      <c r="J168" s="12">
        <v>1000</v>
      </c>
      <c r="K168" s="10"/>
      <c r="L168" s="2">
        <v>45832.875</v>
      </c>
      <c r="M168" s="10"/>
      <c r="N168">
        <v>0</v>
      </c>
      <c r="O168" s="10"/>
      <c r="P168">
        <v>0</v>
      </c>
      <c r="Q168">
        <v>0</v>
      </c>
      <c r="R168">
        <v>0</v>
      </c>
      <c r="S168">
        <v>0</v>
      </c>
      <c r="T168">
        <v>0</v>
      </c>
      <c r="U168">
        <v>0</v>
      </c>
      <c r="V168">
        <v>0</v>
      </c>
      <c r="W168">
        <v>0</v>
      </c>
      <c r="X168" s="13">
        <v>30.125</v>
      </c>
      <c r="Y168" s="10" t="s">
        <v>901</v>
      </c>
      <c r="Z168" s="10" t="s">
        <v>941</v>
      </c>
      <c r="AA168" s="10">
        <v>4</v>
      </c>
      <c r="AB168" s="10">
        <v>1</v>
      </c>
      <c r="AC168" s="10"/>
    </row>
    <row r="169" spans="1:29" hidden="1" x14ac:dyDescent="0.25">
      <c r="A169" s="10" t="s">
        <v>610</v>
      </c>
      <c r="B169" s="10"/>
      <c r="C169" s="10"/>
      <c r="D169" s="10"/>
      <c r="E169" s="10"/>
      <c r="F169" s="10" t="s">
        <v>890</v>
      </c>
      <c r="G169" s="10" t="s">
        <v>614</v>
      </c>
      <c r="H169" s="12">
        <v>750</v>
      </c>
      <c r="I169">
        <v>1</v>
      </c>
      <c r="J169" s="12">
        <v>750</v>
      </c>
      <c r="K169" s="10"/>
      <c r="L169" s="2">
        <v>45832.875</v>
      </c>
      <c r="M169" s="10"/>
      <c r="N169">
        <v>0</v>
      </c>
      <c r="O169" s="10"/>
      <c r="P169">
        <v>0</v>
      </c>
      <c r="Q169">
        <v>0</v>
      </c>
      <c r="R169">
        <v>0</v>
      </c>
      <c r="S169">
        <v>0</v>
      </c>
      <c r="T169">
        <v>0</v>
      </c>
      <c r="U169">
        <v>0</v>
      </c>
      <c r="V169">
        <v>0</v>
      </c>
      <c r="W169">
        <v>0</v>
      </c>
      <c r="X169" s="13">
        <v>30.125</v>
      </c>
      <c r="Y169" s="10" t="s">
        <v>901</v>
      </c>
      <c r="Z169" s="10" t="s">
        <v>941</v>
      </c>
      <c r="AA169" s="10">
        <v>4</v>
      </c>
      <c r="AB169" s="10">
        <v>1</v>
      </c>
      <c r="AC169" s="10"/>
    </row>
    <row r="170" spans="1:29" hidden="1" x14ac:dyDescent="0.25">
      <c r="A170" s="10" t="s">
        <v>610</v>
      </c>
      <c r="B170" s="10"/>
      <c r="C170" s="10"/>
      <c r="D170" s="10"/>
      <c r="E170" s="10"/>
      <c r="F170" s="10" t="s">
        <v>612</v>
      </c>
      <c r="G170" s="10" t="s">
        <v>614</v>
      </c>
      <c r="H170" s="12">
        <v>1500</v>
      </c>
      <c r="I170">
        <v>1</v>
      </c>
      <c r="J170" s="12">
        <v>1500</v>
      </c>
      <c r="K170" s="10"/>
      <c r="L170" s="2">
        <v>45832.875</v>
      </c>
      <c r="M170" s="10"/>
      <c r="N170">
        <v>0</v>
      </c>
      <c r="O170" s="10"/>
      <c r="P170">
        <v>0</v>
      </c>
      <c r="Q170">
        <v>0</v>
      </c>
      <c r="R170">
        <v>0</v>
      </c>
      <c r="S170">
        <v>0</v>
      </c>
      <c r="T170">
        <v>0</v>
      </c>
      <c r="U170">
        <v>0</v>
      </c>
      <c r="V170">
        <v>0</v>
      </c>
      <c r="W170">
        <v>0</v>
      </c>
      <c r="X170" s="13">
        <v>30.125</v>
      </c>
      <c r="Y170" s="10" t="s">
        <v>901</v>
      </c>
      <c r="Z170" s="10" t="s">
        <v>941</v>
      </c>
      <c r="AA170" s="10">
        <v>4</v>
      </c>
      <c r="AB170" s="10">
        <v>1</v>
      </c>
      <c r="AC170" s="10"/>
    </row>
    <row r="171" spans="1:29" hidden="1" x14ac:dyDescent="0.25">
      <c r="A171" s="10" t="s">
        <v>610</v>
      </c>
      <c r="B171" s="10"/>
      <c r="C171" s="10"/>
      <c r="D171" s="10"/>
      <c r="E171" s="10"/>
      <c r="F171" s="10" t="s">
        <v>613</v>
      </c>
      <c r="G171" s="10" t="s">
        <v>614</v>
      </c>
      <c r="H171" s="12">
        <v>250</v>
      </c>
      <c r="I171">
        <v>1</v>
      </c>
      <c r="J171" s="12">
        <v>250</v>
      </c>
      <c r="K171" s="10"/>
      <c r="L171" s="2">
        <v>45832.875</v>
      </c>
      <c r="M171" s="10"/>
      <c r="N171">
        <v>0</v>
      </c>
      <c r="O171" s="10"/>
      <c r="P171">
        <v>0</v>
      </c>
      <c r="Q171">
        <v>0</v>
      </c>
      <c r="R171">
        <v>0</v>
      </c>
      <c r="S171">
        <v>0</v>
      </c>
      <c r="T171">
        <v>0</v>
      </c>
      <c r="U171">
        <v>0</v>
      </c>
      <c r="V171">
        <v>0</v>
      </c>
      <c r="W171">
        <v>0</v>
      </c>
      <c r="X171" s="13">
        <v>30.125</v>
      </c>
      <c r="Y171" s="10" t="s">
        <v>901</v>
      </c>
      <c r="Z171" s="10" t="s">
        <v>941</v>
      </c>
      <c r="AA171" s="10">
        <v>4</v>
      </c>
      <c r="AB171" s="10">
        <v>1</v>
      </c>
      <c r="AC171" s="10"/>
    </row>
    <row r="172" spans="1:29" hidden="1" x14ac:dyDescent="0.25">
      <c r="A172" s="10" t="s">
        <v>624</v>
      </c>
      <c r="B172" s="10" t="s">
        <v>969</v>
      </c>
      <c r="C172" s="10"/>
      <c r="D172" s="10" t="s">
        <v>639</v>
      </c>
      <c r="E172" s="10" t="s">
        <v>285</v>
      </c>
      <c r="F172" s="10" t="s">
        <v>12</v>
      </c>
      <c r="G172" s="10" t="s">
        <v>655</v>
      </c>
      <c r="H172" s="12">
        <v>726.34452999999996</v>
      </c>
      <c r="I172">
        <v>1</v>
      </c>
      <c r="J172" s="12">
        <v>726.34452999999996</v>
      </c>
      <c r="K172" s="10" t="s">
        <v>284</v>
      </c>
      <c r="L172" s="2">
        <v>45838.875</v>
      </c>
      <c r="M172" s="10"/>
      <c r="N172">
        <v>0</v>
      </c>
      <c r="O172" s="10"/>
      <c r="P172">
        <v>0</v>
      </c>
      <c r="Q172">
        <v>0</v>
      </c>
      <c r="R172">
        <v>0</v>
      </c>
      <c r="S172">
        <v>0</v>
      </c>
      <c r="T172">
        <v>0</v>
      </c>
      <c r="U172">
        <v>0</v>
      </c>
      <c r="V172">
        <v>0</v>
      </c>
      <c r="W172">
        <v>0</v>
      </c>
      <c r="X172" s="13">
        <v>23.125</v>
      </c>
      <c r="Y172" s="10" t="s">
        <v>901</v>
      </c>
      <c r="Z172" s="10" t="s">
        <v>941</v>
      </c>
      <c r="AA172" s="10">
        <v>0.2</v>
      </c>
      <c r="AB172" s="10">
        <v>0.5</v>
      </c>
      <c r="AC172" s="10"/>
    </row>
    <row r="173" spans="1:29" hidden="1" x14ac:dyDescent="0.25">
      <c r="A173" s="10" t="s">
        <v>624</v>
      </c>
      <c r="B173" s="10" t="s">
        <v>969</v>
      </c>
      <c r="C173" s="10"/>
      <c r="D173" s="10" t="s">
        <v>640</v>
      </c>
      <c r="E173" s="10" t="s">
        <v>285</v>
      </c>
      <c r="F173" s="10" t="s">
        <v>625</v>
      </c>
      <c r="G173" s="10" t="s">
        <v>656</v>
      </c>
      <c r="H173" s="12">
        <v>226.51141000000001</v>
      </c>
      <c r="I173">
        <v>1</v>
      </c>
      <c r="J173" s="12">
        <v>226.51141000000001</v>
      </c>
      <c r="K173" s="10" t="s">
        <v>284</v>
      </c>
      <c r="L173" s="2">
        <v>45838.875</v>
      </c>
      <c r="M173" s="10"/>
      <c r="N173">
        <v>0</v>
      </c>
      <c r="O173" s="10"/>
      <c r="P173">
        <v>0</v>
      </c>
      <c r="Q173">
        <v>0</v>
      </c>
      <c r="R173">
        <v>0</v>
      </c>
      <c r="S173">
        <v>0</v>
      </c>
      <c r="T173">
        <v>0</v>
      </c>
      <c r="U173">
        <v>0</v>
      </c>
      <c r="V173">
        <v>0</v>
      </c>
      <c r="W173">
        <v>0</v>
      </c>
      <c r="X173" s="13">
        <v>23.125</v>
      </c>
      <c r="Y173" s="10" t="s">
        <v>901</v>
      </c>
      <c r="Z173" s="10" t="s">
        <v>941</v>
      </c>
      <c r="AA173" s="10">
        <v>0.1</v>
      </c>
      <c r="AB173" s="10">
        <v>0.2</v>
      </c>
      <c r="AC173" s="10"/>
    </row>
    <row r="174" spans="1:29" hidden="1" x14ac:dyDescent="0.25">
      <c r="A174" s="10" t="s">
        <v>624</v>
      </c>
      <c r="B174" s="10" t="s">
        <v>969</v>
      </c>
      <c r="C174" s="10"/>
      <c r="D174" s="10" t="s">
        <v>641</v>
      </c>
      <c r="E174" s="10" t="s">
        <v>285</v>
      </c>
      <c r="F174" s="10" t="s">
        <v>626</v>
      </c>
      <c r="G174" s="10" t="s">
        <v>657</v>
      </c>
      <c r="H174" s="12">
        <v>127.79816</v>
      </c>
      <c r="I174">
        <v>1</v>
      </c>
      <c r="J174" s="12">
        <v>127.79816</v>
      </c>
      <c r="K174" s="10" t="s">
        <v>284</v>
      </c>
      <c r="L174" s="2">
        <v>45838.875</v>
      </c>
      <c r="M174" s="10"/>
      <c r="N174">
        <v>0</v>
      </c>
      <c r="O174" s="10"/>
      <c r="P174">
        <v>0</v>
      </c>
      <c r="Q174">
        <v>0</v>
      </c>
      <c r="R174">
        <v>0</v>
      </c>
      <c r="S174">
        <v>0</v>
      </c>
      <c r="T174">
        <v>0</v>
      </c>
      <c r="U174">
        <v>0</v>
      </c>
      <c r="V174">
        <v>0</v>
      </c>
      <c r="W174">
        <v>0</v>
      </c>
      <c r="X174" s="13">
        <v>23.125</v>
      </c>
      <c r="Y174" s="10" t="s">
        <v>901</v>
      </c>
      <c r="Z174" s="10" t="s">
        <v>941</v>
      </c>
      <c r="AA174" s="10">
        <v>0.1</v>
      </c>
      <c r="AB174" s="10">
        <v>0.2</v>
      </c>
      <c r="AC174" s="10"/>
    </row>
    <row r="175" spans="1:29" hidden="1" x14ac:dyDescent="0.25">
      <c r="A175" s="10" t="s">
        <v>624</v>
      </c>
      <c r="B175" s="10" t="s">
        <v>969</v>
      </c>
      <c r="C175" s="10"/>
      <c r="D175" s="10" t="s">
        <v>642</v>
      </c>
      <c r="E175" s="10" t="s">
        <v>285</v>
      </c>
      <c r="F175" s="10" t="s">
        <v>627</v>
      </c>
      <c r="G175" s="10" t="s">
        <v>658</v>
      </c>
      <c r="H175" s="12">
        <v>163.14282</v>
      </c>
      <c r="I175">
        <v>1</v>
      </c>
      <c r="J175" s="12">
        <v>163.14282</v>
      </c>
      <c r="K175" s="10" t="s">
        <v>284</v>
      </c>
      <c r="L175" s="2">
        <v>45838.875</v>
      </c>
      <c r="M175" s="10"/>
      <c r="N175">
        <v>0</v>
      </c>
      <c r="O175" s="10"/>
      <c r="P175">
        <v>0</v>
      </c>
      <c r="Q175">
        <v>0</v>
      </c>
      <c r="R175">
        <v>0</v>
      </c>
      <c r="S175">
        <v>0</v>
      </c>
      <c r="T175">
        <v>0</v>
      </c>
      <c r="U175">
        <v>0</v>
      </c>
      <c r="V175">
        <v>0</v>
      </c>
      <c r="W175">
        <v>0</v>
      </c>
      <c r="X175" s="13">
        <v>24.125</v>
      </c>
      <c r="Y175" s="10" t="s">
        <v>901</v>
      </c>
      <c r="Z175" s="10" t="s">
        <v>941</v>
      </c>
      <c r="AA175" s="10">
        <v>0.4</v>
      </c>
      <c r="AB175" s="10">
        <v>0.4</v>
      </c>
      <c r="AC175" s="10">
        <v>0.4</v>
      </c>
    </row>
    <row r="176" spans="1:29" hidden="1" x14ac:dyDescent="0.25">
      <c r="A176" s="10" t="s">
        <v>624</v>
      </c>
      <c r="B176" s="10" t="s">
        <v>969</v>
      </c>
      <c r="C176" s="10"/>
      <c r="D176" s="10" t="s">
        <v>643</v>
      </c>
      <c r="E176" s="10" t="s">
        <v>285</v>
      </c>
      <c r="F176" s="10" t="s">
        <v>628</v>
      </c>
      <c r="G176" s="10" t="s">
        <v>659</v>
      </c>
      <c r="H176" s="12">
        <v>82.925920000000005</v>
      </c>
      <c r="I176">
        <v>1</v>
      </c>
      <c r="J176" s="12">
        <v>82.925920000000005</v>
      </c>
      <c r="K176" s="10" t="s">
        <v>284</v>
      </c>
      <c r="L176" s="2">
        <v>45838.875</v>
      </c>
      <c r="M176" s="10"/>
      <c r="N176">
        <v>0</v>
      </c>
      <c r="O176" s="10"/>
      <c r="P176">
        <v>0</v>
      </c>
      <c r="Q176">
        <v>0</v>
      </c>
      <c r="R176">
        <v>0</v>
      </c>
      <c r="S176">
        <v>0</v>
      </c>
      <c r="T176">
        <v>0</v>
      </c>
      <c r="U176">
        <v>0</v>
      </c>
      <c r="V176">
        <v>0</v>
      </c>
      <c r="W176">
        <v>0</v>
      </c>
      <c r="X176" s="13">
        <v>24.125</v>
      </c>
      <c r="Y176" s="10" t="s">
        <v>901</v>
      </c>
      <c r="Z176" s="10" t="s">
        <v>941</v>
      </c>
      <c r="AA176" s="10">
        <v>0.4</v>
      </c>
      <c r="AB176" s="10">
        <v>0.4</v>
      </c>
      <c r="AC176" s="10">
        <v>0.4</v>
      </c>
    </row>
    <row r="177" spans="1:29" hidden="1" x14ac:dyDescent="0.25">
      <c r="A177" s="10" t="s">
        <v>624</v>
      </c>
      <c r="B177" s="10" t="s">
        <v>969</v>
      </c>
      <c r="C177" s="10"/>
      <c r="D177" s="10" t="s">
        <v>1</v>
      </c>
      <c r="E177" s="10" t="s">
        <v>285</v>
      </c>
      <c r="F177" s="10" t="s">
        <v>13</v>
      </c>
      <c r="G177" s="10" t="s">
        <v>660</v>
      </c>
      <c r="H177" s="12">
        <v>138.20987</v>
      </c>
      <c r="I177">
        <v>1</v>
      </c>
      <c r="J177" s="12">
        <v>138.20987</v>
      </c>
      <c r="K177" s="10" t="s">
        <v>284</v>
      </c>
      <c r="L177" s="2">
        <v>45838.875</v>
      </c>
      <c r="M177" s="10"/>
      <c r="N177">
        <v>0</v>
      </c>
      <c r="O177" s="10"/>
      <c r="P177">
        <v>0</v>
      </c>
      <c r="Q177">
        <v>0</v>
      </c>
      <c r="R177">
        <v>0</v>
      </c>
      <c r="S177">
        <v>0</v>
      </c>
      <c r="T177">
        <v>0</v>
      </c>
      <c r="U177">
        <v>0</v>
      </c>
      <c r="V177">
        <v>0</v>
      </c>
      <c r="W177">
        <v>0</v>
      </c>
      <c r="X177" s="13">
        <v>24.125</v>
      </c>
      <c r="Y177" s="10" t="s">
        <v>901</v>
      </c>
      <c r="Z177" s="10" t="s">
        <v>941</v>
      </c>
      <c r="AA177" s="10">
        <v>0.8</v>
      </c>
      <c r="AB177" s="10">
        <v>0.8</v>
      </c>
      <c r="AC177" s="10">
        <v>0.8</v>
      </c>
    </row>
    <row r="178" spans="1:29" hidden="1" x14ac:dyDescent="0.25">
      <c r="A178" s="10" t="s">
        <v>624</v>
      </c>
      <c r="B178" s="10" t="s">
        <v>969</v>
      </c>
      <c r="C178" s="10"/>
      <c r="D178" s="10" t="s">
        <v>644</v>
      </c>
      <c r="E178" s="10" t="s">
        <v>285</v>
      </c>
      <c r="F178" s="10" t="s">
        <v>629</v>
      </c>
      <c r="G178" s="10" t="s">
        <v>661</v>
      </c>
      <c r="H178" s="12">
        <v>582.92172000000005</v>
      </c>
      <c r="I178">
        <v>1</v>
      </c>
      <c r="J178" s="12">
        <v>582.92172000000005</v>
      </c>
      <c r="K178" s="10" t="s">
        <v>284</v>
      </c>
      <c r="L178" s="2">
        <v>45838.875</v>
      </c>
      <c r="M178" s="10"/>
      <c r="N178">
        <v>0</v>
      </c>
      <c r="O178" s="10"/>
      <c r="P178">
        <v>0</v>
      </c>
      <c r="Q178">
        <v>0</v>
      </c>
      <c r="R178">
        <v>0</v>
      </c>
      <c r="S178">
        <v>0</v>
      </c>
      <c r="T178">
        <v>0</v>
      </c>
      <c r="U178">
        <v>0</v>
      </c>
      <c r="V178">
        <v>0</v>
      </c>
      <c r="W178">
        <v>0</v>
      </c>
      <c r="X178" s="13">
        <v>24.125</v>
      </c>
      <c r="Y178" s="10" t="s">
        <v>901</v>
      </c>
      <c r="Z178" s="10" t="s">
        <v>941</v>
      </c>
      <c r="AA178" s="10">
        <v>0.8</v>
      </c>
      <c r="AB178" s="10">
        <v>0.8</v>
      </c>
      <c r="AC178" s="10">
        <v>0.8</v>
      </c>
    </row>
    <row r="179" spans="1:29" hidden="1" x14ac:dyDescent="0.25">
      <c r="A179" s="10" t="s">
        <v>624</v>
      </c>
      <c r="B179" s="10" t="s">
        <v>969</v>
      </c>
      <c r="C179" s="10"/>
      <c r="D179" s="10" t="s">
        <v>9</v>
      </c>
      <c r="E179" s="10" t="s">
        <v>285</v>
      </c>
      <c r="F179" s="10" t="s">
        <v>14</v>
      </c>
      <c r="G179" s="10" t="s">
        <v>662</v>
      </c>
      <c r="H179" s="12">
        <v>364.72129000000001</v>
      </c>
      <c r="I179">
        <v>1</v>
      </c>
      <c r="J179" s="12">
        <v>364.72129000000001</v>
      </c>
      <c r="K179" s="10" t="s">
        <v>284</v>
      </c>
      <c r="L179" s="2">
        <v>45838.875</v>
      </c>
      <c r="M179" s="10"/>
      <c r="N179">
        <v>0</v>
      </c>
      <c r="O179" s="10"/>
      <c r="P179">
        <v>0</v>
      </c>
      <c r="Q179">
        <v>0</v>
      </c>
      <c r="R179">
        <v>0</v>
      </c>
      <c r="S179">
        <v>0</v>
      </c>
      <c r="T179">
        <v>0</v>
      </c>
      <c r="U179">
        <v>0</v>
      </c>
      <c r="V179">
        <v>0</v>
      </c>
      <c r="W179">
        <v>0</v>
      </c>
      <c r="X179" s="13">
        <v>24.125</v>
      </c>
      <c r="Y179" s="10" t="s">
        <v>901</v>
      </c>
      <c r="Z179" s="10" t="s">
        <v>941</v>
      </c>
      <c r="AA179" s="10">
        <v>0.2</v>
      </c>
      <c r="AB179" s="10">
        <v>0.2</v>
      </c>
      <c r="AC179" s="10">
        <v>0.2</v>
      </c>
    </row>
    <row r="180" spans="1:29" hidden="1" x14ac:dyDescent="0.25">
      <c r="A180" s="10" t="s">
        <v>624</v>
      </c>
      <c r="B180" s="10" t="s">
        <v>969</v>
      </c>
      <c r="C180" s="10"/>
      <c r="D180" s="10" t="s">
        <v>645</v>
      </c>
      <c r="E180" s="10" t="s">
        <v>285</v>
      </c>
      <c r="F180" s="10" t="s">
        <v>630</v>
      </c>
      <c r="G180" s="10" t="s">
        <v>662</v>
      </c>
      <c r="H180" s="12">
        <v>348.09931999999998</v>
      </c>
      <c r="I180">
        <v>1</v>
      </c>
      <c r="J180" s="12">
        <v>348.09931999999998</v>
      </c>
      <c r="K180" s="10" t="s">
        <v>284</v>
      </c>
      <c r="L180" s="2">
        <v>45838.875</v>
      </c>
      <c r="M180" s="10"/>
      <c r="N180">
        <v>0</v>
      </c>
      <c r="O180" s="10"/>
      <c r="P180">
        <v>0</v>
      </c>
      <c r="Q180">
        <v>0</v>
      </c>
      <c r="R180">
        <v>0</v>
      </c>
      <c r="S180">
        <v>0</v>
      </c>
      <c r="T180">
        <v>0</v>
      </c>
      <c r="U180">
        <v>0</v>
      </c>
      <c r="V180">
        <v>0</v>
      </c>
      <c r="W180">
        <v>0</v>
      </c>
      <c r="X180" s="13">
        <v>24.125</v>
      </c>
      <c r="Y180" s="10" t="s">
        <v>901</v>
      </c>
      <c r="Z180" s="10" t="s">
        <v>941</v>
      </c>
      <c r="AA180" s="10">
        <v>0.2</v>
      </c>
      <c r="AB180" s="10">
        <v>0.2</v>
      </c>
      <c r="AC180" s="10">
        <v>0.2</v>
      </c>
    </row>
    <row r="181" spans="1:29" hidden="1" x14ac:dyDescent="0.25">
      <c r="A181" s="10" t="s">
        <v>624</v>
      </c>
      <c r="B181" s="10" t="s">
        <v>969</v>
      </c>
      <c r="C181" s="10"/>
      <c r="D181" s="10" t="s">
        <v>646</v>
      </c>
      <c r="E181" s="10" t="s">
        <v>285</v>
      </c>
      <c r="F181" s="10" t="s">
        <v>631</v>
      </c>
      <c r="G181" s="10" t="s">
        <v>663</v>
      </c>
      <c r="H181" s="12">
        <v>578.80512999999996</v>
      </c>
      <c r="I181">
        <v>1</v>
      </c>
      <c r="J181" s="12">
        <v>578.80512999999996</v>
      </c>
      <c r="K181" s="10" t="s">
        <v>284</v>
      </c>
      <c r="L181" s="2">
        <v>45838.875</v>
      </c>
      <c r="M181" s="10"/>
      <c r="N181">
        <v>0</v>
      </c>
      <c r="O181" s="10"/>
      <c r="P181">
        <v>0</v>
      </c>
      <c r="Q181">
        <v>0</v>
      </c>
      <c r="R181">
        <v>0</v>
      </c>
      <c r="S181">
        <v>0</v>
      </c>
      <c r="T181">
        <v>0</v>
      </c>
      <c r="U181">
        <v>0</v>
      </c>
      <c r="V181">
        <v>0</v>
      </c>
      <c r="W181">
        <v>0</v>
      </c>
      <c r="X181" s="13">
        <v>24.125</v>
      </c>
      <c r="Y181" s="10" t="s">
        <v>901</v>
      </c>
      <c r="Z181" s="10" t="s">
        <v>941</v>
      </c>
      <c r="AA181" s="10">
        <v>0.4</v>
      </c>
      <c r="AB181" s="10">
        <v>0.4</v>
      </c>
      <c r="AC181" s="10">
        <v>0.4</v>
      </c>
    </row>
    <row r="182" spans="1:29" hidden="1" x14ac:dyDescent="0.25">
      <c r="A182" s="10" t="s">
        <v>624</v>
      </c>
      <c r="B182" s="10" t="s">
        <v>969</v>
      </c>
      <c r="C182" s="10"/>
      <c r="D182" s="10" t="s">
        <v>647</v>
      </c>
      <c r="E182" s="10" t="s">
        <v>285</v>
      </c>
      <c r="F182" s="10" t="s">
        <v>632</v>
      </c>
      <c r="G182" s="10" t="s">
        <v>664</v>
      </c>
      <c r="H182" s="12">
        <v>207.82408000000001</v>
      </c>
      <c r="I182">
        <v>1</v>
      </c>
      <c r="J182" s="12">
        <v>207.82408000000001</v>
      </c>
      <c r="K182" s="10" t="s">
        <v>284</v>
      </c>
      <c r="L182" s="2">
        <v>45838.875</v>
      </c>
      <c r="M182" s="10"/>
      <c r="N182">
        <v>0</v>
      </c>
      <c r="O182" s="10"/>
      <c r="P182">
        <v>0</v>
      </c>
      <c r="Q182">
        <v>0</v>
      </c>
      <c r="R182">
        <v>0</v>
      </c>
      <c r="S182">
        <v>0</v>
      </c>
      <c r="T182">
        <v>0</v>
      </c>
      <c r="U182">
        <v>0</v>
      </c>
      <c r="V182">
        <v>0</v>
      </c>
      <c r="W182">
        <v>0</v>
      </c>
      <c r="X182" s="13">
        <v>24.125</v>
      </c>
      <c r="Y182" s="10" t="s">
        <v>901</v>
      </c>
      <c r="Z182" s="10" t="s">
        <v>941</v>
      </c>
      <c r="AA182" s="10">
        <v>0.4</v>
      </c>
      <c r="AB182" s="10">
        <v>0.4</v>
      </c>
      <c r="AC182" s="10">
        <v>0.4</v>
      </c>
    </row>
    <row r="183" spans="1:29" hidden="1" x14ac:dyDescent="0.25">
      <c r="A183" s="10" t="s">
        <v>624</v>
      </c>
      <c r="B183" s="10" t="s">
        <v>969</v>
      </c>
      <c r="C183" s="10"/>
      <c r="D183" s="10" t="s">
        <v>648</v>
      </c>
      <c r="E183" s="10" t="s">
        <v>285</v>
      </c>
      <c r="F183" s="10" t="s">
        <v>633</v>
      </c>
      <c r="G183" s="10" t="s">
        <v>665</v>
      </c>
      <c r="H183" s="12">
        <v>95.502030000000005</v>
      </c>
      <c r="I183">
        <v>1</v>
      </c>
      <c r="J183" s="12">
        <v>95.502030000000005</v>
      </c>
      <c r="K183" s="10" t="s">
        <v>284</v>
      </c>
      <c r="L183" s="2">
        <v>45838.875</v>
      </c>
      <c r="M183" s="10"/>
      <c r="N183">
        <v>0</v>
      </c>
      <c r="O183" s="10"/>
      <c r="P183">
        <v>0</v>
      </c>
      <c r="Q183">
        <v>0</v>
      </c>
      <c r="R183">
        <v>0</v>
      </c>
      <c r="S183">
        <v>0</v>
      </c>
      <c r="T183">
        <v>0</v>
      </c>
      <c r="U183">
        <v>0</v>
      </c>
      <c r="V183">
        <v>0</v>
      </c>
      <c r="W183">
        <v>0</v>
      </c>
      <c r="X183" s="13">
        <v>24.125</v>
      </c>
      <c r="Y183" s="10" t="s">
        <v>901</v>
      </c>
      <c r="Z183" s="10" t="s">
        <v>941</v>
      </c>
      <c r="AA183" s="10">
        <v>0.4</v>
      </c>
      <c r="AB183" s="10">
        <v>0.4</v>
      </c>
      <c r="AC183" s="10">
        <v>0.4</v>
      </c>
    </row>
    <row r="184" spans="1:29" hidden="1" x14ac:dyDescent="0.25">
      <c r="A184" s="10" t="s">
        <v>624</v>
      </c>
      <c r="B184" s="10" t="s">
        <v>969</v>
      </c>
      <c r="C184" s="10"/>
      <c r="D184" s="10" t="s">
        <v>649</v>
      </c>
      <c r="E184" s="10" t="s">
        <v>285</v>
      </c>
      <c r="F184" s="10" t="s">
        <v>18</v>
      </c>
      <c r="G184" s="10" t="s">
        <v>666</v>
      </c>
      <c r="H184" s="12">
        <v>155.88574</v>
      </c>
      <c r="I184">
        <v>1</v>
      </c>
      <c r="J184" s="12">
        <v>155.88574</v>
      </c>
      <c r="K184" s="10" t="s">
        <v>284</v>
      </c>
      <c r="L184" s="2">
        <v>45838.875</v>
      </c>
      <c r="M184" s="10"/>
      <c r="N184">
        <v>0</v>
      </c>
      <c r="O184" s="10"/>
      <c r="P184">
        <v>0</v>
      </c>
      <c r="Q184">
        <v>0</v>
      </c>
      <c r="R184">
        <v>0</v>
      </c>
      <c r="S184">
        <v>0</v>
      </c>
      <c r="T184">
        <v>0</v>
      </c>
      <c r="U184">
        <v>0</v>
      </c>
      <c r="V184">
        <v>0</v>
      </c>
      <c r="W184">
        <v>0</v>
      </c>
      <c r="X184" s="13">
        <v>24.125</v>
      </c>
      <c r="Y184" s="10" t="s">
        <v>901</v>
      </c>
      <c r="Z184" s="10" t="s">
        <v>941</v>
      </c>
      <c r="AA184" s="10">
        <v>0.8</v>
      </c>
      <c r="AB184" s="10">
        <v>0.8</v>
      </c>
      <c r="AC184" s="10">
        <v>0.8</v>
      </c>
    </row>
    <row r="185" spans="1:29" hidden="1" x14ac:dyDescent="0.25">
      <c r="A185" s="10" t="s">
        <v>624</v>
      </c>
      <c r="B185" s="10" t="s">
        <v>969</v>
      </c>
      <c r="C185" s="10"/>
      <c r="D185" s="10" t="s">
        <v>26</v>
      </c>
      <c r="E185" s="10" t="s">
        <v>285</v>
      </c>
      <c r="F185" s="10" t="s">
        <v>634</v>
      </c>
      <c r="G185" s="10" t="s">
        <v>667</v>
      </c>
      <c r="H185" s="12">
        <v>677.61740999999995</v>
      </c>
      <c r="I185">
        <v>1</v>
      </c>
      <c r="J185" s="12">
        <v>677.61740999999995</v>
      </c>
      <c r="K185" s="10" t="s">
        <v>284</v>
      </c>
      <c r="L185" s="2">
        <v>45838.875</v>
      </c>
      <c r="M185" s="10"/>
      <c r="N185">
        <v>0</v>
      </c>
      <c r="O185" s="10"/>
      <c r="P185">
        <v>0</v>
      </c>
      <c r="Q185">
        <v>0</v>
      </c>
      <c r="R185">
        <v>0</v>
      </c>
      <c r="S185">
        <v>0</v>
      </c>
      <c r="T185">
        <v>0</v>
      </c>
      <c r="U185">
        <v>0</v>
      </c>
      <c r="V185">
        <v>0</v>
      </c>
      <c r="W185">
        <v>0</v>
      </c>
      <c r="X185" s="13">
        <v>24.125</v>
      </c>
      <c r="Y185" s="10" t="s">
        <v>901</v>
      </c>
      <c r="Z185" s="10" t="s">
        <v>941</v>
      </c>
      <c r="AA185" s="10">
        <v>0.8</v>
      </c>
      <c r="AB185" s="10">
        <v>0.8</v>
      </c>
      <c r="AC185" s="10">
        <v>0.8</v>
      </c>
    </row>
    <row r="186" spans="1:29" hidden="1" x14ac:dyDescent="0.25">
      <c r="A186" s="10" t="s">
        <v>624</v>
      </c>
      <c r="B186" s="10" t="s">
        <v>969</v>
      </c>
      <c r="C186" s="10"/>
      <c r="D186" s="10" t="s">
        <v>650</v>
      </c>
      <c r="E186" s="10" t="s">
        <v>285</v>
      </c>
      <c r="F186" s="10" t="s">
        <v>635</v>
      </c>
      <c r="G186" s="10" t="s">
        <v>668</v>
      </c>
      <c r="H186" s="12">
        <v>375.11885999999998</v>
      </c>
      <c r="I186">
        <v>1</v>
      </c>
      <c r="J186" s="12">
        <v>375.11885999999998</v>
      </c>
      <c r="K186" s="10" t="s">
        <v>284</v>
      </c>
      <c r="L186" s="2">
        <v>45838.875</v>
      </c>
      <c r="M186" s="10"/>
      <c r="N186">
        <v>0</v>
      </c>
      <c r="O186" s="10"/>
      <c r="P186">
        <v>0</v>
      </c>
      <c r="Q186">
        <v>0</v>
      </c>
      <c r="R186">
        <v>0</v>
      </c>
      <c r="S186">
        <v>0</v>
      </c>
      <c r="T186">
        <v>0</v>
      </c>
      <c r="U186">
        <v>0</v>
      </c>
      <c r="V186">
        <v>0</v>
      </c>
      <c r="W186">
        <v>0</v>
      </c>
      <c r="X186" s="13">
        <v>24.125</v>
      </c>
      <c r="Y186" s="10" t="s">
        <v>901</v>
      </c>
      <c r="Z186" s="10" t="s">
        <v>941</v>
      </c>
      <c r="AA186" s="10">
        <v>0.2</v>
      </c>
      <c r="AB186" s="10">
        <v>0.2</v>
      </c>
      <c r="AC186" s="10">
        <v>0.2</v>
      </c>
    </row>
    <row r="187" spans="1:29" hidden="1" x14ac:dyDescent="0.25">
      <c r="A187" s="10" t="s">
        <v>624</v>
      </c>
      <c r="B187" s="10" t="s">
        <v>969</v>
      </c>
      <c r="C187" s="10"/>
      <c r="D187" s="10" t="s">
        <v>651</v>
      </c>
      <c r="E187" s="10" t="s">
        <v>285</v>
      </c>
      <c r="F187" s="10" t="s">
        <v>636</v>
      </c>
      <c r="G187" s="10" t="s">
        <v>668</v>
      </c>
      <c r="H187" s="12">
        <v>362.64884999999998</v>
      </c>
      <c r="I187">
        <v>1</v>
      </c>
      <c r="J187" s="12">
        <v>362.64884999999998</v>
      </c>
      <c r="K187" s="10" t="s">
        <v>284</v>
      </c>
      <c r="L187" s="2">
        <v>45838.875</v>
      </c>
      <c r="M187" s="10"/>
      <c r="N187">
        <v>0</v>
      </c>
      <c r="O187" s="10"/>
      <c r="P187">
        <v>0</v>
      </c>
      <c r="Q187">
        <v>0</v>
      </c>
      <c r="R187">
        <v>0</v>
      </c>
      <c r="S187">
        <v>0</v>
      </c>
      <c r="T187">
        <v>0</v>
      </c>
      <c r="U187">
        <v>0</v>
      </c>
      <c r="V187">
        <v>0</v>
      </c>
      <c r="W187">
        <v>0</v>
      </c>
      <c r="X187" s="13">
        <v>24.125</v>
      </c>
      <c r="Y187" s="10" t="s">
        <v>901</v>
      </c>
      <c r="Z187" s="10" t="s">
        <v>941</v>
      </c>
      <c r="AA187" s="10">
        <v>0.2</v>
      </c>
      <c r="AB187" s="10">
        <v>0.2</v>
      </c>
      <c r="AC187" s="10">
        <v>0.2</v>
      </c>
    </row>
    <row r="188" spans="1:29" hidden="1" x14ac:dyDescent="0.25">
      <c r="A188" s="10" t="s">
        <v>624</v>
      </c>
      <c r="B188" s="10" t="s">
        <v>969</v>
      </c>
      <c r="C188" s="10"/>
      <c r="D188" s="10" t="s">
        <v>652</v>
      </c>
      <c r="E188" s="10" t="s">
        <v>285</v>
      </c>
      <c r="F188" s="10" t="s">
        <v>15</v>
      </c>
      <c r="G188" s="10" t="s">
        <v>669</v>
      </c>
      <c r="H188" s="12">
        <v>200.55285000000001</v>
      </c>
      <c r="I188">
        <v>1</v>
      </c>
      <c r="J188" s="12">
        <v>200.55285000000001</v>
      </c>
      <c r="K188" s="10" t="s">
        <v>284</v>
      </c>
      <c r="L188" s="2">
        <v>45838.875</v>
      </c>
      <c r="M188" s="10"/>
      <c r="N188">
        <v>0</v>
      </c>
      <c r="O188" s="10"/>
      <c r="P188">
        <v>0</v>
      </c>
      <c r="Q188">
        <v>0</v>
      </c>
      <c r="R188">
        <v>0</v>
      </c>
      <c r="S188">
        <v>0</v>
      </c>
      <c r="T188">
        <v>0</v>
      </c>
      <c r="U188">
        <v>0</v>
      </c>
      <c r="V188">
        <v>0</v>
      </c>
      <c r="W188">
        <v>0</v>
      </c>
      <c r="X188" s="13">
        <v>24.125</v>
      </c>
      <c r="Y188" s="10" t="s">
        <v>901</v>
      </c>
      <c r="Z188" s="10" t="s">
        <v>941</v>
      </c>
      <c r="AA188" s="10">
        <v>0.4</v>
      </c>
      <c r="AB188" s="10">
        <v>0.4</v>
      </c>
      <c r="AC188" s="10">
        <v>0.4</v>
      </c>
    </row>
    <row r="189" spans="1:29" hidden="1" x14ac:dyDescent="0.25">
      <c r="A189" s="10" t="s">
        <v>624</v>
      </c>
      <c r="B189" s="10" t="s">
        <v>969</v>
      </c>
      <c r="C189" s="10"/>
      <c r="D189" s="10" t="s">
        <v>653</v>
      </c>
      <c r="E189" s="10" t="s">
        <v>285</v>
      </c>
      <c r="F189" s="10" t="s">
        <v>637</v>
      </c>
      <c r="G189" s="10" t="s">
        <v>670</v>
      </c>
      <c r="H189" s="12">
        <v>26.913440000000001</v>
      </c>
      <c r="I189">
        <v>1</v>
      </c>
      <c r="J189" s="12">
        <v>26.913440000000001</v>
      </c>
      <c r="K189" s="10" t="s">
        <v>284</v>
      </c>
      <c r="L189" s="2">
        <v>45838.875</v>
      </c>
      <c r="M189" s="10"/>
      <c r="N189">
        <v>0</v>
      </c>
      <c r="O189" s="10"/>
      <c r="P189">
        <v>0</v>
      </c>
      <c r="Q189">
        <v>0</v>
      </c>
      <c r="R189">
        <v>0</v>
      </c>
      <c r="S189">
        <v>0</v>
      </c>
      <c r="T189">
        <v>0</v>
      </c>
      <c r="U189">
        <v>0</v>
      </c>
      <c r="V189">
        <v>0</v>
      </c>
      <c r="W189">
        <v>0</v>
      </c>
      <c r="X189" s="13">
        <v>24.125</v>
      </c>
      <c r="Y189" s="10" t="s">
        <v>901</v>
      </c>
      <c r="Z189" s="10" t="s">
        <v>941</v>
      </c>
      <c r="AA189" s="10">
        <v>0.05</v>
      </c>
      <c r="AB189" s="10">
        <v>0.1</v>
      </c>
      <c r="AC189" s="10"/>
    </row>
    <row r="190" spans="1:29" hidden="1" x14ac:dyDescent="0.25">
      <c r="A190" s="10" t="s">
        <v>624</v>
      </c>
      <c r="B190" s="10" t="s">
        <v>969</v>
      </c>
      <c r="C190" s="10"/>
      <c r="D190" s="10" t="s">
        <v>654</v>
      </c>
      <c r="E190" s="10" t="s">
        <v>285</v>
      </c>
      <c r="F190" s="10" t="s">
        <v>638</v>
      </c>
      <c r="G190" s="10" t="s">
        <v>671</v>
      </c>
      <c r="H190" s="12">
        <v>40.409059999999997</v>
      </c>
      <c r="I190">
        <v>1</v>
      </c>
      <c r="J190" s="12">
        <v>40.409059999999997</v>
      </c>
      <c r="K190" s="10" t="s">
        <v>284</v>
      </c>
      <c r="L190" s="2">
        <v>45838.875</v>
      </c>
      <c r="M190" s="10"/>
      <c r="N190">
        <v>0</v>
      </c>
      <c r="O190" s="10"/>
      <c r="P190">
        <v>0</v>
      </c>
      <c r="Q190">
        <v>0</v>
      </c>
      <c r="R190">
        <v>0</v>
      </c>
      <c r="S190">
        <v>0</v>
      </c>
      <c r="T190">
        <v>0</v>
      </c>
      <c r="U190">
        <v>0</v>
      </c>
      <c r="V190">
        <v>0</v>
      </c>
      <c r="W190">
        <v>0</v>
      </c>
      <c r="X190" s="13">
        <v>24.125</v>
      </c>
      <c r="Y190" s="10" t="s">
        <v>901</v>
      </c>
      <c r="Z190" s="10" t="s">
        <v>941</v>
      </c>
      <c r="AA190" s="10"/>
      <c r="AB190" s="10">
        <v>0.1</v>
      </c>
      <c r="AC190" s="10">
        <v>0.8</v>
      </c>
    </row>
    <row r="191" spans="1:29" hidden="1" x14ac:dyDescent="0.25">
      <c r="A191" s="10" t="s">
        <v>675</v>
      </c>
      <c r="B191" s="10" t="s">
        <v>691</v>
      </c>
      <c r="C191" s="10"/>
      <c r="D191" s="10" t="s">
        <v>684</v>
      </c>
      <c r="E191" s="10" t="s">
        <v>285</v>
      </c>
      <c r="F191" s="10" t="s">
        <v>692</v>
      </c>
      <c r="G191" s="10" t="s">
        <v>676</v>
      </c>
      <c r="H191" s="12">
        <v>90.243279999999999</v>
      </c>
      <c r="I191">
        <v>1</v>
      </c>
      <c r="J191" s="12">
        <v>90.243279999999999</v>
      </c>
      <c r="K191" s="10" t="s">
        <v>284</v>
      </c>
      <c r="L191" s="2">
        <v>45838.875</v>
      </c>
      <c r="M191" s="10"/>
      <c r="N191">
        <v>0</v>
      </c>
      <c r="O191" s="10"/>
      <c r="P191">
        <v>0</v>
      </c>
      <c r="Q191">
        <v>0</v>
      </c>
      <c r="R191">
        <v>0</v>
      </c>
      <c r="S191">
        <v>0</v>
      </c>
      <c r="T191">
        <v>0</v>
      </c>
      <c r="U191">
        <v>0</v>
      </c>
      <c r="V191">
        <v>0</v>
      </c>
      <c r="W191">
        <v>0</v>
      </c>
      <c r="X191" s="13">
        <v>24.125</v>
      </c>
      <c r="Y191" s="10" t="s">
        <v>901</v>
      </c>
      <c r="Z191" s="10" t="s">
        <v>941</v>
      </c>
      <c r="AA191" s="10">
        <v>0.2</v>
      </c>
      <c r="AB191" s="10">
        <v>0.5</v>
      </c>
      <c r="AC191" s="10"/>
    </row>
    <row r="192" spans="1:29" hidden="1" x14ac:dyDescent="0.25">
      <c r="A192" s="10" t="s">
        <v>675</v>
      </c>
      <c r="B192" s="10" t="s">
        <v>691</v>
      </c>
      <c r="C192" s="10"/>
      <c r="D192" s="10" t="s">
        <v>685</v>
      </c>
      <c r="E192" s="10" t="s">
        <v>285</v>
      </c>
      <c r="F192" s="10" t="s">
        <v>693</v>
      </c>
      <c r="G192" s="10" t="s">
        <v>677</v>
      </c>
      <c r="H192" s="12">
        <v>59.103349999999999</v>
      </c>
      <c r="I192">
        <v>1</v>
      </c>
      <c r="J192" s="12">
        <v>59.103349999999999</v>
      </c>
      <c r="K192" s="10" t="s">
        <v>284</v>
      </c>
      <c r="L192" s="2">
        <v>45838.875</v>
      </c>
      <c r="M192" s="10"/>
      <c r="N192">
        <v>0</v>
      </c>
      <c r="O192" s="10"/>
      <c r="P192">
        <v>0</v>
      </c>
      <c r="Q192">
        <v>0</v>
      </c>
      <c r="R192">
        <v>0</v>
      </c>
      <c r="S192">
        <v>0</v>
      </c>
      <c r="T192">
        <v>0</v>
      </c>
      <c r="U192">
        <v>0</v>
      </c>
      <c r="V192">
        <v>0</v>
      </c>
      <c r="W192">
        <v>0</v>
      </c>
      <c r="X192" s="13">
        <v>24.125</v>
      </c>
      <c r="Y192" s="10" t="s">
        <v>901</v>
      </c>
      <c r="Z192" s="10" t="s">
        <v>941</v>
      </c>
      <c r="AA192" s="10">
        <v>0.2</v>
      </c>
      <c r="AB192" s="10">
        <v>0.5</v>
      </c>
      <c r="AC192" s="10"/>
    </row>
    <row r="193" spans="1:29" hidden="1" x14ac:dyDescent="0.25">
      <c r="A193" s="10" t="s">
        <v>675</v>
      </c>
      <c r="B193" s="10" t="s">
        <v>691</v>
      </c>
      <c r="C193" s="10"/>
      <c r="D193" s="10" t="s">
        <v>801</v>
      </c>
      <c r="E193" s="10" t="s">
        <v>285</v>
      </c>
      <c r="F193" s="10" t="s">
        <v>802</v>
      </c>
      <c r="G193" s="10" t="s">
        <v>803</v>
      </c>
      <c r="H193" s="12">
        <v>43.32</v>
      </c>
      <c r="I193">
        <v>1</v>
      </c>
      <c r="J193" s="12">
        <v>43.32</v>
      </c>
      <c r="K193" s="10" t="s">
        <v>284</v>
      </c>
      <c r="L193" s="2">
        <v>45838.875</v>
      </c>
      <c r="M193" s="10"/>
      <c r="N193">
        <v>0</v>
      </c>
      <c r="O193" s="10"/>
      <c r="P193">
        <v>0</v>
      </c>
      <c r="Q193">
        <v>0</v>
      </c>
      <c r="R193">
        <v>0</v>
      </c>
      <c r="S193">
        <v>0</v>
      </c>
      <c r="T193">
        <v>0</v>
      </c>
      <c r="U193">
        <v>0</v>
      </c>
      <c r="V193">
        <v>0</v>
      </c>
      <c r="W193">
        <v>0</v>
      </c>
      <c r="X193" s="13">
        <v>24.125</v>
      </c>
      <c r="Y193" s="10" t="s">
        <v>901</v>
      </c>
      <c r="Z193" s="10" t="s">
        <v>941</v>
      </c>
      <c r="AA193" s="10">
        <v>0.2</v>
      </c>
      <c r="AB193" s="10">
        <v>0.5</v>
      </c>
      <c r="AC193" s="10"/>
    </row>
    <row r="194" spans="1:29" hidden="1" x14ac:dyDescent="0.25">
      <c r="A194" s="10" t="s">
        <v>675</v>
      </c>
      <c r="B194" s="10" t="s">
        <v>691</v>
      </c>
      <c r="C194" s="10"/>
      <c r="D194" s="10" t="s">
        <v>684</v>
      </c>
      <c r="E194" s="10" t="s">
        <v>285</v>
      </c>
      <c r="F194" s="10" t="s">
        <v>694</v>
      </c>
      <c r="G194" s="10" t="s">
        <v>678</v>
      </c>
      <c r="H194" s="12">
        <v>59.103349999999999</v>
      </c>
      <c r="I194">
        <v>1</v>
      </c>
      <c r="J194" s="12">
        <v>59.103349999999999</v>
      </c>
      <c r="K194" s="10" t="s">
        <v>284</v>
      </c>
      <c r="L194" s="2">
        <v>45838.875</v>
      </c>
      <c r="M194" s="10"/>
      <c r="N194">
        <v>0</v>
      </c>
      <c r="O194" s="10"/>
      <c r="P194">
        <v>0</v>
      </c>
      <c r="Q194">
        <v>0</v>
      </c>
      <c r="R194">
        <v>0</v>
      </c>
      <c r="S194">
        <v>0</v>
      </c>
      <c r="T194">
        <v>0</v>
      </c>
      <c r="U194">
        <v>0</v>
      </c>
      <c r="V194">
        <v>0</v>
      </c>
      <c r="W194">
        <v>0</v>
      </c>
      <c r="X194" s="13">
        <v>24.125</v>
      </c>
      <c r="Y194" s="10" t="s">
        <v>901</v>
      </c>
      <c r="Z194" s="10" t="s">
        <v>941</v>
      </c>
      <c r="AA194" s="10">
        <v>0.2</v>
      </c>
      <c r="AB194" s="10">
        <v>0.5</v>
      </c>
      <c r="AC194" s="10"/>
    </row>
    <row r="195" spans="1:29" hidden="1" x14ac:dyDescent="0.25">
      <c r="A195" s="10" t="s">
        <v>675</v>
      </c>
      <c r="B195" s="10" t="s">
        <v>691</v>
      </c>
      <c r="C195" s="10"/>
      <c r="D195" s="10" t="s">
        <v>686</v>
      </c>
      <c r="E195" s="10" t="s">
        <v>285</v>
      </c>
      <c r="F195" s="10" t="s">
        <v>695</v>
      </c>
      <c r="G195" s="10" t="s">
        <v>679</v>
      </c>
      <c r="H195" s="12">
        <v>147.06333000000001</v>
      </c>
      <c r="I195">
        <v>1</v>
      </c>
      <c r="J195" s="12">
        <v>147.06333000000001</v>
      </c>
      <c r="K195" s="10" t="s">
        <v>284</v>
      </c>
      <c r="L195" s="2">
        <v>45838.875</v>
      </c>
      <c r="M195" s="10"/>
      <c r="N195">
        <v>0</v>
      </c>
      <c r="O195" s="10"/>
      <c r="P195">
        <v>0</v>
      </c>
      <c r="Q195">
        <v>0</v>
      </c>
      <c r="R195">
        <v>0</v>
      </c>
      <c r="S195">
        <v>0</v>
      </c>
      <c r="T195">
        <v>0</v>
      </c>
      <c r="U195">
        <v>0</v>
      </c>
      <c r="V195">
        <v>0</v>
      </c>
      <c r="W195">
        <v>0</v>
      </c>
      <c r="X195" s="13">
        <v>24.125</v>
      </c>
      <c r="Y195" s="10" t="s">
        <v>901</v>
      </c>
      <c r="Z195" s="10" t="s">
        <v>941</v>
      </c>
      <c r="AA195" s="10">
        <v>0.2</v>
      </c>
      <c r="AB195" s="10">
        <v>0.5</v>
      </c>
      <c r="AC195" s="10"/>
    </row>
    <row r="196" spans="1:29" hidden="1" x14ac:dyDescent="0.25">
      <c r="A196" s="10" t="s">
        <v>675</v>
      </c>
      <c r="B196" s="10" t="s">
        <v>691</v>
      </c>
      <c r="C196" s="10"/>
      <c r="D196" s="10" t="s">
        <v>687</v>
      </c>
      <c r="E196" s="10" t="s">
        <v>285</v>
      </c>
      <c r="F196" s="10" t="s">
        <v>696</v>
      </c>
      <c r="G196" s="10" t="s">
        <v>680</v>
      </c>
      <c r="H196" s="12">
        <v>54.09572</v>
      </c>
      <c r="I196">
        <v>1</v>
      </c>
      <c r="J196" s="12">
        <v>54.09572</v>
      </c>
      <c r="K196" s="10" t="s">
        <v>284</v>
      </c>
      <c r="L196" s="2">
        <v>45838.875</v>
      </c>
      <c r="M196" s="10"/>
      <c r="N196">
        <v>0</v>
      </c>
      <c r="O196" s="10"/>
      <c r="P196">
        <v>0</v>
      </c>
      <c r="Q196">
        <v>0</v>
      </c>
      <c r="R196">
        <v>0</v>
      </c>
      <c r="S196">
        <v>0</v>
      </c>
      <c r="T196">
        <v>0</v>
      </c>
      <c r="U196">
        <v>0</v>
      </c>
      <c r="V196">
        <v>0</v>
      </c>
      <c r="W196">
        <v>0</v>
      </c>
      <c r="X196" s="13">
        <v>24.125</v>
      </c>
      <c r="Y196" s="10" t="s">
        <v>901</v>
      </c>
      <c r="Z196" s="10" t="s">
        <v>941</v>
      </c>
      <c r="AA196" s="10">
        <v>0.2</v>
      </c>
      <c r="AB196" s="10">
        <v>0.5</v>
      </c>
      <c r="AC196" s="10"/>
    </row>
    <row r="197" spans="1:29" hidden="1" x14ac:dyDescent="0.25">
      <c r="A197" s="10" t="s">
        <v>675</v>
      </c>
      <c r="B197" s="10" t="s">
        <v>691</v>
      </c>
      <c r="C197" s="10"/>
      <c r="D197" s="10" t="s">
        <v>688</v>
      </c>
      <c r="E197" s="10" t="s">
        <v>285</v>
      </c>
      <c r="F197" s="10" t="s">
        <v>697</v>
      </c>
      <c r="G197" s="10" t="s">
        <v>681</v>
      </c>
      <c r="H197" s="12">
        <v>121.3888</v>
      </c>
      <c r="I197">
        <v>1</v>
      </c>
      <c r="J197" s="12">
        <v>121.3888</v>
      </c>
      <c r="K197" s="10" t="s">
        <v>284</v>
      </c>
      <c r="L197" s="2">
        <v>45838.875</v>
      </c>
      <c r="M197" s="10"/>
      <c r="N197">
        <v>0</v>
      </c>
      <c r="O197" s="10"/>
      <c r="P197">
        <v>0</v>
      </c>
      <c r="Q197">
        <v>0</v>
      </c>
      <c r="R197">
        <v>0</v>
      </c>
      <c r="S197">
        <v>0</v>
      </c>
      <c r="T197">
        <v>0</v>
      </c>
      <c r="U197">
        <v>0</v>
      </c>
      <c r="V197">
        <v>0</v>
      </c>
      <c r="W197">
        <v>0</v>
      </c>
      <c r="X197" s="13">
        <v>24.125</v>
      </c>
      <c r="Y197" s="10" t="s">
        <v>901</v>
      </c>
      <c r="Z197" s="10" t="s">
        <v>941</v>
      </c>
      <c r="AA197" s="10">
        <v>0.2</v>
      </c>
      <c r="AB197" s="10">
        <v>0.5</v>
      </c>
      <c r="AC197" s="10"/>
    </row>
    <row r="198" spans="1:29" hidden="1" x14ac:dyDescent="0.25">
      <c r="A198" s="10" t="s">
        <v>675</v>
      </c>
      <c r="B198" s="10" t="s">
        <v>691</v>
      </c>
      <c r="C198" s="10"/>
      <c r="D198" s="10" t="s">
        <v>689</v>
      </c>
      <c r="E198" s="10" t="s">
        <v>285</v>
      </c>
      <c r="F198" s="10" t="s">
        <v>698</v>
      </c>
      <c r="G198" s="10" t="s">
        <v>682</v>
      </c>
      <c r="H198" s="12">
        <v>178.37631999999999</v>
      </c>
      <c r="I198">
        <v>1</v>
      </c>
      <c r="J198" s="12">
        <v>178.37631999999999</v>
      </c>
      <c r="K198" s="10" t="s">
        <v>284</v>
      </c>
      <c r="L198" s="2">
        <v>45838.875</v>
      </c>
      <c r="M198" s="10"/>
      <c r="N198">
        <v>0</v>
      </c>
      <c r="O198" s="10"/>
      <c r="P198">
        <v>0</v>
      </c>
      <c r="Q198">
        <v>0</v>
      </c>
      <c r="R198">
        <v>0</v>
      </c>
      <c r="S198">
        <v>0</v>
      </c>
      <c r="T198">
        <v>0</v>
      </c>
      <c r="U198">
        <v>0</v>
      </c>
      <c r="V198">
        <v>0</v>
      </c>
      <c r="W198">
        <v>0</v>
      </c>
      <c r="X198" s="13">
        <v>24.125</v>
      </c>
      <c r="Y198" s="10" t="s">
        <v>901</v>
      </c>
      <c r="Z198" s="10" t="s">
        <v>941</v>
      </c>
      <c r="AA198" s="10">
        <v>0.2</v>
      </c>
      <c r="AB198" s="10">
        <v>0.5</v>
      </c>
      <c r="AC198" s="10"/>
    </row>
    <row r="199" spans="1:29" hidden="1" x14ac:dyDescent="0.25">
      <c r="A199" s="10" t="s">
        <v>675</v>
      </c>
      <c r="B199" s="10" t="s">
        <v>691</v>
      </c>
      <c r="C199" s="10"/>
      <c r="D199" s="10" t="s">
        <v>806</v>
      </c>
      <c r="E199" s="10" t="s">
        <v>285</v>
      </c>
      <c r="F199" s="10" t="s">
        <v>792</v>
      </c>
      <c r="G199" s="10" t="s">
        <v>807</v>
      </c>
      <c r="H199" s="12">
        <v>178.38</v>
      </c>
      <c r="I199">
        <v>1</v>
      </c>
      <c r="J199" s="12">
        <v>178.38</v>
      </c>
      <c r="K199" s="10" t="s">
        <v>284</v>
      </c>
      <c r="L199" s="2">
        <v>45838.875</v>
      </c>
      <c r="M199" s="10"/>
      <c r="N199">
        <v>0</v>
      </c>
      <c r="O199" s="10"/>
      <c r="P199">
        <v>0</v>
      </c>
      <c r="Q199">
        <v>0</v>
      </c>
      <c r="R199">
        <v>0</v>
      </c>
      <c r="S199">
        <v>0</v>
      </c>
      <c r="T199">
        <v>0</v>
      </c>
      <c r="U199">
        <v>0</v>
      </c>
      <c r="V199">
        <v>0</v>
      </c>
      <c r="W199">
        <v>0</v>
      </c>
      <c r="X199" s="13">
        <v>24.125</v>
      </c>
      <c r="Y199" s="10" t="s">
        <v>901</v>
      </c>
      <c r="Z199" s="10" t="s">
        <v>941</v>
      </c>
      <c r="AA199" s="10">
        <v>0.2</v>
      </c>
      <c r="AB199" s="10">
        <v>0.5</v>
      </c>
      <c r="AC199" s="10"/>
    </row>
    <row r="200" spans="1:29" hidden="1" x14ac:dyDescent="0.25">
      <c r="A200" s="10" t="s">
        <v>675</v>
      </c>
      <c r="B200" s="10" t="s">
        <v>691</v>
      </c>
      <c r="C200" s="10"/>
      <c r="D200" s="10" t="s">
        <v>804</v>
      </c>
      <c r="E200" s="10" t="s">
        <v>285</v>
      </c>
      <c r="F200" s="10" t="s">
        <v>791</v>
      </c>
      <c r="G200" s="10" t="s">
        <v>805</v>
      </c>
      <c r="H200" s="12">
        <v>74.459999999999994</v>
      </c>
      <c r="I200">
        <v>1</v>
      </c>
      <c r="J200" s="12">
        <v>74.459999999999994</v>
      </c>
      <c r="K200" s="10" t="s">
        <v>284</v>
      </c>
      <c r="L200" s="2">
        <v>45838.875</v>
      </c>
      <c r="M200" s="10"/>
      <c r="N200">
        <v>0</v>
      </c>
      <c r="O200" s="10"/>
      <c r="P200">
        <v>0</v>
      </c>
      <c r="Q200">
        <v>0</v>
      </c>
      <c r="R200">
        <v>0</v>
      </c>
      <c r="S200">
        <v>0</v>
      </c>
      <c r="T200">
        <v>0</v>
      </c>
      <c r="U200">
        <v>0</v>
      </c>
      <c r="V200">
        <v>0</v>
      </c>
      <c r="W200">
        <v>0</v>
      </c>
      <c r="X200" s="13">
        <v>24.125</v>
      </c>
      <c r="Y200" s="10" t="s">
        <v>901</v>
      </c>
      <c r="Z200" s="10" t="s">
        <v>941</v>
      </c>
      <c r="AA200" s="10">
        <v>0.2</v>
      </c>
      <c r="AB200" s="10">
        <v>0.5</v>
      </c>
      <c r="AC200" s="10"/>
    </row>
    <row r="201" spans="1:29" hidden="1" x14ac:dyDescent="0.25">
      <c r="A201" s="10" t="s">
        <v>675</v>
      </c>
      <c r="B201" s="10" t="s">
        <v>691</v>
      </c>
      <c r="C201" s="10"/>
      <c r="D201" s="10" t="s">
        <v>690</v>
      </c>
      <c r="E201" s="10" t="s">
        <v>700</v>
      </c>
      <c r="F201" s="10" t="s">
        <v>699</v>
      </c>
      <c r="G201" s="10" t="s">
        <v>683</v>
      </c>
      <c r="H201" s="12">
        <v>8.6746999999999996</v>
      </c>
      <c r="I201">
        <v>1</v>
      </c>
      <c r="J201" s="12">
        <v>8.6746999999999996</v>
      </c>
      <c r="K201" s="10" t="s">
        <v>284</v>
      </c>
      <c r="L201" s="2">
        <v>45838.875</v>
      </c>
      <c r="M201" s="10"/>
      <c r="N201">
        <v>0</v>
      </c>
      <c r="O201" s="10"/>
      <c r="P201">
        <v>0</v>
      </c>
      <c r="Q201">
        <v>0</v>
      </c>
      <c r="R201">
        <v>0</v>
      </c>
      <c r="S201">
        <v>0</v>
      </c>
      <c r="T201">
        <v>0</v>
      </c>
      <c r="U201">
        <v>0</v>
      </c>
      <c r="V201">
        <v>0</v>
      </c>
      <c r="W201">
        <v>0</v>
      </c>
      <c r="X201" s="13">
        <v>24.125</v>
      </c>
      <c r="Y201" s="10" t="s">
        <v>901</v>
      </c>
      <c r="Z201" s="10" t="s">
        <v>941</v>
      </c>
      <c r="AA201" s="10">
        <v>0.2</v>
      </c>
      <c r="AB201" s="10">
        <v>0.5</v>
      </c>
      <c r="AC201" s="10"/>
    </row>
    <row r="202" spans="1:29" hidden="1" x14ac:dyDescent="0.25">
      <c r="A202" s="10" t="s">
        <v>675</v>
      </c>
      <c r="B202" s="10" t="s">
        <v>691</v>
      </c>
      <c r="C202" s="10"/>
      <c r="D202" s="10" t="s">
        <v>728</v>
      </c>
      <c r="E202" s="10" t="s">
        <v>285</v>
      </c>
      <c r="F202" s="10" t="s">
        <v>725</v>
      </c>
      <c r="G202" s="10" t="s">
        <v>723</v>
      </c>
      <c r="H202" s="12">
        <v>15.77652</v>
      </c>
      <c r="I202">
        <v>1</v>
      </c>
      <c r="J202" s="12">
        <v>15.77652</v>
      </c>
      <c r="K202" s="10" t="s">
        <v>284</v>
      </c>
      <c r="L202" s="2">
        <v>45838.875</v>
      </c>
      <c r="M202" s="10"/>
      <c r="N202">
        <v>0</v>
      </c>
      <c r="O202" s="10"/>
      <c r="P202">
        <v>0</v>
      </c>
      <c r="Q202">
        <v>0</v>
      </c>
      <c r="R202">
        <v>0</v>
      </c>
      <c r="S202">
        <v>0</v>
      </c>
      <c r="T202">
        <v>0</v>
      </c>
      <c r="U202">
        <v>0</v>
      </c>
      <c r="V202">
        <v>0</v>
      </c>
      <c r="W202">
        <v>0</v>
      </c>
      <c r="X202" s="13">
        <v>24.125</v>
      </c>
      <c r="Y202" s="10" t="s">
        <v>901</v>
      </c>
      <c r="Z202" s="10" t="s">
        <v>941</v>
      </c>
      <c r="AA202" s="10">
        <v>0.2</v>
      </c>
      <c r="AB202" s="10">
        <v>0.5</v>
      </c>
      <c r="AC202" s="10"/>
    </row>
    <row r="203" spans="1:29" hidden="1" x14ac:dyDescent="0.25">
      <c r="A203" s="10" t="s">
        <v>675</v>
      </c>
      <c r="B203" s="10" t="s">
        <v>691</v>
      </c>
      <c r="C203" s="10"/>
      <c r="D203" s="10" t="s">
        <v>727</v>
      </c>
      <c r="E203" s="10" t="s">
        <v>285</v>
      </c>
      <c r="F203" s="10" t="s">
        <v>726</v>
      </c>
      <c r="G203" s="10" t="s">
        <v>724</v>
      </c>
      <c r="H203" s="12">
        <v>31.564209999999999</v>
      </c>
      <c r="I203">
        <v>1</v>
      </c>
      <c r="J203" s="12">
        <v>31.564209999999999</v>
      </c>
      <c r="K203" s="10" t="s">
        <v>284</v>
      </c>
      <c r="L203" s="2">
        <v>45838.875</v>
      </c>
      <c r="M203" s="10"/>
      <c r="N203">
        <v>0</v>
      </c>
      <c r="O203" s="10"/>
      <c r="P203">
        <v>0</v>
      </c>
      <c r="Q203">
        <v>0</v>
      </c>
      <c r="R203">
        <v>0</v>
      </c>
      <c r="S203">
        <v>0</v>
      </c>
      <c r="T203">
        <v>0</v>
      </c>
      <c r="U203">
        <v>0</v>
      </c>
      <c r="V203">
        <v>0</v>
      </c>
      <c r="W203">
        <v>0</v>
      </c>
      <c r="X203" s="13">
        <v>24.125</v>
      </c>
      <c r="Y203" s="10" t="s">
        <v>901</v>
      </c>
      <c r="Z203" s="10" t="s">
        <v>941</v>
      </c>
      <c r="AA203" s="10">
        <v>0.2</v>
      </c>
      <c r="AB203" s="10">
        <v>0.5</v>
      </c>
      <c r="AC203" s="10"/>
    </row>
    <row r="204" spans="1:29" hidden="1" x14ac:dyDescent="0.25">
      <c r="A204" s="10" t="s">
        <v>675</v>
      </c>
      <c r="B204" s="10" t="s">
        <v>691</v>
      </c>
      <c r="C204" s="10"/>
      <c r="D204" s="10" t="s">
        <v>808</v>
      </c>
      <c r="E204" s="10" t="s">
        <v>285</v>
      </c>
      <c r="F204" s="10" t="s">
        <v>793</v>
      </c>
      <c r="G204" s="10" t="s">
        <v>809</v>
      </c>
      <c r="H204" s="12">
        <v>17.04</v>
      </c>
      <c r="I204">
        <v>1</v>
      </c>
      <c r="J204" s="12">
        <v>17.04</v>
      </c>
      <c r="K204" s="10" t="s">
        <v>284</v>
      </c>
      <c r="L204" s="2">
        <v>45838.875</v>
      </c>
      <c r="M204" s="10"/>
      <c r="N204">
        <v>0</v>
      </c>
      <c r="O204" s="10"/>
      <c r="P204">
        <v>0</v>
      </c>
      <c r="Q204">
        <v>0</v>
      </c>
      <c r="R204">
        <v>0</v>
      </c>
      <c r="S204">
        <v>0</v>
      </c>
      <c r="T204">
        <v>0</v>
      </c>
      <c r="U204">
        <v>0</v>
      </c>
      <c r="V204">
        <v>0</v>
      </c>
      <c r="W204">
        <v>0</v>
      </c>
      <c r="X204" s="13">
        <v>24.125</v>
      </c>
      <c r="Y204" s="10" t="s">
        <v>901</v>
      </c>
      <c r="Z204" s="10" t="s">
        <v>941</v>
      </c>
      <c r="AA204" s="10">
        <v>0.2</v>
      </c>
      <c r="AB204" s="10">
        <v>0.5</v>
      </c>
      <c r="AC204" s="10"/>
    </row>
    <row r="205" spans="1:29" hidden="1" x14ac:dyDescent="0.25">
      <c r="A205" s="10" t="s">
        <v>675</v>
      </c>
      <c r="B205" s="10" t="s">
        <v>691</v>
      </c>
      <c r="C205" s="10"/>
      <c r="D205" s="10" t="s">
        <v>739</v>
      </c>
      <c r="E205" s="10" t="s">
        <v>285</v>
      </c>
      <c r="F205" s="10" t="s">
        <v>737</v>
      </c>
      <c r="G205" s="10" t="s">
        <v>738</v>
      </c>
      <c r="H205" s="12">
        <v>6.82</v>
      </c>
      <c r="I205">
        <v>1</v>
      </c>
      <c r="J205" s="12">
        <v>6.82</v>
      </c>
      <c r="K205" s="10" t="s">
        <v>284</v>
      </c>
      <c r="L205" s="2">
        <v>45838.875</v>
      </c>
      <c r="M205" s="10"/>
      <c r="N205">
        <v>0</v>
      </c>
      <c r="O205" s="10"/>
      <c r="P205">
        <v>0</v>
      </c>
      <c r="Q205">
        <v>0</v>
      </c>
      <c r="R205">
        <v>0</v>
      </c>
      <c r="S205">
        <v>0</v>
      </c>
      <c r="T205">
        <v>0</v>
      </c>
      <c r="U205">
        <v>0</v>
      </c>
      <c r="V205">
        <v>0</v>
      </c>
      <c r="W205">
        <v>0</v>
      </c>
      <c r="X205" s="13">
        <v>24.125</v>
      </c>
      <c r="Y205" s="10" t="s">
        <v>901</v>
      </c>
      <c r="Z205" s="10" t="s">
        <v>941</v>
      </c>
      <c r="AA205" s="10">
        <v>0.2</v>
      </c>
      <c r="AB205" s="10">
        <v>0.5</v>
      </c>
      <c r="AC205" s="10"/>
    </row>
    <row r="206" spans="1:29" hidden="1" x14ac:dyDescent="0.25">
      <c r="A206" s="10" t="s">
        <v>701</v>
      </c>
      <c r="B206" s="10" t="s">
        <v>691</v>
      </c>
      <c r="C206" s="10"/>
      <c r="D206" s="10" t="s">
        <v>714</v>
      </c>
      <c r="E206" s="10" t="s">
        <v>285</v>
      </c>
      <c r="F206" s="10" t="s">
        <v>702</v>
      </c>
      <c r="G206" s="10" t="s">
        <v>708</v>
      </c>
      <c r="H206" s="12">
        <v>185.28763000000001</v>
      </c>
      <c r="I206">
        <v>1</v>
      </c>
      <c r="J206" s="12">
        <v>185.28763000000001</v>
      </c>
      <c r="K206" s="10" t="s">
        <v>284</v>
      </c>
      <c r="L206" s="2">
        <v>45838.875</v>
      </c>
      <c r="M206" s="10"/>
      <c r="N206">
        <v>0</v>
      </c>
      <c r="O206" s="10"/>
      <c r="P206">
        <v>0</v>
      </c>
      <c r="Q206">
        <v>0</v>
      </c>
      <c r="R206">
        <v>0</v>
      </c>
      <c r="S206">
        <v>0</v>
      </c>
      <c r="T206">
        <v>0</v>
      </c>
      <c r="U206">
        <v>0</v>
      </c>
      <c r="V206">
        <v>0</v>
      </c>
      <c r="W206">
        <v>0</v>
      </c>
      <c r="X206" s="13">
        <v>24.125</v>
      </c>
      <c r="Y206" s="10" t="s">
        <v>901</v>
      </c>
      <c r="Z206" s="10" t="s">
        <v>941</v>
      </c>
      <c r="AA206" s="10">
        <v>0.2</v>
      </c>
      <c r="AB206" s="10">
        <v>0.5</v>
      </c>
      <c r="AC206" s="10"/>
    </row>
    <row r="207" spans="1:29" hidden="1" x14ac:dyDescent="0.25">
      <c r="A207" s="10" t="s">
        <v>701</v>
      </c>
      <c r="B207" s="10" t="s">
        <v>691</v>
      </c>
      <c r="C207" s="10"/>
      <c r="D207" s="10" t="s">
        <v>715</v>
      </c>
      <c r="E207" s="10" t="s">
        <v>285</v>
      </c>
      <c r="F207" s="10" t="s">
        <v>703</v>
      </c>
      <c r="G207" s="10" t="s">
        <v>709</v>
      </c>
      <c r="H207" s="12">
        <v>90.304689999999994</v>
      </c>
      <c r="I207">
        <v>1</v>
      </c>
      <c r="J207" s="12">
        <v>90.304689999999994</v>
      </c>
      <c r="K207" s="10" t="s">
        <v>284</v>
      </c>
      <c r="L207" s="2">
        <v>45838.875</v>
      </c>
      <c r="M207" s="10"/>
      <c r="N207">
        <v>0</v>
      </c>
      <c r="O207" s="10"/>
      <c r="P207">
        <v>0</v>
      </c>
      <c r="Q207">
        <v>0</v>
      </c>
      <c r="R207">
        <v>0</v>
      </c>
      <c r="S207">
        <v>0</v>
      </c>
      <c r="T207">
        <v>0</v>
      </c>
      <c r="U207">
        <v>0</v>
      </c>
      <c r="V207">
        <v>0</v>
      </c>
      <c r="W207">
        <v>0</v>
      </c>
      <c r="X207" s="13">
        <v>24.125</v>
      </c>
      <c r="Y207" s="10" t="s">
        <v>901</v>
      </c>
      <c r="Z207" s="10" t="s">
        <v>941</v>
      </c>
      <c r="AA207" s="10">
        <v>0.2</v>
      </c>
      <c r="AB207" s="10">
        <v>0.5</v>
      </c>
      <c r="AC207" s="10"/>
    </row>
    <row r="208" spans="1:29" hidden="1" x14ac:dyDescent="0.25">
      <c r="A208" s="10" t="s">
        <v>701</v>
      </c>
      <c r="B208" s="10" t="s">
        <v>691</v>
      </c>
      <c r="C208" s="10"/>
      <c r="D208" s="10" t="s">
        <v>716</v>
      </c>
      <c r="E208" s="10" t="s">
        <v>285</v>
      </c>
      <c r="F208" s="10" t="s">
        <v>704</v>
      </c>
      <c r="G208" s="10" t="s">
        <v>710</v>
      </c>
      <c r="H208" s="12">
        <v>69.548460000000006</v>
      </c>
      <c r="I208">
        <v>1</v>
      </c>
      <c r="J208" s="12">
        <v>69.548460000000006</v>
      </c>
      <c r="K208" s="10" t="s">
        <v>284</v>
      </c>
      <c r="L208" s="2">
        <v>45838.875</v>
      </c>
      <c r="M208" s="10"/>
      <c r="N208">
        <v>0</v>
      </c>
      <c r="O208" s="10"/>
      <c r="P208">
        <v>0</v>
      </c>
      <c r="Q208">
        <v>0</v>
      </c>
      <c r="R208">
        <v>0</v>
      </c>
      <c r="S208">
        <v>0</v>
      </c>
      <c r="T208">
        <v>0</v>
      </c>
      <c r="U208">
        <v>0</v>
      </c>
      <c r="V208">
        <v>0</v>
      </c>
      <c r="W208">
        <v>0</v>
      </c>
      <c r="X208" s="13">
        <v>24.125</v>
      </c>
      <c r="Y208" s="10" t="s">
        <v>901</v>
      </c>
      <c r="Z208" s="10" t="s">
        <v>941</v>
      </c>
      <c r="AA208" s="10">
        <v>0.2</v>
      </c>
      <c r="AB208" s="10">
        <v>0.5</v>
      </c>
      <c r="AC208" s="10"/>
    </row>
    <row r="209" spans="1:29" hidden="1" x14ac:dyDescent="0.25">
      <c r="A209" s="10" t="s">
        <v>701</v>
      </c>
      <c r="B209" s="10" t="s">
        <v>691</v>
      </c>
      <c r="C209" s="10"/>
      <c r="D209" s="10" t="s">
        <v>717</v>
      </c>
      <c r="E209" s="10" t="s">
        <v>285</v>
      </c>
      <c r="F209" s="10" t="s">
        <v>705</v>
      </c>
      <c r="G209" s="10" t="s">
        <v>711</v>
      </c>
      <c r="H209" s="12">
        <v>116.15787</v>
      </c>
      <c r="I209">
        <v>1</v>
      </c>
      <c r="J209" s="12">
        <v>116.15787</v>
      </c>
      <c r="K209" s="10" t="s">
        <v>284</v>
      </c>
      <c r="L209" s="2">
        <v>45838.875</v>
      </c>
      <c r="M209" s="10"/>
      <c r="N209">
        <v>0</v>
      </c>
      <c r="O209" s="10"/>
      <c r="P209">
        <v>0</v>
      </c>
      <c r="Q209">
        <v>0</v>
      </c>
      <c r="R209">
        <v>0</v>
      </c>
      <c r="S209">
        <v>0</v>
      </c>
      <c r="T209">
        <v>0</v>
      </c>
      <c r="U209">
        <v>0</v>
      </c>
      <c r="V209">
        <v>0</v>
      </c>
      <c r="W209">
        <v>0</v>
      </c>
      <c r="X209" s="13">
        <v>24.125</v>
      </c>
      <c r="Y209" s="10" t="s">
        <v>901</v>
      </c>
      <c r="Z209" s="10" t="s">
        <v>941</v>
      </c>
      <c r="AA209" s="10">
        <v>0.2</v>
      </c>
      <c r="AB209" s="10">
        <v>0.5</v>
      </c>
      <c r="AC209" s="10"/>
    </row>
    <row r="210" spans="1:29" hidden="1" x14ac:dyDescent="0.25">
      <c r="A210" s="10" t="s">
        <v>701</v>
      </c>
      <c r="B210" s="10" t="s">
        <v>691</v>
      </c>
      <c r="C210" s="10"/>
      <c r="D210" s="10" t="s">
        <v>718</v>
      </c>
      <c r="E210" s="10" t="s">
        <v>285</v>
      </c>
      <c r="F210" s="10" t="s">
        <v>706</v>
      </c>
      <c r="G210" s="10" t="s">
        <v>712</v>
      </c>
      <c r="H210" s="12">
        <v>164.22434999999999</v>
      </c>
      <c r="I210">
        <v>1</v>
      </c>
      <c r="J210" s="12">
        <v>164.22434999999999</v>
      </c>
      <c r="K210" s="10" t="s">
        <v>284</v>
      </c>
      <c r="L210" s="2">
        <v>45838.875</v>
      </c>
      <c r="M210" s="10"/>
      <c r="N210">
        <v>0</v>
      </c>
      <c r="O210" s="10"/>
      <c r="P210">
        <v>0</v>
      </c>
      <c r="Q210">
        <v>0</v>
      </c>
      <c r="R210">
        <v>0</v>
      </c>
      <c r="S210">
        <v>0</v>
      </c>
      <c r="T210">
        <v>0</v>
      </c>
      <c r="U210">
        <v>0</v>
      </c>
      <c r="V210">
        <v>0</v>
      </c>
      <c r="W210">
        <v>0</v>
      </c>
      <c r="X210" s="13">
        <v>24.125</v>
      </c>
      <c r="Y210" s="10" t="s">
        <v>901</v>
      </c>
      <c r="Z210" s="10" t="s">
        <v>941</v>
      </c>
      <c r="AA210" s="10">
        <v>0.2</v>
      </c>
      <c r="AB210" s="10">
        <v>0.5</v>
      </c>
      <c r="AC210" s="10"/>
    </row>
    <row r="211" spans="1:29" hidden="1" x14ac:dyDescent="0.25">
      <c r="A211" s="10" t="s">
        <v>701</v>
      </c>
      <c r="B211" s="10" t="s">
        <v>691</v>
      </c>
      <c r="C211" s="10"/>
      <c r="D211" s="10" t="s">
        <v>719</v>
      </c>
      <c r="E211" s="10" t="s">
        <v>285</v>
      </c>
      <c r="F211" s="10" t="s">
        <v>707</v>
      </c>
      <c r="G211" s="10" t="s">
        <v>713</v>
      </c>
      <c r="H211" s="12">
        <v>134.99925999999999</v>
      </c>
      <c r="I211">
        <v>1</v>
      </c>
      <c r="J211" s="12">
        <v>134.99925999999999</v>
      </c>
      <c r="K211" s="10" t="s">
        <v>284</v>
      </c>
      <c r="L211" s="2">
        <v>45838.875</v>
      </c>
      <c r="M211" s="10"/>
      <c r="N211">
        <v>0</v>
      </c>
      <c r="O211" s="10"/>
      <c r="P211">
        <v>0</v>
      </c>
      <c r="Q211">
        <v>0</v>
      </c>
      <c r="R211">
        <v>0</v>
      </c>
      <c r="S211">
        <v>0</v>
      </c>
      <c r="T211">
        <v>0</v>
      </c>
      <c r="U211">
        <v>0</v>
      </c>
      <c r="V211">
        <v>0</v>
      </c>
      <c r="W211">
        <v>0</v>
      </c>
      <c r="X211" s="13">
        <v>24.125</v>
      </c>
      <c r="Y211" s="10" t="s">
        <v>901</v>
      </c>
      <c r="Z211" s="10" t="s">
        <v>941</v>
      </c>
      <c r="AA211" s="10">
        <v>0.2</v>
      </c>
      <c r="AB211" s="10">
        <v>0.5</v>
      </c>
      <c r="AC211" s="10"/>
    </row>
    <row r="212" spans="1:29" hidden="1" x14ac:dyDescent="0.25">
      <c r="A212" s="10" t="s">
        <v>701</v>
      </c>
      <c r="B212" s="10" t="s">
        <v>691</v>
      </c>
      <c r="C212" s="10"/>
      <c r="D212" s="10" t="s">
        <v>721</v>
      </c>
      <c r="E212" s="10" t="s">
        <v>285</v>
      </c>
      <c r="F212" s="10" t="s">
        <v>720</v>
      </c>
      <c r="G212" s="10" t="s">
        <v>722</v>
      </c>
      <c r="H212" s="12">
        <v>217.73390000000001</v>
      </c>
      <c r="I212">
        <v>1</v>
      </c>
      <c r="J212" s="12">
        <v>217.73390000000001</v>
      </c>
      <c r="K212" s="10" t="s">
        <v>284</v>
      </c>
      <c r="L212" s="2">
        <v>45838.875</v>
      </c>
      <c r="M212" s="10"/>
      <c r="N212">
        <v>0</v>
      </c>
      <c r="O212" s="10"/>
      <c r="P212">
        <v>0</v>
      </c>
      <c r="Q212">
        <v>0</v>
      </c>
      <c r="R212">
        <v>0</v>
      </c>
      <c r="S212">
        <v>0</v>
      </c>
      <c r="T212">
        <v>0</v>
      </c>
      <c r="U212">
        <v>0</v>
      </c>
      <c r="V212">
        <v>0</v>
      </c>
      <c r="W212">
        <v>0</v>
      </c>
      <c r="X212" s="13">
        <v>24.125</v>
      </c>
      <c r="Y212" s="10" t="s">
        <v>901</v>
      </c>
      <c r="Z212" s="10" t="s">
        <v>941</v>
      </c>
      <c r="AA212" s="10">
        <v>0.2</v>
      </c>
      <c r="AB212" s="10">
        <v>0.5</v>
      </c>
      <c r="AC212" s="10"/>
    </row>
    <row r="213" spans="1:29" hidden="1" x14ac:dyDescent="0.25">
      <c r="A213" s="10" t="s">
        <v>729</v>
      </c>
      <c r="B213" s="10" t="s">
        <v>691</v>
      </c>
      <c r="C213" s="10"/>
      <c r="D213" s="10" t="s">
        <v>731</v>
      </c>
      <c r="E213" s="10" t="s">
        <v>285</v>
      </c>
      <c r="F213" s="10" t="s">
        <v>732</v>
      </c>
      <c r="G213" s="10" t="s">
        <v>730</v>
      </c>
      <c r="H213" s="12">
        <v>220.19584</v>
      </c>
      <c r="I213">
        <v>1</v>
      </c>
      <c r="J213" s="12">
        <v>220.19584</v>
      </c>
      <c r="K213" s="10" t="s">
        <v>284</v>
      </c>
      <c r="L213" s="2">
        <v>45838.875</v>
      </c>
      <c r="M213" s="10"/>
      <c r="N213">
        <v>0</v>
      </c>
      <c r="O213" s="10"/>
      <c r="P213">
        <v>0</v>
      </c>
      <c r="Q213">
        <v>0</v>
      </c>
      <c r="R213">
        <v>0</v>
      </c>
      <c r="S213">
        <v>0</v>
      </c>
      <c r="T213">
        <v>0</v>
      </c>
      <c r="U213">
        <v>0</v>
      </c>
      <c r="V213">
        <v>0</v>
      </c>
      <c r="W213">
        <v>0</v>
      </c>
      <c r="X213" s="13">
        <v>13.125</v>
      </c>
      <c r="Y213" s="10" t="s">
        <v>901</v>
      </c>
      <c r="Z213" s="10" t="s">
        <v>941</v>
      </c>
      <c r="AA213" s="10"/>
      <c r="AB213" s="10"/>
      <c r="AC213" s="10"/>
    </row>
    <row r="214" spans="1:29" hidden="1" x14ac:dyDescent="0.25">
      <c r="A214" s="10" t="s">
        <v>733</v>
      </c>
      <c r="B214" s="10" t="s">
        <v>691</v>
      </c>
      <c r="C214" s="10"/>
      <c r="D214" s="10" t="s">
        <v>736</v>
      </c>
      <c r="E214" s="10" t="s">
        <v>285</v>
      </c>
      <c r="F214" s="10" t="s">
        <v>735</v>
      </c>
      <c r="G214" s="10" t="s">
        <v>734</v>
      </c>
      <c r="H214" s="12">
        <v>115.80058</v>
      </c>
      <c r="I214">
        <v>1</v>
      </c>
      <c r="J214" s="12">
        <v>115.80058</v>
      </c>
      <c r="K214" s="10" t="s">
        <v>284</v>
      </c>
      <c r="L214" s="2">
        <v>45838.875</v>
      </c>
      <c r="M214" s="10"/>
      <c r="N214">
        <v>0</v>
      </c>
      <c r="O214" s="10"/>
      <c r="P214">
        <v>0</v>
      </c>
      <c r="Q214">
        <v>0</v>
      </c>
      <c r="R214">
        <v>0</v>
      </c>
      <c r="S214">
        <v>0</v>
      </c>
      <c r="T214">
        <v>0</v>
      </c>
      <c r="U214">
        <v>0</v>
      </c>
      <c r="V214">
        <v>0</v>
      </c>
      <c r="W214">
        <v>0</v>
      </c>
      <c r="X214" s="13">
        <v>13.125</v>
      </c>
      <c r="Y214" s="10" t="s">
        <v>901</v>
      </c>
      <c r="Z214" s="10" t="s">
        <v>941</v>
      </c>
      <c r="AA214" s="10"/>
      <c r="AB214" s="10"/>
      <c r="AC214" s="10"/>
    </row>
    <row r="215" spans="1:29" hidden="1" x14ac:dyDescent="0.25">
      <c r="A215" s="10" t="s">
        <v>287</v>
      </c>
      <c r="B215" s="10" t="s">
        <v>968</v>
      </c>
      <c r="C215" s="10" t="s">
        <v>10</v>
      </c>
      <c r="D215" s="10" t="s">
        <v>741</v>
      </c>
      <c r="E215" s="10" t="s">
        <v>285</v>
      </c>
      <c r="F215" s="10" t="s">
        <v>740</v>
      </c>
      <c r="G215" s="10" t="s">
        <v>742</v>
      </c>
      <c r="H215" s="12">
        <v>10.95</v>
      </c>
      <c r="I215">
        <v>1</v>
      </c>
      <c r="J215" s="12">
        <v>10.95</v>
      </c>
      <c r="K215" s="10" t="s">
        <v>284</v>
      </c>
      <c r="L215" s="2">
        <v>45838.875</v>
      </c>
      <c r="M215" s="10"/>
      <c r="N215">
        <v>0</v>
      </c>
      <c r="O215" s="10"/>
      <c r="P215">
        <v>0</v>
      </c>
      <c r="Q215">
        <v>0</v>
      </c>
      <c r="R215">
        <v>0</v>
      </c>
      <c r="S215">
        <v>0</v>
      </c>
      <c r="T215">
        <v>0</v>
      </c>
      <c r="U215">
        <v>0</v>
      </c>
      <c r="V215">
        <v>0</v>
      </c>
      <c r="W215">
        <v>0</v>
      </c>
      <c r="X215" s="13">
        <v>24.125</v>
      </c>
      <c r="Y215" s="10" t="s">
        <v>901</v>
      </c>
      <c r="Z215" s="10" t="s">
        <v>941</v>
      </c>
      <c r="AA215" s="10">
        <v>0.02</v>
      </c>
      <c r="AB215" s="10">
        <v>0.2</v>
      </c>
      <c r="AC215" s="10"/>
    </row>
    <row r="216" spans="1:29" hidden="1" x14ac:dyDescent="0.25">
      <c r="A216" s="10" t="s">
        <v>287</v>
      </c>
      <c r="B216" s="10"/>
      <c r="C216" s="10" t="s">
        <v>34</v>
      </c>
      <c r="D216" s="10" t="s">
        <v>743</v>
      </c>
      <c r="E216" s="10" t="s">
        <v>778</v>
      </c>
      <c r="F216" s="10" t="s">
        <v>776</v>
      </c>
      <c r="G216" s="10" t="s">
        <v>777</v>
      </c>
      <c r="H216" s="12">
        <v>0.89</v>
      </c>
      <c r="I216">
        <v>1</v>
      </c>
      <c r="J216" s="12">
        <v>0.89</v>
      </c>
      <c r="K216" s="10" t="s">
        <v>284</v>
      </c>
      <c r="L216" s="2">
        <v>45838.875</v>
      </c>
      <c r="M216" s="10"/>
      <c r="N216">
        <v>0</v>
      </c>
      <c r="O216" s="10"/>
      <c r="P216">
        <v>0</v>
      </c>
      <c r="Q216">
        <v>0</v>
      </c>
      <c r="R216">
        <v>0</v>
      </c>
      <c r="S216">
        <v>0</v>
      </c>
      <c r="T216">
        <v>0</v>
      </c>
      <c r="U216">
        <v>0</v>
      </c>
      <c r="V216">
        <v>0</v>
      </c>
      <c r="W216">
        <v>0.16</v>
      </c>
      <c r="X216" s="13">
        <v>13.125</v>
      </c>
      <c r="Y216" s="10" t="s">
        <v>901</v>
      </c>
      <c r="Z216" s="10" t="s">
        <v>941</v>
      </c>
      <c r="AA216" s="10"/>
      <c r="AB216" s="10"/>
      <c r="AC216" s="10"/>
    </row>
    <row r="217" spans="1:29" hidden="1" x14ac:dyDescent="0.25">
      <c r="A217" s="10" t="s">
        <v>767</v>
      </c>
      <c r="B217" s="10"/>
      <c r="C217" s="10"/>
      <c r="D217" s="10" t="s">
        <v>744</v>
      </c>
      <c r="E217" s="10" t="s">
        <v>542</v>
      </c>
      <c r="F217" s="10" t="s">
        <v>765</v>
      </c>
      <c r="G217" s="10" t="s">
        <v>766</v>
      </c>
      <c r="H217" s="12">
        <v>1155.02</v>
      </c>
      <c r="I217">
        <v>1.02</v>
      </c>
      <c r="J217" s="12">
        <v>1178.1204</v>
      </c>
      <c r="K217" s="10" t="s">
        <v>284</v>
      </c>
      <c r="L217" s="2">
        <v>45757.875</v>
      </c>
      <c r="M217" s="10"/>
      <c r="N217">
        <v>0</v>
      </c>
      <c r="O217" s="10"/>
      <c r="P217">
        <v>0</v>
      </c>
      <c r="Q217">
        <v>0</v>
      </c>
      <c r="R217">
        <v>0</v>
      </c>
      <c r="S217">
        <v>0</v>
      </c>
      <c r="T217">
        <v>0</v>
      </c>
      <c r="U217">
        <v>0</v>
      </c>
      <c r="V217">
        <v>0</v>
      </c>
      <c r="W217">
        <v>0</v>
      </c>
      <c r="X217" s="13">
        <v>105.125</v>
      </c>
      <c r="Y217" s="10" t="s">
        <v>901</v>
      </c>
      <c r="Z217" s="10" t="s">
        <v>941</v>
      </c>
      <c r="AA217" s="10">
        <v>4</v>
      </c>
      <c r="AB217" s="10">
        <v>4</v>
      </c>
      <c r="AC217" s="10"/>
    </row>
    <row r="218" spans="1:29" hidden="1" x14ac:dyDescent="0.25">
      <c r="A218" s="10" t="s">
        <v>767</v>
      </c>
      <c r="B218" s="10"/>
      <c r="C218" s="10"/>
      <c r="D218" s="10" t="s">
        <v>747</v>
      </c>
      <c r="E218" s="10" t="s">
        <v>542</v>
      </c>
      <c r="F218" s="10" t="s">
        <v>768</v>
      </c>
      <c r="G218" s="10" t="s">
        <v>769</v>
      </c>
      <c r="H218" s="12">
        <v>209.61</v>
      </c>
      <c r="I218">
        <v>1.02</v>
      </c>
      <c r="J218" s="12">
        <v>213.8022</v>
      </c>
      <c r="K218" s="10" t="s">
        <v>284</v>
      </c>
      <c r="L218" s="2">
        <v>45663.875</v>
      </c>
      <c r="M218" s="10"/>
      <c r="N218">
        <v>0</v>
      </c>
      <c r="O218" s="10"/>
      <c r="P218">
        <v>0</v>
      </c>
      <c r="Q218">
        <v>0</v>
      </c>
      <c r="R218">
        <v>0</v>
      </c>
      <c r="S218">
        <v>0</v>
      </c>
      <c r="T218">
        <v>0</v>
      </c>
      <c r="U218">
        <v>0</v>
      </c>
      <c r="V218">
        <v>0</v>
      </c>
      <c r="W218">
        <v>0</v>
      </c>
      <c r="X218" s="13">
        <v>199.125</v>
      </c>
      <c r="Y218" s="10" t="s">
        <v>901</v>
      </c>
      <c r="Z218" s="10" t="s">
        <v>941</v>
      </c>
      <c r="AA218" s="10">
        <v>4</v>
      </c>
      <c r="AB218" s="10">
        <v>4</v>
      </c>
      <c r="AC218" s="10"/>
    </row>
    <row r="219" spans="1:29" hidden="1" x14ac:dyDescent="0.25">
      <c r="A219" s="10" t="s">
        <v>767</v>
      </c>
      <c r="B219" s="10" t="s">
        <v>970</v>
      </c>
      <c r="C219" s="10" t="s">
        <v>395</v>
      </c>
      <c r="D219" s="10" t="s">
        <v>799</v>
      </c>
      <c r="E219" s="10" t="s">
        <v>285</v>
      </c>
      <c r="F219" s="10" t="s">
        <v>790</v>
      </c>
      <c r="G219" s="10" t="s">
        <v>800</v>
      </c>
      <c r="H219" s="12">
        <v>223.88</v>
      </c>
      <c r="I219">
        <v>1</v>
      </c>
      <c r="J219" s="12">
        <v>223.88</v>
      </c>
      <c r="K219" s="10" t="s">
        <v>284</v>
      </c>
      <c r="L219" s="2">
        <v>45838.875</v>
      </c>
      <c r="M219" s="10"/>
      <c r="N219">
        <v>0</v>
      </c>
      <c r="O219" s="10"/>
      <c r="P219">
        <v>0</v>
      </c>
      <c r="Q219">
        <v>0</v>
      </c>
      <c r="R219">
        <v>0</v>
      </c>
      <c r="S219">
        <v>0</v>
      </c>
      <c r="T219">
        <v>0</v>
      </c>
      <c r="U219">
        <v>0</v>
      </c>
      <c r="V219">
        <v>0</v>
      </c>
      <c r="W219">
        <v>0</v>
      </c>
      <c r="X219" s="13">
        <v>24.125</v>
      </c>
      <c r="Y219" s="10" t="s">
        <v>901</v>
      </c>
      <c r="Z219" s="10" t="s">
        <v>941</v>
      </c>
      <c r="AA219" s="10">
        <v>4</v>
      </c>
      <c r="AB219" s="10">
        <v>4</v>
      </c>
      <c r="AC219" s="10"/>
    </row>
    <row r="220" spans="1:29" hidden="1" x14ac:dyDescent="0.25">
      <c r="A220" s="10" t="s">
        <v>287</v>
      </c>
      <c r="B220" s="10"/>
      <c r="C220" s="10"/>
      <c r="D220" s="10" t="s">
        <v>746</v>
      </c>
      <c r="E220" s="10" t="s">
        <v>772</v>
      </c>
      <c r="F220" s="10" t="s">
        <v>771</v>
      </c>
      <c r="G220" s="10" t="s">
        <v>770</v>
      </c>
      <c r="H220" s="12">
        <v>65.33</v>
      </c>
      <c r="I220">
        <v>1.02</v>
      </c>
      <c r="J220" s="12">
        <v>66.636600000000001</v>
      </c>
      <c r="K220" s="10" t="s">
        <v>773</v>
      </c>
      <c r="L220" s="2">
        <v>45760.875</v>
      </c>
      <c r="M220" s="10"/>
      <c r="N220">
        <v>0</v>
      </c>
      <c r="O220" s="10"/>
      <c r="P220">
        <v>0</v>
      </c>
      <c r="Q220">
        <v>0</v>
      </c>
      <c r="R220">
        <v>0</v>
      </c>
      <c r="S220">
        <v>0</v>
      </c>
      <c r="T220">
        <v>0</v>
      </c>
      <c r="U220">
        <v>0</v>
      </c>
      <c r="V220">
        <v>0</v>
      </c>
      <c r="W220">
        <v>0</v>
      </c>
      <c r="X220" s="13">
        <v>91.125</v>
      </c>
      <c r="Y220" s="10" t="s">
        <v>901</v>
      </c>
      <c r="Z220" s="10" t="s">
        <v>941</v>
      </c>
      <c r="AA220" s="10"/>
      <c r="AB220" s="10"/>
      <c r="AC220" s="10"/>
    </row>
    <row r="221" spans="1:29" hidden="1" x14ac:dyDescent="0.25">
      <c r="A221" s="10" t="s">
        <v>780</v>
      </c>
      <c r="B221" s="10" t="s">
        <v>968</v>
      </c>
      <c r="C221" s="10"/>
      <c r="D221" s="10" t="s">
        <v>745</v>
      </c>
      <c r="E221" s="10" t="s">
        <v>285</v>
      </c>
      <c r="F221" s="10" t="s">
        <v>779</v>
      </c>
      <c r="G221" s="10" t="s">
        <v>781</v>
      </c>
      <c r="H221" s="12">
        <v>37.32</v>
      </c>
      <c r="I221">
        <v>1</v>
      </c>
      <c r="J221" s="12">
        <v>37.32</v>
      </c>
      <c r="K221" s="10" t="s">
        <v>284</v>
      </c>
      <c r="L221" s="2">
        <v>45630.875</v>
      </c>
      <c r="M221" s="10"/>
      <c r="N221">
        <v>0</v>
      </c>
      <c r="O221" s="10"/>
      <c r="P221">
        <v>0</v>
      </c>
      <c r="Q221">
        <v>0</v>
      </c>
      <c r="R221">
        <v>0</v>
      </c>
      <c r="S221">
        <v>0</v>
      </c>
      <c r="T221">
        <v>0</v>
      </c>
      <c r="U221">
        <v>0</v>
      </c>
      <c r="V221">
        <v>0</v>
      </c>
      <c r="W221">
        <v>0</v>
      </c>
      <c r="X221" s="13">
        <v>232.125</v>
      </c>
      <c r="Y221" s="10" t="s">
        <v>901</v>
      </c>
      <c r="Z221" s="10" t="s">
        <v>941</v>
      </c>
      <c r="AA221" s="10">
        <v>0.1</v>
      </c>
      <c r="AB221" s="10">
        <v>0.2</v>
      </c>
      <c r="AC221" s="10"/>
    </row>
    <row r="222" spans="1:29" hidden="1" x14ac:dyDescent="0.25">
      <c r="A222" s="10"/>
      <c r="B222" s="10"/>
      <c r="C222" s="10"/>
      <c r="D222" s="10"/>
      <c r="E222" s="10" t="s">
        <v>285</v>
      </c>
      <c r="F222" s="10" t="s">
        <v>789</v>
      </c>
      <c r="G222" s="10" t="s">
        <v>835</v>
      </c>
      <c r="H222" s="12">
        <v>46.3</v>
      </c>
      <c r="I222">
        <v>1.02</v>
      </c>
      <c r="J222" s="12">
        <v>47.225999999999999</v>
      </c>
      <c r="K222" s="10" t="s">
        <v>284</v>
      </c>
      <c r="L222" s="2">
        <v>45838.875</v>
      </c>
      <c r="M222" s="10"/>
      <c r="N222">
        <v>0</v>
      </c>
      <c r="O222" s="10"/>
      <c r="P222">
        <v>0</v>
      </c>
      <c r="Q222">
        <v>0</v>
      </c>
      <c r="R222">
        <v>0</v>
      </c>
      <c r="S222">
        <v>0</v>
      </c>
      <c r="T222">
        <v>0</v>
      </c>
      <c r="U222">
        <v>0</v>
      </c>
      <c r="V222">
        <v>0</v>
      </c>
      <c r="W222">
        <v>0</v>
      </c>
      <c r="X222" s="13">
        <v>13.125</v>
      </c>
      <c r="Y222" s="10" t="s">
        <v>901</v>
      </c>
      <c r="Z222" s="10" t="s">
        <v>941</v>
      </c>
      <c r="AA222" s="10"/>
      <c r="AB222" s="10"/>
      <c r="AC222" s="10"/>
    </row>
    <row r="223" spans="1:29" hidden="1" x14ac:dyDescent="0.25">
      <c r="A223" s="10" t="s">
        <v>785</v>
      </c>
      <c r="B223" s="10"/>
      <c r="C223" s="10"/>
      <c r="D223" s="10" t="s">
        <v>753</v>
      </c>
      <c r="E223" s="10" t="s">
        <v>782</v>
      </c>
      <c r="F223" s="10" t="s">
        <v>938</v>
      </c>
      <c r="G223" s="10" t="s">
        <v>784</v>
      </c>
      <c r="H223" s="12">
        <v>459.54</v>
      </c>
      <c r="I223">
        <v>1.02</v>
      </c>
      <c r="J223" s="12">
        <v>468.73079999999999</v>
      </c>
      <c r="K223" s="10" t="s">
        <v>783</v>
      </c>
      <c r="L223" s="2">
        <v>45760.875</v>
      </c>
      <c r="M223" s="10"/>
      <c r="N223">
        <v>0</v>
      </c>
      <c r="O223" s="10"/>
      <c r="P223">
        <v>0</v>
      </c>
      <c r="Q223">
        <v>0</v>
      </c>
      <c r="R223">
        <v>0</v>
      </c>
      <c r="S223">
        <v>0</v>
      </c>
      <c r="T223">
        <v>0</v>
      </c>
      <c r="U223">
        <v>0</v>
      </c>
      <c r="V223">
        <v>0</v>
      </c>
      <c r="W223">
        <v>0</v>
      </c>
      <c r="X223" s="13">
        <v>102.125</v>
      </c>
      <c r="Y223" s="10" t="s">
        <v>901</v>
      </c>
      <c r="Z223" s="10" t="s">
        <v>941</v>
      </c>
      <c r="AA223" s="10">
        <v>2</v>
      </c>
      <c r="AB223" s="10">
        <v>4</v>
      </c>
      <c r="AC223" s="10"/>
    </row>
    <row r="224" spans="1:29" hidden="1" x14ac:dyDescent="0.25">
      <c r="A224" s="10" t="s">
        <v>796</v>
      </c>
      <c r="B224" s="10" t="s">
        <v>968</v>
      </c>
      <c r="C224" s="10"/>
      <c r="D224" s="10" t="s">
        <v>798</v>
      </c>
      <c r="E224" s="10" t="s">
        <v>285</v>
      </c>
      <c r="F224" s="10" t="s">
        <v>786</v>
      </c>
      <c r="G224" s="10" t="s">
        <v>797</v>
      </c>
      <c r="H224" s="12">
        <v>1.32</v>
      </c>
      <c r="I224">
        <v>1</v>
      </c>
      <c r="J224" s="12">
        <v>1.32</v>
      </c>
      <c r="K224" s="10" t="s">
        <v>284</v>
      </c>
      <c r="L224" s="2">
        <v>45838.875</v>
      </c>
      <c r="M224" s="10"/>
      <c r="N224">
        <v>0</v>
      </c>
      <c r="O224" s="10"/>
      <c r="P224">
        <v>0</v>
      </c>
      <c r="Q224">
        <v>0</v>
      </c>
      <c r="R224">
        <v>0</v>
      </c>
      <c r="S224">
        <v>0</v>
      </c>
      <c r="T224">
        <v>0</v>
      </c>
      <c r="U224">
        <v>0</v>
      </c>
      <c r="V224">
        <v>0</v>
      </c>
      <c r="W224">
        <v>0</v>
      </c>
      <c r="X224" s="13">
        <v>13.125</v>
      </c>
      <c r="Y224" s="10" t="s">
        <v>901</v>
      </c>
      <c r="Z224" s="10" t="s">
        <v>941</v>
      </c>
      <c r="AA224" s="10"/>
      <c r="AB224" s="10"/>
      <c r="AC224" s="10"/>
    </row>
    <row r="225" spans="1:29" hidden="1" x14ac:dyDescent="0.25">
      <c r="A225" s="10" t="s">
        <v>37</v>
      </c>
      <c r="B225" s="10"/>
      <c r="C225" s="10"/>
      <c r="D225" s="10"/>
      <c r="E225" s="10" t="s">
        <v>825</v>
      </c>
      <c r="F225" s="10" t="s">
        <v>826</v>
      </c>
      <c r="G225" s="10" t="s">
        <v>827</v>
      </c>
      <c r="H225" s="12">
        <v>1178</v>
      </c>
      <c r="I225">
        <v>1</v>
      </c>
      <c r="J225" s="12">
        <v>1178</v>
      </c>
      <c r="K225" s="10" t="s">
        <v>828</v>
      </c>
      <c r="L225" s="2">
        <v>45789.875</v>
      </c>
      <c r="M225" s="10"/>
      <c r="N225">
        <v>0</v>
      </c>
      <c r="O225" s="10"/>
      <c r="P225">
        <v>0</v>
      </c>
      <c r="Q225">
        <v>0</v>
      </c>
      <c r="R225">
        <v>0</v>
      </c>
      <c r="S225">
        <v>0</v>
      </c>
      <c r="T225">
        <v>0</v>
      </c>
      <c r="U225">
        <v>0</v>
      </c>
      <c r="V225">
        <v>0</v>
      </c>
      <c r="W225">
        <v>0</v>
      </c>
      <c r="X225" s="13">
        <v>73.125</v>
      </c>
      <c r="Y225" s="10" t="s">
        <v>901</v>
      </c>
      <c r="Z225" s="10" t="s">
        <v>941</v>
      </c>
      <c r="AA225" s="10">
        <v>0.5</v>
      </c>
      <c r="AB225" s="10">
        <v>2</v>
      </c>
      <c r="AC225" s="10"/>
    </row>
    <row r="226" spans="1:29" hidden="1" x14ac:dyDescent="0.25">
      <c r="A226" s="10" t="s">
        <v>830</v>
      </c>
      <c r="B226" s="10"/>
      <c r="C226" s="10"/>
      <c r="D226" s="10" t="s">
        <v>833</v>
      </c>
      <c r="E226" s="10" t="s">
        <v>831</v>
      </c>
      <c r="F226" s="10" t="s">
        <v>829</v>
      </c>
      <c r="G226" s="10" t="s">
        <v>832</v>
      </c>
      <c r="H226" s="12">
        <v>2047</v>
      </c>
      <c r="I226">
        <v>1</v>
      </c>
      <c r="J226" s="12">
        <v>2047</v>
      </c>
      <c r="K226" s="10" t="s">
        <v>834</v>
      </c>
      <c r="L226" s="2">
        <v>45762.875</v>
      </c>
      <c r="M226" s="10"/>
      <c r="N226">
        <v>0</v>
      </c>
      <c r="O226" s="10"/>
      <c r="P226">
        <v>0</v>
      </c>
      <c r="Q226">
        <v>0</v>
      </c>
      <c r="R226">
        <v>0</v>
      </c>
      <c r="S226">
        <v>0</v>
      </c>
      <c r="T226">
        <v>0</v>
      </c>
      <c r="U226">
        <v>0</v>
      </c>
      <c r="V226">
        <v>0</v>
      </c>
      <c r="W226">
        <v>0</v>
      </c>
      <c r="X226" s="13">
        <v>100.125</v>
      </c>
      <c r="Y226" s="10" t="s">
        <v>901</v>
      </c>
      <c r="Z226" s="10" t="s">
        <v>941</v>
      </c>
      <c r="AA226" s="10">
        <v>1</v>
      </c>
      <c r="AB226" s="10">
        <v>2</v>
      </c>
      <c r="AC226" s="10"/>
    </row>
    <row r="227" spans="1:29" hidden="1" x14ac:dyDescent="0.25">
      <c r="A227" s="10" t="s">
        <v>992</v>
      </c>
      <c r="B227" s="10"/>
      <c r="C227" s="10"/>
      <c r="D227" s="10" t="s">
        <v>836</v>
      </c>
      <c r="E227" s="10" t="s">
        <v>847</v>
      </c>
      <c r="F227" s="10" t="s">
        <v>851</v>
      </c>
      <c r="G227" s="10" t="s">
        <v>859</v>
      </c>
      <c r="H227" s="12">
        <v>58.75</v>
      </c>
      <c r="I227">
        <v>1</v>
      </c>
      <c r="J227" s="12">
        <v>58.75</v>
      </c>
      <c r="K227" s="10"/>
      <c r="L227" s="2">
        <v>45838.875</v>
      </c>
      <c r="M227" s="10"/>
      <c r="N227">
        <v>0</v>
      </c>
      <c r="O227" s="10"/>
      <c r="P227">
        <v>0</v>
      </c>
      <c r="Q227">
        <v>0</v>
      </c>
      <c r="R227">
        <v>0</v>
      </c>
      <c r="S227">
        <v>0</v>
      </c>
      <c r="T227">
        <v>0</v>
      </c>
      <c r="U227">
        <v>0</v>
      </c>
      <c r="V227">
        <v>0</v>
      </c>
      <c r="W227">
        <v>0</v>
      </c>
      <c r="X227" s="13">
        <v>16.125</v>
      </c>
      <c r="Y227" s="10" t="s">
        <v>901</v>
      </c>
      <c r="Z227" s="10" t="s">
        <v>941</v>
      </c>
      <c r="AA227" s="10"/>
      <c r="AB227" s="10"/>
      <c r="AC227" s="10"/>
    </row>
    <row r="228" spans="1:29" hidden="1" x14ac:dyDescent="0.25">
      <c r="A228" s="10" t="s">
        <v>992</v>
      </c>
      <c r="B228" s="10"/>
      <c r="C228" s="10"/>
      <c r="D228" s="10" t="s">
        <v>837</v>
      </c>
      <c r="E228" s="10" t="s">
        <v>847</v>
      </c>
      <c r="F228" s="10" t="s">
        <v>852</v>
      </c>
      <c r="G228" s="10" t="s">
        <v>874</v>
      </c>
      <c r="H228" s="12">
        <v>393.99</v>
      </c>
      <c r="I228">
        <v>1</v>
      </c>
      <c r="J228" s="12">
        <v>393.99</v>
      </c>
      <c r="K228" s="10"/>
      <c r="L228" s="2">
        <v>45838.875</v>
      </c>
      <c r="M228" s="10"/>
      <c r="N228">
        <v>0</v>
      </c>
      <c r="O228" s="10"/>
      <c r="P228">
        <v>0</v>
      </c>
      <c r="Q228">
        <v>0</v>
      </c>
      <c r="R228">
        <v>0</v>
      </c>
      <c r="S228">
        <v>0</v>
      </c>
      <c r="T228">
        <v>0</v>
      </c>
      <c r="U228">
        <v>0</v>
      </c>
      <c r="V228">
        <v>0</v>
      </c>
      <c r="W228">
        <v>0</v>
      </c>
      <c r="X228" s="13">
        <v>14.125</v>
      </c>
      <c r="Y228" s="10" t="s">
        <v>901</v>
      </c>
      <c r="Z228" s="10" t="s">
        <v>941</v>
      </c>
      <c r="AA228" s="10"/>
      <c r="AB228" s="10"/>
      <c r="AC228" s="10"/>
    </row>
    <row r="229" spans="1:29" hidden="1" x14ac:dyDescent="0.25">
      <c r="A229" s="10" t="s">
        <v>871</v>
      </c>
      <c r="B229" s="10"/>
      <c r="C229" s="10"/>
      <c r="D229" s="10" t="s">
        <v>838</v>
      </c>
      <c r="E229" s="10" t="s">
        <v>848</v>
      </c>
      <c r="F229" s="10" t="s">
        <v>853</v>
      </c>
      <c r="G229" s="10" t="s">
        <v>860</v>
      </c>
      <c r="H229" s="12">
        <v>10.56</v>
      </c>
      <c r="I229">
        <v>1.05</v>
      </c>
      <c r="J229" s="12">
        <v>11.087999999999999</v>
      </c>
      <c r="K229" s="10" t="s">
        <v>869</v>
      </c>
      <c r="L229" s="2">
        <v>45559.875</v>
      </c>
      <c r="M229" s="10"/>
      <c r="N229">
        <v>0</v>
      </c>
      <c r="O229" s="10"/>
      <c r="P229">
        <v>0</v>
      </c>
      <c r="Q229">
        <v>0</v>
      </c>
      <c r="R229">
        <v>0</v>
      </c>
      <c r="S229">
        <v>0</v>
      </c>
      <c r="T229">
        <v>0</v>
      </c>
      <c r="U229">
        <v>0</v>
      </c>
      <c r="V229">
        <v>0</v>
      </c>
      <c r="W229">
        <v>0</v>
      </c>
      <c r="X229" s="13">
        <v>303.125</v>
      </c>
      <c r="Y229" s="10" t="s">
        <v>901</v>
      </c>
      <c r="Z229" s="10" t="s">
        <v>941</v>
      </c>
      <c r="AA229" s="10"/>
      <c r="AB229" s="10"/>
      <c r="AC229" s="10">
        <v>0.1</v>
      </c>
    </row>
    <row r="230" spans="1:29" hidden="1" x14ac:dyDescent="0.25">
      <c r="A230" s="10" t="s">
        <v>871</v>
      </c>
      <c r="B230" s="10"/>
      <c r="C230" s="10"/>
      <c r="D230" s="10" t="s">
        <v>839</v>
      </c>
      <c r="E230" s="10" t="s">
        <v>774</v>
      </c>
      <c r="F230" s="10" t="s">
        <v>1117</v>
      </c>
      <c r="G230" s="10" t="s">
        <v>861</v>
      </c>
      <c r="H230" s="12">
        <v>30.71</v>
      </c>
      <c r="I230">
        <v>1.05</v>
      </c>
      <c r="J230" s="12">
        <v>32.2455</v>
      </c>
      <c r="K230" s="10" t="s">
        <v>750</v>
      </c>
      <c r="L230" s="2">
        <v>45559.875</v>
      </c>
      <c r="M230" s="10"/>
      <c r="N230">
        <v>0</v>
      </c>
      <c r="O230" s="10"/>
      <c r="P230">
        <v>0</v>
      </c>
      <c r="Q230">
        <v>0</v>
      </c>
      <c r="R230">
        <v>0</v>
      </c>
      <c r="S230">
        <v>0</v>
      </c>
      <c r="T230">
        <v>0</v>
      </c>
      <c r="U230">
        <v>0</v>
      </c>
      <c r="V230">
        <v>0</v>
      </c>
      <c r="W230">
        <v>0</v>
      </c>
      <c r="X230" s="13">
        <v>303.125</v>
      </c>
      <c r="Y230" s="10" t="s">
        <v>901</v>
      </c>
      <c r="Z230" s="10" t="s">
        <v>941</v>
      </c>
      <c r="AA230" s="10"/>
      <c r="AB230" s="10"/>
      <c r="AC230" s="10">
        <v>0.1</v>
      </c>
    </row>
    <row r="231" spans="1:29" hidden="1" x14ac:dyDescent="0.25">
      <c r="A231" s="10" t="s">
        <v>871</v>
      </c>
      <c r="B231" s="10"/>
      <c r="C231" s="10"/>
      <c r="D231" s="10" t="s">
        <v>840</v>
      </c>
      <c r="E231" s="10" t="s">
        <v>774</v>
      </c>
      <c r="F231" s="10" t="s">
        <v>1118</v>
      </c>
      <c r="G231" s="10" t="s">
        <v>862</v>
      </c>
      <c r="H231" s="12">
        <v>32.630000000000003</v>
      </c>
      <c r="I231">
        <v>1.05</v>
      </c>
      <c r="J231" s="12">
        <v>34.261499999999998</v>
      </c>
      <c r="K231" s="10" t="s">
        <v>750</v>
      </c>
      <c r="L231" s="2">
        <v>45559.875</v>
      </c>
      <c r="M231" s="10"/>
      <c r="N231">
        <v>0</v>
      </c>
      <c r="O231" s="10"/>
      <c r="P231">
        <v>0</v>
      </c>
      <c r="Q231">
        <v>0</v>
      </c>
      <c r="R231">
        <v>0</v>
      </c>
      <c r="S231">
        <v>0</v>
      </c>
      <c r="T231">
        <v>0</v>
      </c>
      <c r="U231">
        <v>0</v>
      </c>
      <c r="V231">
        <v>0</v>
      </c>
      <c r="W231">
        <v>0</v>
      </c>
      <c r="X231" s="13">
        <v>303.125</v>
      </c>
      <c r="Y231" s="10" t="s">
        <v>901</v>
      </c>
      <c r="Z231" s="10" t="s">
        <v>941</v>
      </c>
      <c r="AA231" s="10"/>
      <c r="AB231" s="10"/>
      <c r="AC231" s="10">
        <v>0.1</v>
      </c>
    </row>
    <row r="232" spans="1:29" hidden="1" x14ac:dyDescent="0.25">
      <c r="A232" s="10" t="s">
        <v>871</v>
      </c>
      <c r="B232" s="10"/>
      <c r="C232" s="10"/>
      <c r="D232" s="10" t="s">
        <v>841</v>
      </c>
      <c r="E232" s="10" t="s">
        <v>774</v>
      </c>
      <c r="F232" s="10" t="s">
        <v>1119</v>
      </c>
      <c r="G232" s="10" t="s">
        <v>863</v>
      </c>
      <c r="H232" s="12">
        <v>8.93</v>
      </c>
      <c r="I232">
        <v>1.05</v>
      </c>
      <c r="J232" s="12">
        <v>9.3765000000000001</v>
      </c>
      <c r="K232" s="10" t="s">
        <v>750</v>
      </c>
      <c r="L232" s="2">
        <v>45559.875</v>
      </c>
      <c r="M232" s="10" t="s">
        <v>1476</v>
      </c>
      <c r="N232">
        <v>0</v>
      </c>
      <c r="O232" s="10"/>
      <c r="P232">
        <v>0</v>
      </c>
      <c r="Q232">
        <v>0</v>
      </c>
      <c r="R232">
        <v>0</v>
      </c>
      <c r="S232">
        <v>0</v>
      </c>
      <c r="T232">
        <v>0</v>
      </c>
      <c r="U232">
        <v>0</v>
      </c>
      <c r="V232">
        <v>0</v>
      </c>
      <c r="W232">
        <v>0</v>
      </c>
      <c r="X232" s="13">
        <v>303.125</v>
      </c>
      <c r="Y232" s="10" t="s">
        <v>901</v>
      </c>
      <c r="Z232" s="10" t="s">
        <v>941</v>
      </c>
      <c r="AA232" s="10"/>
      <c r="AB232" s="10"/>
      <c r="AC232" s="10">
        <v>1</v>
      </c>
    </row>
    <row r="233" spans="1:29" hidden="1" x14ac:dyDescent="0.25">
      <c r="A233" s="10" t="s">
        <v>873</v>
      </c>
      <c r="B233" s="10"/>
      <c r="C233" s="10"/>
      <c r="D233" s="10" t="s">
        <v>842</v>
      </c>
      <c r="E233" s="10" t="s">
        <v>849</v>
      </c>
      <c r="F233" s="10" t="s">
        <v>855</v>
      </c>
      <c r="G233" s="10" t="s">
        <v>864</v>
      </c>
      <c r="H233" s="12">
        <v>488.47</v>
      </c>
      <c r="I233">
        <v>1.05</v>
      </c>
      <c r="J233" s="12">
        <v>512.89350000000002</v>
      </c>
      <c r="K233" s="10" t="s">
        <v>750</v>
      </c>
      <c r="L233" s="2">
        <v>45559.875</v>
      </c>
      <c r="M233" s="10"/>
      <c r="N233">
        <v>0</v>
      </c>
      <c r="O233" s="10"/>
      <c r="P233">
        <v>0</v>
      </c>
      <c r="Q233">
        <v>0</v>
      </c>
      <c r="R233">
        <v>0</v>
      </c>
      <c r="S233">
        <v>0</v>
      </c>
      <c r="T233">
        <v>0</v>
      </c>
      <c r="U233">
        <v>0</v>
      </c>
      <c r="V233">
        <v>0</v>
      </c>
      <c r="W233">
        <v>0</v>
      </c>
      <c r="X233" s="13">
        <v>303.125</v>
      </c>
      <c r="Y233" s="10" t="s">
        <v>901</v>
      </c>
      <c r="Z233" s="10" t="s">
        <v>941</v>
      </c>
      <c r="AA233" s="10">
        <v>4</v>
      </c>
      <c r="AB233" s="10"/>
      <c r="AC233" s="10">
        <v>0.5</v>
      </c>
    </row>
    <row r="234" spans="1:29" hidden="1" x14ac:dyDescent="0.25">
      <c r="A234" s="10" t="s">
        <v>871</v>
      </c>
      <c r="B234" s="10"/>
      <c r="C234" s="10"/>
      <c r="D234" s="10" t="s">
        <v>843</v>
      </c>
      <c r="E234" s="10" t="s">
        <v>774</v>
      </c>
      <c r="F234" s="10" t="s">
        <v>1120</v>
      </c>
      <c r="G234" s="10" t="s">
        <v>865</v>
      </c>
      <c r="H234" s="12">
        <v>8.93</v>
      </c>
      <c r="I234">
        <v>1.05</v>
      </c>
      <c r="J234" s="12">
        <v>9.3765000000000001</v>
      </c>
      <c r="K234" s="10" t="s">
        <v>750</v>
      </c>
      <c r="L234" s="2">
        <v>45559.875</v>
      </c>
      <c r="M234" s="10" t="s">
        <v>1476</v>
      </c>
      <c r="N234">
        <v>0</v>
      </c>
      <c r="O234" s="10"/>
      <c r="P234">
        <v>0</v>
      </c>
      <c r="Q234">
        <v>0</v>
      </c>
      <c r="R234">
        <v>0</v>
      </c>
      <c r="S234">
        <v>0</v>
      </c>
      <c r="T234">
        <v>0</v>
      </c>
      <c r="U234">
        <v>0</v>
      </c>
      <c r="V234">
        <v>0</v>
      </c>
      <c r="W234">
        <v>0</v>
      </c>
      <c r="X234" s="13">
        <v>303.125</v>
      </c>
      <c r="Y234" s="10" t="s">
        <v>901</v>
      </c>
      <c r="Z234" s="10" t="s">
        <v>941</v>
      </c>
      <c r="AA234" s="10"/>
      <c r="AB234" s="10"/>
      <c r="AC234" s="10">
        <v>1</v>
      </c>
    </row>
    <row r="235" spans="1:29" hidden="1" x14ac:dyDescent="0.25">
      <c r="A235" s="10" t="s">
        <v>871</v>
      </c>
      <c r="B235" s="10"/>
      <c r="C235" s="10"/>
      <c r="D235" s="10" t="s">
        <v>844</v>
      </c>
      <c r="E235" s="10" t="s">
        <v>847</v>
      </c>
      <c r="F235" s="10" t="s">
        <v>856</v>
      </c>
      <c r="G235" s="10" t="s">
        <v>866</v>
      </c>
      <c r="H235" s="12">
        <v>23.63</v>
      </c>
      <c r="I235">
        <v>1.05</v>
      </c>
      <c r="J235" s="12">
        <v>24.811499999999999</v>
      </c>
      <c r="K235" s="10" t="s">
        <v>870</v>
      </c>
      <c r="L235" s="2">
        <v>45559.875</v>
      </c>
      <c r="M235" s="10"/>
      <c r="N235">
        <v>0</v>
      </c>
      <c r="O235" s="10"/>
      <c r="P235">
        <v>0</v>
      </c>
      <c r="Q235">
        <v>0</v>
      </c>
      <c r="R235">
        <v>0</v>
      </c>
      <c r="S235">
        <v>0</v>
      </c>
      <c r="T235">
        <v>0</v>
      </c>
      <c r="U235">
        <v>0</v>
      </c>
      <c r="V235">
        <v>0</v>
      </c>
      <c r="W235">
        <v>0</v>
      </c>
      <c r="X235" s="13">
        <v>292.125</v>
      </c>
      <c r="Y235" s="10" t="s">
        <v>901</v>
      </c>
      <c r="Z235" s="10" t="s">
        <v>941</v>
      </c>
      <c r="AA235" s="10"/>
      <c r="AB235" s="10"/>
      <c r="AC235" s="10"/>
    </row>
    <row r="236" spans="1:29" hidden="1" x14ac:dyDescent="0.25">
      <c r="A236" s="10" t="s">
        <v>873</v>
      </c>
      <c r="B236" s="10"/>
      <c r="C236" s="10"/>
      <c r="D236" s="10" t="s">
        <v>845</v>
      </c>
      <c r="E236" s="10" t="s">
        <v>847</v>
      </c>
      <c r="F236" s="10" t="s">
        <v>857</v>
      </c>
      <c r="G236" s="10" t="s">
        <v>867</v>
      </c>
      <c r="H236" s="12">
        <v>66.38</v>
      </c>
      <c r="I236">
        <v>1.05</v>
      </c>
      <c r="J236" s="12">
        <v>69.698999999999998</v>
      </c>
      <c r="K236" s="10" t="s">
        <v>870</v>
      </c>
      <c r="L236" s="2">
        <v>45559.875</v>
      </c>
      <c r="M236" s="10"/>
      <c r="N236">
        <v>0</v>
      </c>
      <c r="O236" s="10"/>
      <c r="P236">
        <v>0</v>
      </c>
      <c r="Q236">
        <v>0</v>
      </c>
      <c r="R236">
        <v>0</v>
      </c>
      <c r="S236">
        <v>0</v>
      </c>
      <c r="T236">
        <v>0</v>
      </c>
      <c r="U236">
        <v>0</v>
      </c>
      <c r="V236">
        <v>0</v>
      </c>
      <c r="W236">
        <v>0</v>
      </c>
      <c r="X236" s="13">
        <v>303.125</v>
      </c>
      <c r="Y236" s="10" t="s">
        <v>901</v>
      </c>
      <c r="Z236" s="10" t="s">
        <v>941</v>
      </c>
      <c r="AA236" s="10">
        <v>0.2</v>
      </c>
      <c r="AB236" s="10"/>
      <c r="AC236" s="10">
        <v>0.25</v>
      </c>
    </row>
    <row r="237" spans="1:29" hidden="1" x14ac:dyDescent="0.25">
      <c r="A237" s="10" t="s">
        <v>873</v>
      </c>
      <c r="B237" s="10"/>
      <c r="C237" s="10"/>
      <c r="D237" s="10" t="s">
        <v>846</v>
      </c>
      <c r="E237" s="10" t="s">
        <v>850</v>
      </c>
      <c r="F237" s="10" t="s">
        <v>858</v>
      </c>
      <c r="G237" s="10" t="s">
        <v>868</v>
      </c>
      <c r="H237" s="12">
        <v>316.3</v>
      </c>
      <c r="I237">
        <v>1.05</v>
      </c>
      <c r="J237" s="12">
        <v>332.11500000000001</v>
      </c>
      <c r="K237" s="10" t="s">
        <v>750</v>
      </c>
      <c r="L237" s="2">
        <v>45559.875</v>
      </c>
      <c r="M237" s="10"/>
      <c r="N237">
        <v>0</v>
      </c>
      <c r="O237" s="10"/>
      <c r="P237">
        <v>0</v>
      </c>
      <c r="Q237">
        <v>0</v>
      </c>
      <c r="R237">
        <v>0</v>
      </c>
      <c r="S237">
        <v>0</v>
      </c>
      <c r="T237">
        <v>0</v>
      </c>
      <c r="U237">
        <v>0</v>
      </c>
      <c r="V237">
        <v>0</v>
      </c>
      <c r="W237">
        <v>0</v>
      </c>
      <c r="X237" s="13">
        <v>303.125</v>
      </c>
      <c r="Y237" s="10" t="s">
        <v>901</v>
      </c>
      <c r="Z237" s="10" t="s">
        <v>941</v>
      </c>
      <c r="AA237" s="10">
        <v>4</v>
      </c>
      <c r="AB237" s="10"/>
      <c r="AC237" s="10">
        <v>0.5</v>
      </c>
    </row>
    <row r="238" spans="1:29" hidden="1" x14ac:dyDescent="0.25">
      <c r="A238" s="10" t="s">
        <v>620</v>
      </c>
      <c r="B238" s="10"/>
      <c r="C238" s="10"/>
      <c r="D238" s="10" t="s">
        <v>23</v>
      </c>
      <c r="E238" s="10" t="s">
        <v>878</v>
      </c>
      <c r="F238" s="10" t="s">
        <v>877</v>
      </c>
      <c r="G238" s="10" t="s">
        <v>876</v>
      </c>
      <c r="H238" s="12">
        <v>235.26</v>
      </c>
      <c r="I238">
        <v>1</v>
      </c>
      <c r="J238" s="12">
        <v>235.26</v>
      </c>
      <c r="K238" s="10" t="s">
        <v>284</v>
      </c>
      <c r="L238" s="2">
        <v>45838.875</v>
      </c>
      <c r="M238" s="10"/>
      <c r="N238">
        <v>0</v>
      </c>
      <c r="O238" s="10"/>
      <c r="P238">
        <v>0</v>
      </c>
      <c r="Q238">
        <v>0</v>
      </c>
      <c r="R238">
        <v>0</v>
      </c>
      <c r="S238">
        <v>0</v>
      </c>
      <c r="T238">
        <v>0</v>
      </c>
      <c r="U238">
        <v>0</v>
      </c>
      <c r="V238">
        <v>0</v>
      </c>
      <c r="W238">
        <v>0</v>
      </c>
      <c r="X238" s="13">
        <v>24.125</v>
      </c>
      <c r="Y238" s="10" t="s">
        <v>901</v>
      </c>
      <c r="Z238" s="10" t="s">
        <v>941</v>
      </c>
      <c r="AA238" s="10">
        <v>0.1</v>
      </c>
      <c r="AB238" s="10">
        <v>1</v>
      </c>
      <c r="AC238" s="10"/>
    </row>
    <row r="239" spans="1:29" hidden="1" x14ac:dyDescent="0.25">
      <c r="A239" s="10" t="s">
        <v>403</v>
      </c>
      <c r="B239" s="10" t="s">
        <v>971</v>
      </c>
      <c r="C239" s="10" t="s">
        <v>972</v>
      </c>
      <c r="D239" s="10"/>
      <c r="E239" s="10" t="s">
        <v>285</v>
      </c>
      <c r="F239" s="10" t="s">
        <v>919</v>
      </c>
      <c r="G239" s="10" t="s">
        <v>973</v>
      </c>
      <c r="H239" s="12">
        <v>1228.7</v>
      </c>
      <c r="I239">
        <v>1</v>
      </c>
      <c r="J239" s="12">
        <v>1228.7</v>
      </c>
      <c r="K239" s="10" t="s">
        <v>284</v>
      </c>
      <c r="L239" s="2">
        <v>45847.875</v>
      </c>
      <c r="M239" s="10"/>
      <c r="N239">
        <v>0</v>
      </c>
      <c r="O239" s="10"/>
      <c r="P239">
        <v>0</v>
      </c>
      <c r="Q239">
        <v>0</v>
      </c>
      <c r="R239">
        <v>0</v>
      </c>
      <c r="S239">
        <v>0</v>
      </c>
      <c r="T239">
        <v>0</v>
      </c>
      <c r="U239">
        <v>0</v>
      </c>
      <c r="V239">
        <v>0</v>
      </c>
      <c r="W239">
        <v>0</v>
      </c>
      <c r="X239" s="13">
        <v>15.125</v>
      </c>
      <c r="Y239" s="10" t="s">
        <v>901</v>
      </c>
      <c r="Z239" s="10" t="s">
        <v>941</v>
      </c>
      <c r="AA239" s="10">
        <v>0.1</v>
      </c>
      <c r="AB239" s="10">
        <v>0.5</v>
      </c>
      <c r="AC239" s="10"/>
    </row>
    <row r="240" spans="1:29" hidden="1" x14ac:dyDescent="0.25">
      <c r="A240" s="10" t="s">
        <v>403</v>
      </c>
      <c r="B240" s="10" t="s">
        <v>971</v>
      </c>
      <c r="C240" s="10" t="s">
        <v>974</v>
      </c>
      <c r="D240" s="10"/>
      <c r="E240" s="10" t="s">
        <v>285</v>
      </c>
      <c r="F240" s="10" t="s">
        <v>923</v>
      </c>
      <c r="G240" s="10" t="s">
        <v>975</v>
      </c>
      <c r="H240" s="12">
        <v>2580.63</v>
      </c>
      <c r="I240">
        <v>1</v>
      </c>
      <c r="J240" s="12">
        <v>2580.63</v>
      </c>
      <c r="K240" s="10" t="s">
        <v>284</v>
      </c>
      <c r="L240" s="2">
        <v>45847.875</v>
      </c>
      <c r="M240" s="10"/>
      <c r="N240">
        <v>0</v>
      </c>
      <c r="O240" s="10"/>
      <c r="P240">
        <v>0</v>
      </c>
      <c r="Q240">
        <v>0</v>
      </c>
      <c r="R240">
        <v>0</v>
      </c>
      <c r="S240">
        <v>0</v>
      </c>
      <c r="T240">
        <v>0</v>
      </c>
      <c r="U240">
        <v>0</v>
      </c>
      <c r="V240">
        <v>0</v>
      </c>
      <c r="W240">
        <v>0</v>
      </c>
      <c r="X240" s="13">
        <v>15.125</v>
      </c>
      <c r="Y240" s="10" t="s">
        <v>901</v>
      </c>
      <c r="Z240" s="10" t="s">
        <v>941</v>
      </c>
      <c r="AA240" s="10">
        <v>0.1</v>
      </c>
      <c r="AB240" s="10">
        <v>0.5</v>
      </c>
      <c r="AC240" s="10"/>
    </row>
    <row r="241" spans="1:29" hidden="1" x14ac:dyDescent="0.25">
      <c r="A241" s="10" t="s">
        <v>421</v>
      </c>
      <c r="B241" s="10"/>
      <c r="C241" s="10"/>
      <c r="D241" s="10"/>
      <c r="E241" s="10" t="s">
        <v>285</v>
      </c>
      <c r="F241" s="10" t="s">
        <v>924</v>
      </c>
      <c r="G241" s="10" t="s">
        <v>976</v>
      </c>
      <c r="H241" s="12">
        <v>366.3</v>
      </c>
      <c r="I241">
        <v>1</v>
      </c>
      <c r="J241" s="12">
        <v>366.3</v>
      </c>
      <c r="K241" s="10" t="s">
        <v>284</v>
      </c>
      <c r="L241" s="2">
        <v>45847.875</v>
      </c>
      <c r="M241" s="10"/>
      <c r="N241">
        <v>0</v>
      </c>
      <c r="O241" s="10"/>
      <c r="P241">
        <v>0</v>
      </c>
      <c r="Q241">
        <v>0</v>
      </c>
      <c r="R241">
        <v>0</v>
      </c>
      <c r="S241">
        <v>0</v>
      </c>
      <c r="T241">
        <v>0</v>
      </c>
      <c r="U241">
        <v>0</v>
      </c>
      <c r="V241">
        <v>0</v>
      </c>
      <c r="W241">
        <v>0</v>
      </c>
      <c r="X241" s="13">
        <v>15.125</v>
      </c>
      <c r="Y241" s="10" t="s">
        <v>901</v>
      </c>
      <c r="Z241" s="10" t="s">
        <v>941</v>
      </c>
      <c r="AA241" s="10">
        <v>0.25</v>
      </c>
      <c r="AB241" s="10">
        <v>1</v>
      </c>
      <c r="AC241" s="10"/>
    </row>
    <row r="242" spans="1:29" hidden="1" x14ac:dyDescent="0.25">
      <c r="A242" s="10" t="s">
        <v>620</v>
      </c>
      <c r="B242" s="10"/>
      <c r="C242" s="10"/>
      <c r="D242" s="10"/>
      <c r="E242" s="10" t="s">
        <v>503</v>
      </c>
      <c r="F242" s="10" t="s">
        <v>931</v>
      </c>
      <c r="G242" s="10" t="s">
        <v>977</v>
      </c>
      <c r="H242" s="12">
        <v>904.97</v>
      </c>
      <c r="I242">
        <v>1</v>
      </c>
      <c r="J242" s="12">
        <v>904.97</v>
      </c>
      <c r="K242" s="10" t="s">
        <v>284</v>
      </c>
      <c r="L242" s="2">
        <v>45847.875</v>
      </c>
      <c r="M242" s="10"/>
      <c r="N242">
        <v>0</v>
      </c>
      <c r="O242" s="10"/>
      <c r="P242">
        <v>0</v>
      </c>
      <c r="Q242">
        <v>0</v>
      </c>
      <c r="R242">
        <v>0</v>
      </c>
      <c r="S242">
        <v>0</v>
      </c>
      <c r="T242">
        <v>0</v>
      </c>
      <c r="U242">
        <v>0</v>
      </c>
      <c r="V242">
        <v>0</v>
      </c>
      <c r="W242">
        <v>0</v>
      </c>
      <c r="X242" s="13">
        <v>15.125</v>
      </c>
      <c r="Y242" s="10" t="s">
        <v>901</v>
      </c>
      <c r="Z242" s="10" t="s">
        <v>941</v>
      </c>
      <c r="AA242" s="10">
        <v>8</v>
      </c>
      <c r="AB242" s="10">
        <v>8</v>
      </c>
      <c r="AC242" s="10"/>
    </row>
    <row r="243" spans="1:29" hidden="1" x14ac:dyDescent="0.25">
      <c r="A243" s="10" t="s">
        <v>620</v>
      </c>
      <c r="B243" s="10"/>
      <c r="C243" s="10"/>
      <c r="D243" s="10"/>
      <c r="E243" s="10" t="s">
        <v>503</v>
      </c>
      <c r="F243" s="10" t="s">
        <v>936</v>
      </c>
      <c r="G243" s="10" t="s">
        <v>935</v>
      </c>
      <c r="H243" s="12">
        <v>3562.19</v>
      </c>
      <c r="I243">
        <v>1</v>
      </c>
      <c r="J243" s="12">
        <v>3562.19</v>
      </c>
      <c r="K243" s="10" t="s">
        <v>284</v>
      </c>
      <c r="L243" s="2">
        <v>45847.875</v>
      </c>
      <c r="M243" s="10"/>
      <c r="N243">
        <v>0</v>
      </c>
      <c r="O243" s="10"/>
      <c r="P243">
        <v>0</v>
      </c>
      <c r="Q243">
        <v>0</v>
      </c>
      <c r="R243">
        <v>0</v>
      </c>
      <c r="S243">
        <v>0</v>
      </c>
      <c r="T243">
        <v>0</v>
      </c>
      <c r="U243">
        <v>0</v>
      </c>
      <c r="V243">
        <v>0</v>
      </c>
      <c r="W243">
        <v>0</v>
      </c>
      <c r="X243" s="13">
        <v>14.125</v>
      </c>
      <c r="Y243" s="10" t="s">
        <v>901</v>
      </c>
      <c r="Z243" s="10" t="s">
        <v>941</v>
      </c>
      <c r="AA243" s="10">
        <v>0.2</v>
      </c>
      <c r="AB243" s="10"/>
      <c r="AC243" s="10"/>
    </row>
    <row r="244" spans="1:29" hidden="1" x14ac:dyDescent="0.25">
      <c r="A244" s="10" t="s">
        <v>620</v>
      </c>
      <c r="B244" s="10"/>
      <c r="C244" s="10"/>
      <c r="D244" s="10"/>
      <c r="E244" s="10" t="s">
        <v>503</v>
      </c>
      <c r="F244" s="10" t="s">
        <v>978</v>
      </c>
      <c r="G244" s="10" t="s">
        <v>1030</v>
      </c>
      <c r="H244" s="12">
        <v>2069.61</v>
      </c>
      <c r="I244">
        <v>1</v>
      </c>
      <c r="J244" s="12">
        <v>2069.61</v>
      </c>
      <c r="K244" s="10" t="s">
        <v>284</v>
      </c>
      <c r="L244" s="2">
        <v>45852</v>
      </c>
      <c r="M244" s="10"/>
      <c r="O244" s="10"/>
      <c r="X244" s="13">
        <v>10</v>
      </c>
      <c r="Y244" s="10" t="s">
        <v>901</v>
      </c>
      <c r="Z244" s="10" t="s">
        <v>941</v>
      </c>
      <c r="AA244" s="10">
        <v>0.1</v>
      </c>
      <c r="AB244" s="10"/>
      <c r="AC244" s="10"/>
    </row>
    <row r="245" spans="1:29" hidden="1" x14ac:dyDescent="0.25">
      <c r="A245" s="10" t="s">
        <v>1031</v>
      </c>
      <c r="B245" s="10" t="s">
        <v>1032</v>
      </c>
      <c r="C245" s="10"/>
      <c r="D245" s="10"/>
      <c r="E245" s="10"/>
      <c r="F245" s="10" t="s">
        <v>1033</v>
      </c>
      <c r="G245" s="10" t="s">
        <v>1034</v>
      </c>
      <c r="H245" s="12">
        <v>17462.52</v>
      </c>
      <c r="I245">
        <v>1.05</v>
      </c>
      <c r="J245" s="12">
        <v>18335.646000000001</v>
      </c>
      <c r="K245" s="10" t="s">
        <v>1035</v>
      </c>
      <c r="L245" s="2">
        <v>45699</v>
      </c>
      <c r="M245" s="10"/>
      <c r="O245" s="10"/>
      <c r="X245" s="13">
        <v>157</v>
      </c>
      <c r="Y245" s="10" t="s">
        <v>901</v>
      </c>
      <c r="Z245" s="10" t="s">
        <v>941</v>
      </c>
      <c r="AA245" s="10"/>
      <c r="AB245" s="10"/>
      <c r="AC245" s="10"/>
    </row>
    <row r="246" spans="1:29" hidden="1" x14ac:dyDescent="0.25">
      <c r="A246" s="10" t="s">
        <v>830</v>
      </c>
      <c r="B246" s="10" t="s">
        <v>829</v>
      </c>
      <c r="C246" s="10"/>
      <c r="D246" s="10"/>
      <c r="E246" s="10" t="s">
        <v>1036</v>
      </c>
      <c r="F246" s="10" t="s">
        <v>1037</v>
      </c>
      <c r="G246" s="10" t="s">
        <v>1038</v>
      </c>
      <c r="H246" s="12">
        <v>1911</v>
      </c>
      <c r="I246">
        <v>1.05</v>
      </c>
      <c r="J246" s="12">
        <v>2006.55</v>
      </c>
      <c r="K246" s="10" t="s">
        <v>1039</v>
      </c>
      <c r="L246" s="2">
        <v>45610</v>
      </c>
      <c r="M246" s="10"/>
      <c r="O246" s="10"/>
      <c r="X246" s="13">
        <v>253</v>
      </c>
      <c r="Y246" s="10" t="s">
        <v>901</v>
      </c>
      <c r="Z246" s="10" t="s">
        <v>941</v>
      </c>
      <c r="AA246" s="10">
        <v>1</v>
      </c>
      <c r="AB246" s="10">
        <v>2</v>
      </c>
      <c r="AC246" s="10"/>
    </row>
    <row r="247" spans="1:29" hidden="1" x14ac:dyDescent="0.25">
      <c r="A247" s="10" t="s">
        <v>37</v>
      </c>
      <c r="B247" s="10"/>
      <c r="C247" s="10"/>
      <c r="D247" s="10"/>
      <c r="E247" s="10" t="s">
        <v>825</v>
      </c>
      <c r="F247" s="10" t="s">
        <v>1491</v>
      </c>
      <c r="G247" s="10" t="s">
        <v>1040</v>
      </c>
      <c r="H247" s="12">
        <v>332</v>
      </c>
      <c r="I247">
        <v>1.05</v>
      </c>
      <c r="J247" s="12">
        <v>348.6</v>
      </c>
      <c r="K247" s="10" t="s">
        <v>828</v>
      </c>
      <c r="L247" s="2">
        <v>45706</v>
      </c>
      <c r="M247" s="10"/>
      <c r="O247" s="10"/>
      <c r="X247" s="13">
        <v>160</v>
      </c>
      <c r="Y247" s="10" t="s">
        <v>901</v>
      </c>
      <c r="Z247" s="10" t="s">
        <v>941</v>
      </c>
      <c r="AA247" s="10">
        <v>0.2</v>
      </c>
      <c r="AB247" s="10">
        <v>1</v>
      </c>
      <c r="AC247" s="10"/>
    </row>
    <row r="248" spans="1:29" hidden="1" x14ac:dyDescent="0.25">
      <c r="A248" s="10" t="s">
        <v>830</v>
      </c>
      <c r="B248" s="10"/>
      <c r="C248" s="10"/>
      <c r="D248" s="10"/>
      <c r="E248" s="10" t="s">
        <v>38</v>
      </c>
      <c r="F248" s="10" t="s">
        <v>1041</v>
      </c>
      <c r="G248" s="10" t="s">
        <v>1042</v>
      </c>
      <c r="H248" s="12">
        <v>3500</v>
      </c>
      <c r="I248">
        <v>1</v>
      </c>
      <c r="J248" s="12">
        <v>3500</v>
      </c>
      <c r="K248" s="10"/>
      <c r="L248" s="2"/>
      <c r="M248" s="10"/>
      <c r="O248" s="10"/>
      <c r="X248" s="13">
        <v>45863</v>
      </c>
      <c r="Y248" s="10" t="s">
        <v>901</v>
      </c>
      <c r="Z248" s="10" t="s">
        <v>941</v>
      </c>
      <c r="AA248" s="10">
        <v>1</v>
      </c>
      <c r="AB248" s="10">
        <v>1</v>
      </c>
      <c r="AC248" s="10"/>
    </row>
    <row r="249" spans="1:29" hidden="1" x14ac:dyDescent="0.25">
      <c r="A249" s="10" t="s">
        <v>37</v>
      </c>
      <c r="B249" s="10"/>
      <c r="C249" s="10"/>
      <c r="D249" s="10"/>
      <c r="E249" s="10" t="s">
        <v>825</v>
      </c>
      <c r="F249" s="10" t="s">
        <v>981</v>
      </c>
      <c r="G249" s="10" t="s">
        <v>1043</v>
      </c>
      <c r="H249" s="12">
        <v>1031</v>
      </c>
      <c r="I249">
        <v>1.05</v>
      </c>
      <c r="J249" s="12">
        <v>1082.55</v>
      </c>
      <c r="K249" s="10" t="s">
        <v>828</v>
      </c>
      <c r="L249" s="2">
        <v>45616</v>
      </c>
      <c r="M249" s="10"/>
      <c r="O249" s="10"/>
      <c r="X249" s="13">
        <v>247</v>
      </c>
      <c r="Y249" s="10" t="s">
        <v>901</v>
      </c>
      <c r="Z249" s="10" t="s">
        <v>941</v>
      </c>
      <c r="AA249" s="10">
        <v>0.5</v>
      </c>
      <c r="AB249" s="10">
        <v>2</v>
      </c>
      <c r="AC249" s="10"/>
    </row>
    <row r="250" spans="1:29" hidden="1" x14ac:dyDescent="0.25">
      <c r="A250" s="10" t="s">
        <v>620</v>
      </c>
      <c r="B250" s="10"/>
      <c r="C250" s="10"/>
      <c r="D250" s="10"/>
      <c r="E250" s="10" t="s">
        <v>503</v>
      </c>
      <c r="F250" s="10" t="s">
        <v>989</v>
      </c>
      <c r="G250" s="10" t="s">
        <v>1044</v>
      </c>
      <c r="H250" s="12">
        <v>280.58</v>
      </c>
      <c r="I250">
        <v>1</v>
      </c>
      <c r="J250" s="12">
        <v>280.58</v>
      </c>
      <c r="K250" s="10" t="s">
        <v>284</v>
      </c>
      <c r="L250" s="2">
        <v>45853</v>
      </c>
      <c r="M250" s="10"/>
      <c r="O250" s="10"/>
      <c r="X250" s="13">
        <v>10</v>
      </c>
      <c r="Y250" s="10" t="s">
        <v>901</v>
      </c>
      <c r="Z250" s="10" t="s">
        <v>941</v>
      </c>
      <c r="AA250" s="10">
        <v>8</v>
      </c>
      <c r="AB250" s="10">
        <v>12</v>
      </c>
      <c r="AC250" s="10"/>
    </row>
    <row r="251" spans="1:29" hidden="1" x14ac:dyDescent="0.25">
      <c r="A251" s="10" t="s">
        <v>620</v>
      </c>
      <c r="B251" s="10"/>
      <c r="C251" s="10"/>
      <c r="D251" s="10"/>
      <c r="E251" s="10" t="s">
        <v>503</v>
      </c>
      <c r="F251" s="10" t="s">
        <v>990</v>
      </c>
      <c r="G251" s="10" t="s">
        <v>1045</v>
      </c>
      <c r="H251" s="12">
        <v>775.93</v>
      </c>
      <c r="I251">
        <v>1</v>
      </c>
      <c r="J251" s="12">
        <v>775.93</v>
      </c>
      <c r="K251" s="10" t="s">
        <v>284</v>
      </c>
      <c r="L251" s="2">
        <v>45853</v>
      </c>
      <c r="M251" s="10"/>
      <c r="O251" s="10"/>
      <c r="X251" s="13">
        <v>8</v>
      </c>
      <c r="Y251" s="10" t="s">
        <v>901</v>
      </c>
      <c r="Z251" s="10" t="s">
        <v>941</v>
      </c>
      <c r="AA251" s="10"/>
      <c r="AB251" s="10">
        <v>0.5</v>
      </c>
      <c r="AC251" s="10"/>
    </row>
    <row r="252" spans="1:29" hidden="1" x14ac:dyDescent="0.25">
      <c r="A252" s="10" t="s">
        <v>620</v>
      </c>
      <c r="B252" s="10"/>
      <c r="C252" s="10"/>
      <c r="D252" s="10"/>
      <c r="E252" s="10" t="s">
        <v>503</v>
      </c>
      <c r="F252" s="10" t="s">
        <v>991</v>
      </c>
      <c r="G252" s="10" t="s">
        <v>1046</v>
      </c>
      <c r="H252" s="12">
        <v>131.51</v>
      </c>
      <c r="I252">
        <v>1</v>
      </c>
      <c r="J252" s="12">
        <v>131.51</v>
      </c>
      <c r="K252" s="10" t="s">
        <v>284</v>
      </c>
      <c r="L252" s="2">
        <v>45853</v>
      </c>
      <c r="M252" s="10"/>
      <c r="O252" s="10"/>
      <c r="X252" s="13">
        <v>9</v>
      </c>
      <c r="Y252" s="10" t="s">
        <v>901</v>
      </c>
      <c r="Z252" s="10" t="s">
        <v>941</v>
      </c>
      <c r="AA252" s="10"/>
      <c r="AB252" s="10">
        <v>0.25</v>
      </c>
      <c r="AC252" s="10"/>
    </row>
    <row r="253" spans="1:29" hidden="1" x14ac:dyDescent="0.25">
      <c r="A253" s="10" t="s">
        <v>178</v>
      </c>
      <c r="B253" s="10" t="s">
        <v>1047</v>
      </c>
      <c r="C253" s="10" t="s">
        <v>950</v>
      </c>
      <c r="D253" s="10"/>
      <c r="E253" s="10" t="s">
        <v>285</v>
      </c>
      <c r="F253" s="10" t="s">
        <v>921</v>
      </c>
      <c r="G253" s="10" t="s">
        <v>1048</v>
      </c>
      <c r="H253" s="12">
        <v>1822.05</v>
      </c>
      <c r="I253">
        <v>1</v>
      </c>
      <c r="J253" s="12">
        <v>1822.05</v>
      </c>
      <c r="K253" s="10" t="s">
        <v>284</v>
      </c>
      <c r="L253" s="2">
        <v>45853</v>
      </c>
      <c r="M253" s="10"/>
      <c r="O253" s="10"/>
      <c r="X253" s="13">
        <v>10</v>
      </c>
      <c r="Y253" s="10" t="s">
        <v>901</v>
      </c>
      <c r="Z253" s="10" t="s">
        <v>941</v>
      </c>
      <c r="AA253" s="10"/>
      <c r="AB253" s="10">
        <v>0.5</v>
      </c>
      <c r="AC253" s="10"/>
    </row>
    <row r="254" spans="1:29" hidden="1" x14ac:dyDescent="0.25">
      <c r="A254" s="10" t="s">
        <v>178</v>
      </c>
      <c r="B254" s="10" t="s">
        <v>1047</v>
      </c>
      <c r="C254" s="10" t="s">
        <v>947</v>
      </c>
      <c r="D254" s="10"/>
      <c r="E254" s="10" t="s">
        <v>285</v>
      </c>
      <c r="F254" s="10" t="s">
        <v>917</v>
      </c>
      <c r="G254" s="10" t="s">
        <v>1463</v>
      </c>
      <c r="H254" s="12">
        <v>1563.75</v>
      </c>
      <c r="I254">
        <v>1</v>
      </c>
      <c r="J254" s="12">
        <v>1563.75</v>
      </c>
      <c r="K254" s="10" t="s">
        <v>284</v>
      </c>
      <c r="L254" s="2">
        <v>45853</v>
      </c>
      <c r="M254" s="10"/>
      <c r="O254" s="10"/>
      <c r="X254" s="13">
        <v>10</v>
      </c>
      <c r="Y254" s="10" t="s">
        <v>901</v>
      </c>
      <c r="Z254" s="10" t="s">
        <v>941</v>
      </c>
      <c r="AA254" s="10">
        <v>0.25</v>
      </c>
      <c r="AB254" s="10">
        <v>0.75</v>
      </c>
      <c r="AC254" s="10"/>
    </row>
    <row r="255" spans="1:29" hidden="1" x14ac:dyDescent="0.25">
      <c r="A255" s="10" t="s">
        <v>992</v>
      </c>
      <c r="B255" s="10"/>
      <c r="C255" s="10"/>
      <c r="D255" s="10" t="s">
        <v>1049</v>
      </c>
      <c r="E255" s="10" t="s">
        <v>1050</v>
      </c>
      <c r="F255" s="10" t="s">
        <v>994</v>
      </c>
      <c r="G255" s="10" t="s">
        <v>1051</v>
      </c>
      <c r="H255" s="12">
        <v>9.3000000000000007</v>
      </c>
      <c r="I255">
        <v>1.1000000000000001</v>
      </c>
      <c r="J255" s="12">
        <v>10.23</v>
      </c>
      <c r="K255" s="10"/>
      <c r="L255" s="2">
        <v>45140</v>
      </c>
      <c r="M255" s="10"/>
      <c r="O255" s="10"/>
      <c r="X255" s="13">
        <v>713</v>
      </c>
      <c r="Y255" s="10" t="s">
        <v>901</v>
      </c>
      <c r="Z255" s="10" t="s">
        <v>941</v>
      </c>
      <c r="AA255" s="10"/>
      <c r="AB255" s="10"/>
      <c r="AC255" s="10"/>
    </row>
    <row r="256" spans="1:29" hidden="1" x14ac:dyDescent="0.25">
      <c r="A256" s="10" t="s">
        <v>992</v>
      </c>
      <c r="B256" s="10"/>
      <c r="C256" s="10"/>
      <c r="D256" s="10" t="s">
        <v>1052</v>
      </c>
      <c r="E256" s="10" t="s">
        <v>1050</v>
      </c>
      <c r="F256" s="10" t="s">
        <v>996</v>
      </c>
      <c r="G256" s="10" t="s">
        <v>1053</v>
      </c>
      <c r="H256" s="12">
        <v>241.01</v>
      </c>
      <c r="I256">
        <v>1.1000000000000001</v>
      </c>
      <c r="J256" s="12">
        <v>265.11099999999999</v>
      </c>
      <c r="K256" s="10"/>
      <c r="L256" s="2">
        <v>45334</v>
      </c>
      <c r="M256" s="10"/>
      <c r="O256" s="10"/>
      <c r="X256" s="13">
        <v>519</v>
      </c>
      <c r="Y256" s="10" t="s">
        <v>901</v>
      </c>
      <c r="Z256" s="10" t="s">
        <v>941</v>
      </c>
      <c r="AA256" s="10"/>
      <c r="AB256" s="10"/>
      <c r="AC256" s="10"/>
    </row>
    <row r="257" spans="1:29" hidden="1" x14ac:dyDescent="0.25">
      <c r="A257" s="10" t="s">
        <v>1054</v>
      </c>
      <c r="B257" s="10"/>
      <c r="C257" s="10"/>
      <c r="D257" s="10"/>
      <c r="E257" s="10" t="s">
        <v>1055</v>
      </c>
      <c r="F257" s="10" t="s">
        <v>997</v>
      </c>
      <c r="G257" s="10" t="s">
        <v>1056</v>
      </c>
      <c r="H257" s="12">
        <v>38</v>
      </c>
      <c r="I257">
        <v>1</v>
      </c>
      <c r="J257" s="12">
        <v>38</v>
      </c>
      <c r="K257" s="10" t="s">
        <v>1055</v>
      </c>
      <c r="L257" s="2">
        <v>45853</v>
      </c>
      <c r="M257" s="10"/>
      <c r="O257" s="10"/>
      <c r="X257" s="13">
        <v>0</v>
      </c>
      <c r="Y257" s="10" t="s">
        <v>901</v>
      </c>
      <c r="Z257" s="10" t="s">
        <v>941</v>
      </c>
      <c r="AA257" s="10"/>
      <c r="AB257" s="10"/>
      <c r="AC257" s="10"/>
    </row>
    <row r="258" spans="1:29" hidden="1" x14ac:dyDescent="0.25">
      <c r="A258" s="10" t="s">
        <v>1057</v>
      </c>
      <c r="B258" s="10"/>
      <c r="C258" s="10"/>
      <c r="D258" s="10"/>
      <c r="E258" s="10"/>
      <c r="F258" s="10" t="s">
        <v>1058</v>
      </c>
      <c r="G258" s="10"/>
      <c r="H258" s="12">
        <v>145</v>
      </c>
      <c r="I258">
        <v>1</v>
      </c>
      <c r="J258" s="12">
        <v>145</v>
      </c>
      <c r="K258" s="10"/>
      <c r="L258" s="2">
        <v>45853</v>
      </c>
      <c r="M258" s="10"/>
      <c r="O258" s="10"/>
      <c r="X258" s="13">
        <v>1</v>
      </c>
      <c r="Y258" s="10" t="s">
        <v>901</v>
      </c>
      <c r="Z258" s="10" t="s">
        <v>941</v>
      </c>
      <c r="AA258" s="10"/>
      <c r="AB258" s="10"/>
      <c r="AC258" s="10"/>
    </row>
    <row r="259" spans="1:29" hidden="1" x14ac:dyDescent="0.25">
      <c r="A259" s="10" t="s">
        <v>1057</v>
      </c>
      <c r="B259" s="10"/>
      <c r="C259" s="10"/>
      <c r="D259" s="10"/>
      <c r="E259" s="10"/>
      <c r="F259" s="10" t="s">
        <v>1059</v>
      </c>
      <c r="G259" s="10"/>
      <c r="H259" s="12">
        <v>125</v>
      </c>
      <c r="I259">
        <v>1</v>
      </c>
      <c r="J259" s="12">
        <v>125</v>
      </c>
      <c r="K259" s="10"/>
      <c r="L259" s="2">
        <v>45853</v>
      </c>
      <c r="M259" s="10"/>
      <c r="O259" s="10"/>
      <c r="X259" s="13">
        <v>1</v>
      </c>
      <c r="Y259" s="10" t="s">
        <v>901</v>
      </c>
      <c r="Z259" s="10" t="s">
        <v>941</v>
      </c>
      <c r="AA259" s="10"/>
      <c r="AB259" s="10"/>
      <c r="AC259" s="10"/>
    </row>
    <row r="260" spans="1:29" hidden="1" x14ac:dyDescent="0.25">
      <c r="A260" s="10" t="s">
        <v>1057</v>
      </c>
      <c r="B260" s="10"/>
      <c r="C260" s="10"/>
      <c r="D260" s="10"/>
      <c r="E260" s="10"/>
      <c r="F260" s="10" t="s">
        <v>1060</v>
      </c>
      <c r="G260" s="10"/>
      <c r="H260" s="12">
        <v>125</v>
      </c>
      <c r="I260">
        <v>1</v>
      </c>
      <c r="J260" s="12">
        <v>125</v>
      </c>
      <c r="K260" s="10"/>
      <c r="L260" s="2">
        <v>45853</v>
      </c>
      <c r="M260" s="10"/>
      <c r="O260" s="10"/>
      <c r="X260" s="13">
        <v>1</v>
      </c>
      <c r="Y260" s="10" t="s">
        <v>901</v>
      </c>
      <c r="Z260" s="10" t="s">
        <v>941</v>
      </c>
      <c r="AA260" s="10"/>
      <c r="AB260" s="10"/>
      <c r="AC260" s="10"/>
    </row>
    <row r="261" spans="1:29" hidden="1" x14ac:dyDescent="0.25">
      <c r="A261" s="10" t="s">
        <v>1057</v>
      </c>
      <c r="B261" s="10"/>
      <c r="C261" s="10"/>
      <c r="D261" s="10"/>
      <c r="E261" s="10"/>
      <c r="F261" s="10" t="s">
        <v>1061</v>
      </c>
      <c r="G261" s="10"/>
      <c r="H261" s="12">
        <v>125</v>
      </c>
      <c r="I261">
        <v>1</v>
      </c>
      <c r="J261" s="12">
        <v>125</v>
      </c>
      <c r="K261" s="10"/>
      <c r="L261" s="2">
        <v>45853</v>
      </c>
      <c r="M261" s="10"/>
      <c r="O261" s="10"/>
      <c r="X261" s="13">
        <v>1</v>
      </c>
      <c r="Y261" s="10" t="s">
        <v>901</v>
      </c>
      <c r="Z261" s="10" t="s">
        <v>941</v>
      </c>
      <c r="AA261" s="10"/>
      <c r="AB261" s="10"/>
      <c r="AC261" s="10"/>
    </row>
    <row r="262" spans="1:29" hidden="1" x14ac:dyDescent="0.25">
      <c r="A262" s="10" t="s">
        <v>1031</v>
      </c>
      <c r="B262" s="10"/>
      <c r="C262" s="10"/>
      <c r="D262" s="10"/>
      <c r="E262" s="10" t="s">
        <v>1062</v>
      </c>
      <c r="F262" s="10" t="s">
        <v>1063</v>
      </c>
      <c r="G262" s="10" t="s">
        <v>1064</v>
      </c>
      <c r="H262" s="12">
        <v>6200</v>
      </c>
      <c r="I262">
        <v>1</v>
      </c>
      <c r="J262" s="12">
        <v>6200</v>
      </c>
      <c r="K262" s="10" t="s">
        <v>30</v>
      </c>
      <c r="L262" s="2">
        <v>45810</v>
      </c>
      <c r="M262" s="10"/>
      <c r="O262" s="10"/>
      <c r="X262" s="13">
        <v>44</v>
      </c>
      <c r="Y262" s="10" t="s">
        <v>901</v>
      </c>
      <c r="Z262" s="10" t="s">
        <v>941</v>
      </c>
      <c r="AA262" s="10"/>
      <c r="AB262" s="10"/>
      <c r="AC262" s="10"/>
    </row>
    <row r="263" spans="1:29" hidden="1" x14ac:dyDescent="0.25">
      <c r="A263" s="10" t="s">
        <v>29</v>
      </c>
      <c r="B263" s="10" t="s">
        <v>1065</v>
      </c>
      <c r="C263" s="10"/>
      <c r="D263" s="10" t="s">
        <v>35</v>
      </c>
      <c r="E263" s="10" t="s">
        <v>285</v>
      </c>
      <c r="F263" s="10" t="s">
        <v>982</v>
      </c>
      <c r="G263" s="10" t="s">
        <v>1066</v>
      </c>
      <c r="H263" s="12">
        <v>696.53</v>
      </c>
      <c r="I263">
        <v>1</v>
      </c>
      <c r="J263" s="12">
        <v>696.53</v>
      </c>
      <c r="K263" s="10" t="s">
        <v>284</v>
      </c>
      <c r="L263" s="2">
        <v>45854</v>
      </c>
      <c r="M263" s="10"/>
      <c r="O263" s="10"/>
      <c r="X263" s="13">
        <v>7</v>
      </c>
      <c r="Y263" s="10" t="s">
        <v>901</v>
      </c>
      <c r="Z263" s="10" t="s">
        <v>941</v>
      </c>
      <c r="AA263" s="10">
        <v>1</v>
      </c>
      <c r="AB263" s="10">
        <v>0.5</v>
      </c>
      <c r="AC263" s="10"/>
    </row>
    <row r="264" spans="1:29" hidden="1" x14ac:dyDescent="0.25">
      <c r="A264" s="10" t="s">
        <v>29</v>
      </c>
      <c r="B264" s="10" t="s">
        <v>1065</v>
      </c>
      <c r="C264" s="10"/>
      <c r="D264" s="10" t="s">
        <v>1067</v>
      </c>
      <c r="E264" s="10" t="s">
        <v>285</v>
      </c>
      <c r="F264" s="10" t="s">
        <v>1003</v>
      </c>
      <c r="G264" s="10" t="s">
        <v>1068</v>
      </c>
      <c r="H264" s="12">
        <v>983.44</v>
      </c>
      <c r="I264">
        <v>1</v>
      </c>
      <c r="J264" s="12">
        <v>983.44</v>
      </c>
      <c r="K264" s="10" t="s">
        <v>284</v>
      </c>
      <c r="L264" s="2">
        <v>45854</v>
      </c>
      <c r="M264" s="10"/>
      <c r="O264" s="10"/>
      <c r="X264" s="13">
        <v>7</v>
      </c>
      <c r="Y264" s="10" t="s">
        <v>901</v>
      </c>
      <c r="Z264" s="10" t="s">
        <v>941</v>
      </c>
      <c r="AA264" s="10">
        <v>1</v>
      </c>
      <c r="AB264" s="10">
        <v>0.5</v>
      </c>
      <c r="AC264" s="10"/>
    </row>
    <row r="265" spans="1:29" hidden="1" x14ac:dyDescent="0.25">
      <c r="A265" s="10" t="s">
        <v>29</v>
      </c>
      <c r="B265" s="10" t="s">
        <v>1065</v>
      </c>
      <c r="C265" s="10"/>
      <c r="D265" s="10" t="s">
        <v>1069</v>
      </c>
      <c r="E265" s="10" t="s">
        <v>285</v>
      </c>
      <c r="F265" s="10" t="s">
        <v>1004</v>
      </c>
      <c r="G265" s="10" t="s">
        <v>1070</v>
      </c>
      <c r="H265" s="12">
        <v>572.01</v>
      </c>
      <c r="I265">
        <v>1</v>
      </c>
      <c r="J265" s="12">
        <v>572.01</v>
      </c>
      <c r="K265" s="10" t="s">
        <v>284</v>
      </c>
      <c r="L265" s="2">
        <v>45854</v>
      </c>
      <c r="M265" s="10"/>
      <c r="O265" s="10"/>
      <c r="X265" s="13">
        <v>7</v>
      </c>
      <c r="Y265" s="10" t="s">
        <v>901</v>
      </c>
      <c r="Z265" s="10" t="s">
        <v>941</v>
      </c>
      <c r="AA265" s="10">
        <v>1</v>
      </c>
      <c r="AB265" s="10">
        <v>0.5</v>
      </c>
      <c r="AC265" s="10"/>
    </row>
    <row r="266" spans="1:29" hidden="1" x14ac:dyDescent="0.25">
      <c r="A266" s="10" t="s">
        <v>29</v>
      </c>
      <c r="B266" s="10" t="s">
        <v>1065</v>
      </c>
      <c r="C266" s="10"/>
      <c r="D266" s="10" t="s">
        <v>31</v>
      </c>
      <c r="E266" s="10" t="s">
        <v>285</v>
      </c>
      <c r="F266" s="10" t="s">
        <v>986</v>
      </c>
      <c r="G266" s="10" t="s">
        <v>1071</v>
      </c>
      <c r="H266" s="12">
        <v>3240.2</v>
      </c>
      <c r="I266">
        <v>1</v>
      </c>
      <c r="J266" s="12">
        <v>3240.2</v>
      </c>
      <c r="K266" s="10" t="s">
        <v>284</v>
      </c>
      <c r="L266" s="2">
        <v>45854</v>
      </c>
      <c r="M266" s="10"/>
      <c r="O266" s="10"/>
      <c r="X266" s="13">
        <v>7</v>
      </c>
      <c r="Y266" s="10" t="s">
        <v>901</v>
      </c>
      <c r="Z266" s="10" t="s">
        <v>941</v>
      </c>
      <c r="AA266" s="10"/>
      <c r="AB266" s="10">
        <v>0.5</v>
      </c>
      <c r="AC266" s="10"/>
    </row>
    <row r="267" spans="1:29" hidden="1" x14ac:dyDescent="0.25">
      <c r="A267" s="10" t="s">
        <v>29</v>
      </c>
      <c r="B267" s="10" t="s">
        <v>1065</v>
      </c>
      <c r="C267" s="10"/>
      <c r="D267" s="10" t="s">
        <v>1072</v>
      </c>
      <c r="E267" s="10" t="s">
        <v>285</v>
      </c>
      <c r="F267" s="10" t="s">
        <v>1005</v>
      </c>
      <c r="G267" s="10" t="s">
        <v>1073</v>
      </c>
      <c r="H267" s="12">
        <v>3730.32</v>
      </c>
      <c r="I267">
        <v>1</v>
      </c>
      <c r="J267" s="12">
        <v>3730.32</v>
      </c>
      <c r="K267" s="10" t="s">
        <v>284</v>
      </c>
      <c r="L267" s="2">
        <v>45854</v>
      </c>
      <c r="M267" s="10"/>
      <c r="O267" s="10"/>
      <c r="X267" s="13">
        <v>7</v>
      </c>
      <c r="Y267" s="10" t="s">
        <v>901</v>
      </c>
      <c r="Z267" s="10" t="s">
        <v>941</v>
      </c>
      <c r="AA267" s="10">
        <v>1</v>
      </c>
      <c r="AB267" s="10">
        <v>0.5</v>
      </c>
      <c r="AC267" s="10"/>
    </row>
    <row r="268" spans="1:29" hidden="1" x14ac:dyDescent="0.25">
      <c r="A268" s="10" t="s">
        <v>29</v>
      </c>
      <c r="B268" s="10" t="s">
        <v>1065</v>
      </c>
      <c r="C268" s="10"/>
      <c r="D268" s="10" t="s">
        <v>1074</v>
      </c>
      <c r="E268" s="10" t="s">
        <v>285</v>
      </c>
      <c r="F268" s="10" t="s">
        <v>1006</v>
      </c>
      <c r="G268" s="10" t="s">
        <v>1075</v>
      </c>
      <c r="H268" s="12">
        <v>1199.98</v>
      </c>
      <c r="I268">
        <v>1</v>
      </c>
      <c r="J268" s="12">
        <v>1199.98</v>
      </c>
      <c r="K268" s="10" t="s">
        <v>284</v>
      </c>
      <c r="L268" s="2">
        <v>45854</v>
      </c>
      <c r="M268" s="10"/>
      <c r="O268" s="10"/>
      <c r="X268" s="13">
        <v>7</v>
      </c>
      <c r="Y268" s="10" t="s">
        <v>901</v>
      </c>
      <c r="Z268" s="10" t="s">
        <v>941</v>
      </c>
      <c r="AA268" s="10">
        <v>2</v>
      </c>
      <c r="AB268" s="10">
        <v>0.5</v>
      </c>
      <c r="AC268" s="10"/>
    </row>
    <row r="269" spans="1:29" hidden="1" x14ac:dyDescent="0.25">
      <c r="A269" s="10" t="s">
        <v>29</v>
      </c>
      <c r="B269" s="10" t="s">
        <v>1065</v>
      </c>
      <c r="C269" s="10"/>
      <c r="D269" s="10" t="s">
        <v>1076</v>
      </c>
      <c r="E269" s="10" t="s">
        <v>285</v>
      </c>
      <c r="F269" s="10" t="s">
        <v>1007</v>
      </c>
      <c r="G269" s="10" t="s">
        <v>1077</v>
      </c>
      <c r="H269" s="12">
        <v>520.58000000000004</v>
      </c>
      <c r="I269">
        <v>1</v>
      </c>
      <c r="J269" s="12">
        <v>520.58000000000004</v>
      </c>
      <c r="K269" s="10" t="s">
        <v>284</v>
      </c>
      <c r="L269" s="2">
        <v>45854</v>
      </c>
      <c r="M269" s="10"/>
      <c r="O269" s="10"/>
      <c r="X269" s="13">
        <v>7</v>
      </c>
      <c r="Y269" s="10" t="s">
        <v>901</v>
      </c>
      <c r="Z269" s="10" t="s">
        <v>941</v>
      </c>
      <c r="AA269" s="10">
        <v>8</v>
      </c>
      <c r="AB269" s="10">
        <v>4</v>
      </c>
      <c r="AC269" s="10"/>
    </row>
    <row r="270" spans="1:29" hidden="1" x14ac:dyDescent="0.25">
      <c r="A270" s="10" t="s">
        <v>29</v>
      </c>
      <c r="B270" s="10" t="s">
        <v>1065</v>
      </c>
      <c r="C270" s="10"/>
      <c r="D270" s="10" t="s">
        <v>1078</v>
      </c>
      <c r="E270" s="10" t="s">
        <v>285</v>
      </c>
      <c r="F270" s="10" t="s">
        <v>1008</v>
      </c>
      <c r="G270" s="10" t="s">
        <v>1077</v>
      </c>
      <c r="H270" s="12">
        <v>655.94</v>
      </c>
      <c r="I270">
        <v>1</v>
      </c>
      <c r="J270" s="12">
        <v>655.94</v>
      </c>
      <c r="K270" s="10" t="s">
        <v>284</v>
      </c>
      <c r="L270" s="2">
        <v>45854</v>
      </c>
      <c r="M270" s="10"/>
      <c r="O270" s="10"/>
      <c r="X270" s="13">
        <v>7</v>
      </c>
      <c r="Y270" s="10" t="s">
        <v>901</v>
      </c>
      <c r="Z270" s="10" t="s">
        <v>941</v>
      </c>
      <c r="AA270" s="10">
        <v>8</v>
      </c>
      <c r="AB270" s="10">
        <v>4</v>
      </c>
      <c r="AC270" s="10"/>
    </row>
    <row r="271" spans="1:29" hidden="1" x14ac:dyDescent="0.25">
      <c r="A271" s="10" t="s">
        <v>29</v>
      </c>
      <c r="B271" s="10" t="s">
        <v>1065</v>
      </c>
      <c r="C271" s="10"/>
      <c r="D271" s="10" t="s">
        <v>1079</v>
      </c>
      <c r="E271" s="10" t="s">
        <v>285</v>
      </c>
      <c r="F271" s="10" t="s">
        <v>1009</v>
      </c>
      <c r="G271" s="10" t="s">
        <v>1080</v>
      </c>
      <c r="H271" s="12">
        <v>406.01</v>
      </c>
      <c r="I271">
        <v>1</v>
      </c>
      <c r="J271" s="12">
        <v>406.01</v>
      </c>
      <c r="K271" s="10" t="s">
        <v>284</v>
      </c>
      <c r="L271" s="2">
        <v>45854</v>
      </c>
      <c r="M271" s="10"/>
      <c r="O271" s="10"/>
      <c r="X271" s="13">
        <v>7</v>
      </c>
      <c r="Y271" s="10" t="s">
        <v>901</v>
      </c>
      <c r="Z271" s="10" t="s">
        <v>941</v>
      </c>
      <c r="AA271" s="10">
        <v>8</v>
      </c>
      <c r="AB271" s="10">
        <v>4</v>
      </c>
      <c r="AC271" s="10"/>
    </row>
    <row r="272" spans="1:29" hidden="1" x14ac:dyDescent="0.25">
      <c r="A272" s="10" t="s">
        <v>29</v>
      </c>
      <c r="B272" s="10" t="s">
        <v>1065</v>
      </c>
      <c r="C272" s="10"/>
      <c r="D272" s="10" t="s">
        <v>1081</v>
      </c>
      <c r="E272" s="10" t="s">
        <v>285</v>
      </c>
      <c r="F272" s="10" t="s">
        <v>1010</v>
      </c>
      <c r="G272" s="10" t="s">
        <v>1082</v>
      </c>
      <c r="H272" s="12">
        <v>783.13</v>
      </c>
      <c r="I272">
        <v>1</v>
      </c>
      <c r="J272" s="12">
        <v>783.13</v>
      </c>
      <c r="K272" s="10" t="s">
        <v>284</v>
      </c>
      <c r="L272" s="2">
        <v>45854</v>
      </c>
      <c r="M272" s="10"/>
      <c r="O272" s="10"/>
      <c r="X272" s="13">
        <v>7</v>
      </c>
      <c r="Y272" s="10" t="s">
        <v>901</v>
      </c>
      <c r="Z272" s="10" t="s">
        <v>941</v>
      </c>
      <c r="AA272" s="10">
        <v>8</v>
      </c>
      <c r="AB272" s="10">
        <v>4</v>
      </c>
      <c r="AC272" s="10"/>
    </row>
    <row r="273" spans="1:29" hidden="1" x14ac:dyDescent="0.25">
      <c r="A273" s="10" t="s">
        <v>29</v>
      </c>
      <c r="B273" s="10" t="s">
        <v>1065</v>
      </c>
      <c r="C273" s="10"/>
      <c r="D273" s="10" t="s">
        <v>1083</v>
      </c>
      <c r="E273" s="10" t="s">
        <v>285</v>
      </c>
      <c r="F273" s="10" t="s">
        <v>1011</v>
      </c>
      <c r="G273" s="10" t="s">
        <v>1084</v>
      </c>
      <c r="H273" s="12">
        <v>534.13</v>
      </c>
      <c r="I273">
        <v>1</v>
      </c>
      <c r="J273" s="12">
        <v>534.13</v>
      </c>
      <c r="K273" s="10" t="s">
        <v>284</v>
      </c>
      <c r="L273" s="2">
        <v>45854</v>
      </c>
      <c r="M273" s="10"/>
      <c r="O273" s="10"/>
      <c r="X273" s="13">
        <v>7</v>
      </c>
      <c r="Y273" s="10" t="s">
        <v>901</v>
      </c>
      <c r="Z273" s="10" t="s">
        <v>941</v>
      </c>
      <c r="AA273" s="10">
        <v>16</v>
      </c>
      <c r="AB273" s="10">
        <v>8</v>
      </c>
      <c r="AC273" s="10"/>
    </row>
    <row r="274" spans="1:29" hidden="1" x14ac:dyDescent="0.25">
      <c r="A274" s="10" t="s">
        <v>29</v>
      </c>
      <c r="B274" s="10" t="s">
        <v>1065</v>
      </c>
      <c r="C274" s="10"/>
      <c r="D274" s="10" t="s">
        <v>1085</v>
      </c>
      <c r="E274" s="10" t="s">
        <v>285</v>
      </c>
      <c r="F274" s="10" t="s">
        <v>1012</v>
      </c>
      <c r="G274" s="10" t="s">
        <v>1086</v>
      </c>
      <c r="H274" s="12">
        <v>1756.47</v>
      </c>
      <c r="I274">
        <v>1</v>
      </c>
      <c r="J274" s="12">
        <v>1756.47</v>
      </c>
      <c r="K274" s="10" t="s">
        <v>284</v>
      </c>
      <c r="L274" s="2">
        <v>45854</v>
      </c>
      <c r="M274" s="10"/>
      <c r="O274" s="10"/>
      <c r="X274" s="13">
        <v>7</v>
      </c>
      <c r="Y274" s="10" t="s">
        <v>901</v>
      </c>
      <c r="Z274" s="10" t="s">
        <v>941</v>
      </c>
      <c r="AA274" s="10">
        <v>8</v>
      </c>
      <c r="AB274" s="10">
        <v>4</v>
      </c>
      <c r="AC274" s="10"/>
    </row>
    <row r="275" spans="1:29" hidden="1" x14ac:dyDescent="0.25">
      <c r="A275" s="10" t="s">
        <v>29</v>
      </c>
      <c r="B275" s="10" t="s">
        <v>1065</v>
      </c>
      <c r="C275" s="10"/>
      <c r="D275" s="10" t="s">
        <v>1087</v>
      </c>
      <c r="E275" s="10" t="s">
        <v>285</v>
      </c>
      <c r="F275" s="10" t="s">
        <v>1013</v>
      </c>
      <c r="G275" s="10" t="s">
        <v>1088</v>
      </c>
      <c r="H275" s="12">
        <v>2653</v>
      </c>
      <c r="I275">
        <v>1</v>
      </c>
      <c r="J275" s="12">
        <v>2653</v>
      </c>
      <c r="K275" s="10" t="s">
        <v>284</v>
      </c>
      <c r="L275" s="2">
        <v>45854</v>
      </c>
      <c r="M275" s="10"/>
      <c r="O275" s="10"/>
      <c r="X275" s="13">
        <v>7</v>
      </c>
      <c r="Y275" s="10" t="s">
        <v>901</v>
      </c>
      <c r="Z275" s="10" t="s">
        <v>941</v>
      </c>
      <c r="AA275" s="10">
        <v>2</v>
      </c>
      <c r="AB275" s="10">
        <v>2</v>
      </c>
      <c r="AC275" s="10"/>
    </row>
    <row r="276" spans="1:29" hidden="1" x14ac:dyDescent="0.25">
      <c r="A276" s="10" t="s">
        <v>29</v>
      </c>
      <c r="B276" s="10" t="s">
        <v>1065</v>
      </c>
      <c r="C276" s="10"/>
      <c r="D276" s="10" t="s">
        <v>1089</v>
      </c>
      <c r="E276" s="10" t="s">
        <v>285</v>
      </c>
      <c r="F276" s="10" t="s">
        <v>1014</v>
      </c>
      <c r="G276" s="10" t="s">
        <v>1090</v>
      </c>
      <c r="H276" s="12">
        <v>1216.72</v>
      </c>
      <c r="I276">
        <v>1</v>
      </c>
      <c r="J276" s="12">
        <v>1216.72</v>
      </c>
      <c r="K276" s="10" t="s">
        <v>284</v>
      </c>
      <c r="L276" s="2">
        <v>45854</v>
      </c>
      <c r="M276" s="10"/>
      <c r="O276" s="10"/>
      <c r="X276" s="13">
        <v>7</v>
      </c>
      <c r="Y276" s="10" t="s">
        <v>901</v>
      </c>
      <c r="Z276" s="10" t="s">
        <v>941</v>
      </c>
      <c r="AA276" s="10">
        <v>4</v>
      </c>
      <c r="AB276" s="10">
        <v>2</v>
      </c>
      <c r="AC276" s="10"/>
    </row>
    <row r="277" spans="1:29" hidden="1" x14ac:dyDescent="0.25">
      <c r="A277" s="10" t="s">
        <v>29</v>
      </c>
      <c r="B277" s="10" t="s">
        <v>1065</v>
      </c>
      <c r="C277" s="10"/>
      <c r="D277" s="10" t="s">
        <v>1091</v>
      </c>
      <c r="E277" s="10" t="s">
        <v>285</v>
      </c>
      <c r="F277" s="10" t="s">
        <v>1015</v>
      </c>
      <c r="G277" s="10" t="s">
        <v>1092</v>
      </c>
      <c r="H277" s="12">
        <v>2497.4699999999998</v>
      </c>
      <c r="I277">
        <v>1</v>
      </c>
      <c r="J277" s="12">
        <v>2497.4699999999998</v>
      </c>
      <c r="K277" s="10" t="s">
        <v>284</v>
      </c>
      <c r="L277" s="2">
        <v>45854</v>
      </c>
      <c r="M277" s="10"/>
      <c r="O277" s="10"/>
      <c r="X277" s="13">
        <v>7</v>
      </c>
      <c r="Y277" s="10" t="s">
        <v>901</v>
      </c>
      <c r="Z277" s="10" t="s">
        <v>941</v>
      </c>
      <c r="AA277" s="10">
        <v>2</v>
      </c>
      <c r="AB277" s="10">
        <v>2</v>
      </c>
      <c r="AC277" s="10"/>
    </row>
    <row r="278" spans="1:29" hidden="1" x14ac:dyDescent="0.25">
      <c r="A278" s="10" t="s">
        <v>29</v>
      </c>
      <c r="B278" s="10" t="s">
        <v>1065</v>
      </c>
      <c r="C278" s="10"/>
      <c r="D278" s="10" t="s">
        <v>1093</v>
      </c>
      <c r="E278" s="10" t="s">
        <v>285</v>
      </c>
      <c r="F278" s="10" t="s">
        <v>1016</v>
      </c>
      <c r="G278" s="10" t="s">
        <v>1094</v>
      </c>
      <c r="H278" s="12">
        <v>6781.2</v>
      </c>
      <c r="I278">
        <v>1</v>
      </c>
      <c r="J278" s="12">
        <v>6781.2</v>
      </c>
      <c r="K278" s="10" t="s">
        <v>284</v>
      </c>
      <c r="L278" s="2">
        <v>45854</v>
      </c>
      <c r="M278" s="10"/>
      <c r="O278" s="10"/>
      <c r="X278" s="13">
        <v>7</v>
      </c>
      <c r="Y278" s="10" t="s">
        <v>901</v>
      </c>
      <c r="Z278" s="10" t="s">
        <v>941</v>
      </c>
      <c r="AA278" s="10">
        <v>1</v>
      </c>
      <c r="AB278" s="10">
        <v>0.5</v>
      </c>
      <c r="AC278" s="10"/>
    </row>
    <row r="279" spans="1:29" hidden="1" x14ac:dyDescent="0.25">
      <c r="A279" s="10" t="s">
        <v>29</v>
      </c>
      <c r="B279" s="10" t="s">
        <v>1065</v>
      </c>
      <c r="C279" s="10"/>
      <c r="D279" s="10" t="s">
        <v>1095</v>
      </c>
      <c r="E279" s="10" t="s">
        <v>285</v>
      </c>
      <c r="F279" s="10" t="s">
        <v>1017</v>
      </c>
      <c r="G279" s="10" t="s">
        <v>1096</v>
      </c>
      <c r="H279" s="12">
        <v>9731.9599999999991</v>
      </c>
      <c r="I279">
        <v>1</v>
      </c>
      <c r="J279" s="12">
        <v>9731.9599999999991</v>
      </c>
      <c r="K279" s="10" t="s">
        <v>284</v>
      </c>
      <c r="L279" s="2">
        <v>45854</v>
      </c>
      <c r="M279" s="10"/>
      <c r="O279" s="10"/>
      <c r="X279" s="13">
        <v>7</v>
      </c>
      <c r="Y279" s="10" t="s">
        <v>901</v>
      </c>
      <c r="Z279" s="10" t="s">
        <v>941</v>
      </c>
      <c r="AA279" s="10">
        <v>1</v>
      </c>
      <c r="AB279" s="10">
        <v>0.5</v>
      </c>
      <c r="AC279" s="10"/>
    </row>
    <row r="280" spans="1:29" hidden="1" x14ac:dyDescent="0.25">
      <c r="A280" s="10" t="s">
        <v>29</v>
      </c>
      <c r="B280" s="10" t="s">
        <v>1065</v>
      </c>
      <c r="C280" s="10"/>
      <c r="D280" s="10" t="s">
        <v>1097</v>
      </c>
      <c r="E280" s="10" t="s">
        <v>285</v>
      </c>
      <c r="F280" s="10" t="s">
        <v>1018</v>
      </c>
      <c r="G280" s="10" t="s">
        <v>1098</v>
      </c>
      <c r="H280" s="12">
        <v>9713.15</v>
      </c>
      <c r="I280">
        <v>1</v>
      </c>
      <c r="J280" s="12">
        <v>9713.15</v>
      </c>
      <c r="K280" s="10" t="s">
        <v>284</v>
      </c>
      <c r="L280" s="2">
        <v>45854</v>
      </c>
      <c r="M280" s="10"/>
      <c r="O280" s="10"/>
      <c r="X280" s="13">
        <v>7</v>
      </c>
      <c r="Y280" s="10" t="s">
        <v>901</v>
      </c>
      <c r="Z280" s="10" t="s">
        <v>941</v>
      </c>
      <c r="AA280" s="10">
        <v>1</v>
      </c>
      <c r="AB280" s="10">
        <v>0.5</v>
      </c>
      <c r="AC280" s="10"/>
    </row>
    <row r="281" spans="1:29" hidden="1" x14ac:dyDescent="0.25">
      <c r="A281" s="10" t="s">
        <v>29</v>
      </c>
      <c r="B281" s="10" t="s">
        <v>1065</v>
      </c>
      <c r="C281" s="10"/>
      <c r="D281" s="10" t="s">
        <v>32</v>
      </c>
      <c r="E281" s="10" t="s">
        <v>285</v>
      </c>
      <c r="F281" s="10" t="s">
        <v>1019</v>
      </c>
      <c r="G281" s="10" t="s">
        <v>1099</v>
      </c>
      <c r="H281" s="12">
        <v>13895.75</v>
      </c>
      <c r="I281">
        <v>1</v>
      </c>
      <c r="J281" s="12">
        <v>13895.75</v>
      </c>
      <c r="K281" s="10" t="s">
        <v>284</v>
      </c>
      <c r="L281" s="2">
        <v>45854</v>
      </c>
      <c r="M281" s="10"/>
      <c r="O281" s="10"/>
      <c r="X281" s="13">
        <v>7</v>
      </c>
      <c r="Y281" s="10" t="s">
        <v>901</v>
      </c>
      <c r="Z281" s="10" t="s">
        <v>941</v>
      </c>
      <c r="AA281" s="10">
        <v>1</v>
      </c>
      <c r="AB281" s="10">
        <v>0.5</v>
      </c>
      <c r="AC281" s="10"/>
    </row>
    <row r="282" spans="1:29" hidden="1" x14ac:dyDescent="0.25">
      <c r="A282" s="10" t="s">
        <v>29</v>
      </c>
      <c r="B282" s="10" t="s">
        <v>1065</v>
      </c>
      <c r="C282" s="10"/>
      <c r="D282" s="10" t="s">
        <v>1121</v>
      </c>
      <c r="E282" s="10" t="s">
        <v>285</v>
      </c>
      <c r="F282" s="10" t="s">
        <v>985</v>
      </c>
      <c r="G282" s="10" t="s">
        <v>1122</v>
      </c>
      <c r="H282" s="12">
        <v>16993.37</v>
      </c>
      <c r="I282">
        <v>1</v>
      </c>
      <c r="J282" s="12">
        <v>16993.37</v>
      </c>
      <c r="K282" s="10" t="s">
        <v>284</v>
      </c>
      <c r="L282" s="2">
        <v>45854</v>
      </c>
      <c r="M282" s="10"/>
      <c r="O282" s="10"/>
      <c r="X282" s="13">
        <v>7</v>
      </c>
      <c r="Y282" s="10" t="s">
        <v>901</v>
      </c>
      <c r="Z282" s="10" t="s">
        <v>941</v>
      </c>
      <c r="AA282" s="10">
        <v>1</v>
      </c>
      <c r="AB282" s="10">
        <v>0.5</v>
      </c>
      <c r="AC282" s="10"/>
    </row>
    <row r="283" spans="1:29" hidden="1" x14ac:dyDescent="0.25">
      <c r="A283" s="10" t="s">
        <v>29</v>
      </c>
      <c r="B283" s="10" t="s">
        <v>1065</v>
      </c>
      <c r="C283" s="10"/>
      <c r="D283" s="10" t="s">
        <v>33</v>
      </c>
      <c r="E283" s="10" t="s">
        <v>285</v>
      </c>
      <c r="F283" s="10" t="s">
        <v>1020</v>
      </c>
      <c r="G283" s="10" t="s">
        <v>1123</v>
      </c>
      <c r="H283" s="12">
        <v>1691.01</v>
      </c>
      <c r="I283">
        <v>1</v>
      </c>
      <c r="J283" s="12">
        <v>1691.01</v>
      </c>
      <c r="K283" s="10" t="s">
        <v>284</v>
      </c>
      <c r="L283" s="2">
        <v>45854</v>
      </c>
      <c r="M283" s="10"/>
      <c r="O283" s="10"/>
      <c r="X283" s="13">
        <v>6</v>
      </c>
      <c r="Y283" s="10" t="s">
        <v>901</v>
      </c>
      <c r="Z283" s="10" t="s">
        <v>941</v>
      </c>
      <c r="AA283" s="10">
        <v>1</v>
      </c>
      <c r="AB283" s="10"/>
      <c r="AC283" s="10"/>
    </row>
    <row r="284" spans="1:29" hidden="1" x14ac:dyDescent="0.25">
      <c r="A284" s="10" t="s">
        <v>29</v>
      </c>
      <c r="B284" s="10" t="s">
        <v>1065</v>
      </c>
      <c r="C284" s="10"/>
      <c r="D284" s="10" t="s">
        <v>1124</v>
      </c>
      <c r="E284" s="10" t="s">
        <v>285</v>
      </c>
      <c r="F284" s="10" t="s">
        <v>987</v>
      </c>
      <c r="G284" s="10" t="s">
        <v>1125</v>
      </c>
      <c r="H284" s="12">
        <v>32.020000000000003</v>
      </c>
      <c r="I284">
        <v>1</v>
      </c>
      <c r="J284" s="12">
        <v>32.020000000000003</v>
      </c>
      <c r="K284" s="10" t="s">
        <v>284</v>
      </c>
      <c r="L284" s="2">
        <v>45854</v>
      </c>
      <c r="M284" s="10"/>
      <c r="O284" s="10"/>
      <c r="X284" s="13">
        <v>0</v>
      </c>
      <c r="Y284" s="10" t="s">
        <v>901</v>
      </c>
      <c r="Z284" s="10" t="s">
        <v>941</v>
      </c>
      <c r="AA284" s="10"/>
      <c r="AB284" s="10"/>
      <c r="AC284" s="10"/>
    </row>
    <row r="285" spans="1:29" hidden="1" x14ac:dyDescent="0.25">
      <c r="A285" s="10" t="s">
        <v>29</v>
      </c>
      <c r="B285" s="10" t="s">
        <v>1065</v>
      </c>
      <c r="C285" s="10"/>
      <c r="D285" s="10" t="s">
        <v>1126</v>
      </c>
      <c r="E285" s="10" t="s">
        <v>285</v>
      </c>
      <c r="F285" s="10" t="s">
        <v>1021</v>
      </c>
      <c r="G285" s="10" t="s">
        <v>1127</v>
      </c>
      <c r="H285" s="12">
        <v>736.22</v>
      </c>
      <c r="I285">
        <v>1</v>
      </c>
      <c r="J285" s="12">
        <v>736.22</v>
      </c>
      <c r="K285" s="10" t="s">
        <v>284</v>
      </c>
      <c r="L285" s="2">
        <v>45854</v>
      </c>
      <c r="M285" s="10"/>
      <c r="O285" s="10"/>
      <c r="X285" s="13">
        <v>7</v>
      </c>
      <c r="Y285" s="10" t="s">
        <v>901</v>
      </c>
      <c r="Z285" s="10" t="s">
        <v>941</v>
      </c>
      <c r="AA285" s="10">
        <v>8</v>
      </c>
      <c r="AB285" s="10">
        <v>4</v>
      </c>
      <c r="AC285" s="10"/>
    </row>
    <row r="286" spans="1:29" hidden="1" x14ac:dyDescent="0.25">
      <c r="A286" s="10" t="s">
        <v>29</v>
      </c>
      <c r="B286" s="10" t="s">
        <v>1065</v>
      </c>
      <c r="C286" s="10"/>
      <c r="D286" s="10" t="s">
        <v>1128</v>
      </c>
      <c r="E286" s="10" t="s">
        <v>285</v>
      </c>
      <c r="F286" s="10" t="s">
        <v>1022</v>
      </c>
      <c r="G286" s="10" t="s">
        <v>1129</v>
      </c>
      <c r="H286" s="12">
        <v>944.63</v>
      </c>
      <c r="I286">
        <v>1</v>
      </c>
      <c r="J286" s="12">
        <v>944.63</v>
      </c>
      <c r="K286" s="10" t="s">
        <v>284</v>
      </c>
      <c r="L286" s="2">
        <v>45854</v>
      </c>
      <c r="M286" s="10"/>
      <c r="O286" s="10"/>
      <c r="X286" s="13">
        <v>7</v>
      </c>
      <c r="Y286" s="10" t="s">
        <v>901</v>
      </c>
      <c r="Z286" s="10" t="s">
        <v>941</v>
      </c>
      <c r="AA286" s="10">
        <v>4</v>
      </c>
      <c r="AB286" s="10">
        <v>2</v>
      </c>
      <c r="AC286" s="10"/>
    </row>
    <row r="287" spans="1:29" hidden="1" x14ac:dyDescent="0.25">
      <c r="A287" s="10" t="s">
        <v>29</v>
      </c>
      <c r="B287" s="10" t="s">
        <v>1065</v>
      </c>
      <c r="C287" s="10"/>
      <c r="D287" s="10" t="s">
        <v>1130</v>
      </c>
      <c r="E287" s="10" t="s">
        <v>285</v>
      </c>
      <c r="F287" s="10" t="s">
        <v>1023</v>
      </c>
      <c r="G287" s="10" t="s">
        <v>1131</v>
      </c>
      <c r="H287" s="12">
        <v>2287.06</v>
      </c>
      <c r="I287">
        <v>1</v>
      </c>
      <c r="J287" s="12">
        <v>2287.06</v>
      </c>
      <c r="K287" s="10" t="s">
        <v>284</v>
      </c>
      <c r="L287" s="2">
        <v>45854</v>
      </c>
      <c r="M287" s="10"/>
      <c r="O287" s="10"/>
      <c r="X287" s="13">
        <v>7</v>
      </c>
      <c r="Y287" s="10" t="s">
        <v>901</v>
      </c>
      <c r="Z287" s="10" t="s">
        <v>941</v>
      </c>
      <c r="AA287" s="10">
        <v>4</v>
      </c>
      <c r="AB287" s="10">
        <v>2</v>
      </c>
      <c r="AC287" s="10"/>
    </row>
    <row r="288" spans="1:29" hidden="1" x14ac:dyDescent="0.25">
      <c r="A288" s="10" t="s">
        <v>29</v>
      </c>
      <c r="B288" s="10" t="s">
        <v>1065</v>
      </c>
      <c r="C288" s="10"/>
      <c r="D288" s="10" t="s">
        <v>1132</v>
      </c>
      <c r="E288" s="10" t="s">
        <v>285</v>
      </c>
      <c r="F288" s="10" t="s">
        <v>1024</v>
      </c>
      <c r="G288" s="10" t="s">
        <v>1133</v>
      </c>
      <c r="H288" s="12">
        <v>707.34</v>
      </c>
      <c r="I288">
        <v>1</v>
      </c>
      <c r="J288" s="12">
        <v>707.34</v>
      </c>
      <c r="K288" s="10" t="s">
        <v>284</v>
      </c>
      <c r="L288" s="2">
        <v>45854</v>
      </c>
      <c r="M288" s="10"/>
      <c r="O288" s="10"/>
      <c r="X288" s="13">
        <v>7</v>
      </c>
      <c r="Y288" s="10" t="s">
        <v>901</v>
      </c>
      <c r="Z288" s="10" t="s">
        <v>941</v>
      </c>
      <c r="AA288" s="10">
        <v>8</v>
      </c>
      <c r="AB288" s="10">
        <v>4</v>
      </c>
      <c r="AC288" s="10"/>
    </row>
    <row r="289" spans="1:29" hidden="1" x14ac:dyDescent="0.25">
      <c r="A289" s="10" t="s">
        <v>29</v>
      </c>
      <c r="B289" s="10" t="s">
        <v>1065</v>
      </c>
      <c r="C289" s="10"/>
      <c r="D289" s="10" t="s">
        <v>1134</v>
      </c>
      <c r="E289" s="10" t="s">
        <v>285</v>
      </c>
      <c r="F289" s="10" t="s">
        <v>984</v>
      </c>
      <c r="G289" s="10" t="s">
        <v>1135</v>
      </c>
      <c r="H289" s="12">
        <v>1254.1099999999999</v>
      </c>
      <c r="I289">
        <v>1</v>
      </c>
      <c r="J289" s="12">
        <v>1254.1099999999999</v>
      </c>
      <c r="K289" s="10" t="s">
        <v>284</v>
      </c>
      <c r="L289" s="2">
        <v>45854</v>
      </c>
      <c r="M289" s="10"/>
      <c r="O289" s="10"/>
      <c r="X289" s="13">
        <v>7</v>
      </c>
      <c r="Y289" s="10" t="s">
        <v>901</v>
      </c>
      <c r="Z289" s="10" t="s">
        <v>941</v>
      </c>
      <c r="AA289" s="10">
        <v>1</v>
      </c>
      <c r="AB289" s="10">
        <v>0.25</v>
      </c>
      <c r="AC289" s="10"/>
    </row>
    <row r="290" spans="1:29" hidden="1" x14ac:dyDescent="0.25">
      <c r="A290" s="10" t="s">
        <v>29</v>
      </c>
      <c r="B290" s="10" t="s">
        <v>1065</v>
      </c>
      <c r="C290" s="10"/>
      <c r="D290" s="10" t="s">
        <v>1136</v>
      </c>
      <c r="E290" s="10" t="s">
        <v>285</v>
      </c>
      <c r="F290" s="10" t="s">
        <v>1025</v>
      </c>
      <c r="G290" s="10" t="s">
        <v>1137</v>
      </c>
      <c r="H290" s="12">
        <v>96.53</v>
      </c>
      <c r="I290">
        <v>1</v>
      </c>
      <c r="J290" s="12">
        <v>96.53</v>
      </c>
      <c r="K290" s="10" t="s">
        <v>284</v>
      </c>
      <c r="L290" s="2">
        <v>45854</v>
      </c>
      <c r="M290" s="10"/>
      <c r="O290" s="10"/>
      <c r="X290" s="13">
        <v>0</v>
      </c>
      <c r="Y290" s="10" t="s">
        <v>901</v>
      </c>
      <c r="Z290" s="10" t="s">
        <v>941</v>
      </c>
      <c r="AA290" s="10"/>
      <c r="AB290" s="10"/>
      <c r="AC290" s="10"/>
    </row>
    <row r="291" spans="1:29" hidden="1" x14ac:dyDescent="0.25">
      <c r="A291" s="10" t="s">
        <v>29</v>
      </c>
      <c r="B291" s="10" t="s">
        <v>1065</v>
      </c>
      <c r="C291" s="10"/>
      <c r="D291" s="10" t="s">
        <v>1138</v>
      </c>
      <c r="E291" s="10" t="s">
        <v>285</v>
      </c>
      <c r="F291" s="10" t="s">
        <v>1026</v>
      </c>
      <c r="G291" s="10" t="s">
        <v>1139</v>
      </c>
      <c r="H291" s="12">
        <v>96.53</v>
      </c>
      <c r="I291">
        <v>1</v>
      </c>
      <c r="J291" s="12">
        <v>96.53</v>
      </c>
      <c r="K291" s="10" t="s">
        <v>284</v>
      </c>
      <c r="L291" s="2">
        <v>45854</v>
      </c>
      <c r="M291" s="10"/>
      <c r="O291" s="10"/>
      <c r="X291" s="13">
        <v>0</v>
      </c>
      <c r="Y291" s="10" t="s">
        <v>901</v>
      </c>
      <c r="Z291" s="10" t="s">
        <v>941</v>
      </c>
      <c r="AA291" s="10"/>
      <c r="AB291" s="10"/>
      <c r="AC291" s="10"/>
    </row>
    <row r="292" spans="1:29" hidden="1" x14ac:dyDescent="0.25">
      <c r="A292" s="10" t="s">
        <v>29</v>
      </c>
      <c r="B292" s="10" t="s">
        <v>1065</v>
      </c>
      <c r="C292" s="10"/>
      <c r="D292" s="10" t="s">
        <v>1140</v>
      </c>
      <c r="E292" s="10" t="s">
        <v>285</v>
      </c>
      <c r="F292" s="10" t="s">
        <v>1027</v>
      </c>
      <c r="G292" s="10" t="s">
        <v>1141</v>
      </c>
      <c r="H292" s="12">
        <v>39.51</v>
      </c>
      <c r="I292">
        <v>1</v>
      </c>
      <c r="J292" s="12">
        <v>39.51</v>
      </c>
      <c r="K292" s="10" t="s">
        <v>284</v>
      </c>
      <c r="L292" s="2">
        <v>45854</v>
      </c>
      <c r="M292" s="10"/>
      <c r="O292" s="10"/>
      <c r="X292" s="13">
        <v>0</v>
      </c>
      <c r="Y292" s="10" t="s">
        <v>901</v>
      </c>
      <c r="Z292" s="10" t="s">
        <v>941</v>
      </c>
      <c r="AA292" s="10"/>
      <c r="AB292" s="10"/>
      <c r="AC292" s="10"/>
    </row>
    <row r="293" spans="1:29" hidden="1" x14ac:dyDescent="0.25">
      <c r="A293" s="10" t="s">
        <v>29</v>
      </c>
      <c r="B293" s="10" t="s">
        <v>1065</v>
      </c>
      <c r="C293" s="10"/>
      <c r="D293" s="10" t="s">
        <v>1142</v>
      </c>
      <c r="E293" s="10" t="s">
        <v>285</v>
      </c>
      <c r="F293" s="10" t="s">
        <v>1028</v>
      </c>
      <c r="G293" s="10" t="s">
        <v>1143</v>
      </c>
      <c r="H293" s="12">
        <v>78.12</v>
      </c>
      <c r="I293">
        <v>1</v>
      </c>
      <c r="J293" s="12">
        <v>78.12</v>
      </c>
      <c r="K293" s="10" t="s">
        <v>284</v>
      </c>
      <c r="L293" s="2">
        <v>45854</v>
      </c>
      <c r="M293" s="10"/>
      <c r="O293" s="10"/>
      <c r="X293" s="13">
        <v>0</v>
      </c>
      <c r="Y293" s="10" t="s">
        <v>901</v>
      </c>
      <c r="Z293" s="10" t="s">
        <v>941</v>
      </c>
      <c r="AA293" s="10"/>
      <c r="AB293" s="10"/>
      <c r="AC293" s="10"/>
    </row>
    <row r="294" spans="1:29" hidden="1" x14ac:dyDescent="0.25">
      <c r="A294" s="10" t="s">
        <v>29</v>
      </c>
      <c r="B294" s="10" t="s">
        <v>1065</v>
      </c>
      <c r="C294" s="10"/>
      <c r="D294" s="10" t="s">
        <v>1144</v>
      </c>
      <c r="E294" s="10" t="s">
        <v>285</v>
      </c>
      <c r="F294" s="10" t="s">
        <v>1029</v>
      </c>
      <c r="G294" s="10" t="s">
        <v>1145</v>
      </c>
      <c r="H294" s="12">
        <v>78.12</v>
      </c>
      <c r="I294">
        <v>1</v>
      </c>
      <c r="J294" s="12">
        <v>78.12</v>
      </c>
      <c r="K294" s="10" t="s">
        <v>284</v>
      </c>
      <c r="L294" s="2">
        <v>45854</v>
      </c>
      <c r="M294" s="10"/>
      <c r="O294" s="10"/>
      <c r="X294" s="13">
        <v>0</v>
      </c>
      <c r="Y294" s="10" t="s">
        <v>901</v>
      </c>
      <c r="Z294" s="10" t="s">
        <v>941</v>
      </c>
      <c r="AA294" s="10"/>
      <c r="AB294" s="10"/>
      <c r="AC294" s="10"/>
    </row>
    <row r="295" spans="1:29" hidden="1" x14ac:dyDescent="0.25">
      <c r="A295" s="10" t="s">
        <v>785</v>
      </c>
      <c r="B295" s="10"/>
      <c r="C295" s="10"/>
      <c r="D295" s="10"/>
      <c r="E295" s="10" t="s">
        <v>285</v>
      </c>
      <c r="F295" s="10" t="s">
        <v>1146</v>
      </c>
      <c r="G295" s="10" t="s">
        <v>1147</v>
      </c>
      <c r="H295" s="12">
        <v>290.04000000000002</v>
      </c>
      <c r="I295">
        <v>1</v>
      </c>
      <c r="J295" s="12">
        <v>290.04000000000002</v>
      </c>
      <c r="K295" s="10" t="s">
        <v>284</v>
      </c>
      <c r="L295" s="2">
        <v>45854</v>
      </c>
      <c r="M295" s="10"/>
      <c r="O295" s="10"/>
      <c r="X295" s="13">
        <v>9</v>
      </c>
      <c r="Y295" s="10" t="s">
        <v>901</v>
      </c>
      <c r="Z295" s="10" t="s">
        <v>941</v>
      </c>
      <c r="AA295" s="10">
        <v>1</v>
      </c>
      <c r="AB295" s="10">
        <v>2</v>
      </c>
      <c r="AC295" s="10"/>
    </row>
    <row r="296" spans="1:29" hidden="1" x14ac:dyDescent="0.25">
      <c r="A296" s="10" t="s">
        <v>1148</v>
      </c>
      <c r="B296" s="10" t="s">
        <v>1149</v>
      </c>
      <c r="C296" s="10"/>
      <c r="D296" s="10"/>
      <c r="E296" s="10" t="s">
        <v>285</v>
      </c>
      <c r="F296" s="10" t="s">
        <v>1150</v>
      </c>
      <c r="G296" s="10" t="s">
        <v>1151</v>
      </c>
      <c r="H296" s="12">
        <v>1016.6</v>
      </c>
      <c r="I296">
        <v>1</v>
      </c>
      <c r="J296" s="12">
        <v>1016.6</v>
      </c>
      <c r="K296" s="10" t="s">
        <v>284</v>
      </c>
      <c r="L296" s="2">
        <v>45854</v>
      </c>
      <c r="M296" s="10"/>
      <c r="O296" s="10"/>
      <c r="X296" s="13">
        <v>0</v>
      </c>
      <c r="Y296" s="10" t="s">
        <v>901</v>
      </c>
      <c r="Z296" s="10" t="s">
        <v>941</v>
      </c>
      <c r="AA296" s="10"/>
      <c r="AB296" s="10"/>
      <c r="AC296" s="10"/>
    </row>
    <row r="297" spans="1:29" hidden="1" x14ac:dyDescent="0.25">
      <c r="A297" s="10" t="s">
        <v>1152</v>
      </c>
      <c r="B297" s="10" t="s">
        <v>117</v>
      </c>
      <c r="C297" s="10" t="s">
        <v>1153</v>
      </c>
      <c r="D297" s="10" t="s">
        <v>1154</v>
      </c>
      <c r="E297" s="10" t="s">
        <v>1155</v>
      </c>
      <c r="F297" s="10" t="s">
        <v>1156</v>
      </c>
      <c r="G297" s="10" t="s">
        <v>1157</v>
      </c>
      <c r="H297" s="12">
        <v>44.27</v>
      </c>
      <c r="I297">
        <v>1</v>
      </c>
      <c r="J297" s="12">
        <v>44.27</v>
      </c>
      <c r="K297" s="10" t="s">
        <v>1158</v>
      </c>
      <c r="L297" s="2">
        <v>45796</v>
      </c>
      <c r="M297" s="10"/>
      <c r="O297" s="10"/>
      <c r="X297" s="13">
        <v>58</v>
      </c>
      <c r="Y297" s="10" t="s">
        <v>901</v>
      </c>
      <c r="Z297" s="10" t="s">
        <v>941</v>
      </c>
      <c r="AA297" s="10"/>
      <c r="AB297" s="10"/>
      <c r="AC297" s="10"/>
    </row>
    <row r="298" spans="1:29" hidden="1" x14ac:dyDescent="0.25">
      <c r="A298" s="10" t="s">
        <v>1152</v>
      </c>
      <c r="B298" s="10" t="s">
        <v>1159</v>
      </c>
      <c r="C298" s="10" t="s">
        <v>20</v>
      </c>
      <c r="D298" s="10" t="s">
        <v>1160</v>
      </c>
      <c r="E298" s="10" t="s">
        <v>1155</v>
      </c>
      <c r="F298" s="10" t="s">
        <v>1161</v>
      </c>
      <c r="G298" s="10" t="s">
        <v>1162</v>
      </c>
      <c r="H298" s="12">
        <v>4.34</v>
      </c>
      <c r="I298">
        <v>1</v>
      </c>
      <c r="J298" s="12">
        <v>4.34</v>
      </c>
      <c r="K298" s="10" t="s">
        <v>1158</v>
      </c>
      <c r="L298" s="2">
        <v>45805</v>
      </c>
      <c r="M298" s="10"/>
      <c r="O298" s="10"/>
      <c r="X298" s="13">
        <v>49</v>
      </c>
      <c r="Y298" s="10" t="s">
        <v>901</v>
      </c>
      <c r="Z298" s="10" t="s">
        <v>941</v>
      </c>
      <c r="AA298" s="10"/>
      <c r="AB298" s="10"/>
      <c r="AC298" s="10"/>
    </row>
    <row r="299" spans="1:29" hidden="1" x14ac:dyDescent="0.25">
      <c r="A299" s="10" t="s">
        <v>1152</v>
      </c>
      <c r="B299" s="10"/>
      <c r="C299" s="10" t="s">
        <v>7</v>
      </c>
      <c r="D299" s="10" t="s">
        <v>1163</v>
      </c>
      <c r="E299" s="10" t="s">
        <v>1164</v>
      </c>
      <c r="F299" s="10" t="s">
        <v>1165</v>
      </c>
      <c r="G299" s="10" t="s">
        <v>1166</v>
      </c>
      <c r="H299" s="12">
        <v>1.38</v>
      </c>
      <c r="I299">
        <v>1</v>
      </c>
      <c r="J299" s="12">
        <v>1.38</v>
      </c>
      <c r="K299" s="10" t="s">
        <v>1158</v>
      </c>
      <c r="L299" s="2">
        <v>45796</v>
      </c>
      <c r="M299" s="10"/>
      <c r="O299" s="10"/>
      <c r="X299" s="13">
        <v>58</v>
      </c>
      <c r="Y299" s="10" t="s">
        <v>901</v>
      </c>
      <c r="Z299" s="10" t="s">
        <v>941</v>
      </c>
      <c r="AA299" s="10"/>
      <c r="AB299" s="10"/>
      <c r="AC299" s="10"/>
    </row>
    <row r="300" spans="1:29" hidden="1" x14ac:dyDescent="0.25">
      <c r="A300" s="10" t="s">
        <v>871</v>
      </c>
      <c r="B300" s="10" t="s">
        <v>1167</v>
      </c>
      <c r="C300" s="10"/>
      <c r="D300" s="10" t="s">
        <v>1168</v>
      </c>
      <c r="E300" s="10"/>
      <c r="F300" s="10" t="s">
        <v>1169</v>
      </c>
      <c r="G300" s="10" t="s">
        <v>1170</v>
      </c>
      <c r="H300" s="12">
        <v>12</v>
      </c>
      <c r="I300">
        <v>1</v>
      </c>
      <c r="J300" s="12">
        <v>12</v>
      </c>
      <c r="K300" s="10" t="s">
        <v>1158</v>
      </c>
      <c r="L300" s="2"/>
      <c r="M300" s="10"/>
      <c r="O300" s="10"/>
      <c r="X300" s="13">
        <v>45863</v>
      </c>
      <c r="Y300" s="10" t="s">
        <v>901</v>
      </c>
      <c r="Z300" s="10" t="s">
        <v>941</v>
      </c>
      <c r="AA300" s="10"/>
      <c r="AB300" s="10"/>
      <c r="AC300" s="10">
        <v>0.5</v>
      </c>
    </row>
    <row r="301" spans="1:29" hidden="1" x14ac:dyDescent="0.25">
      <c r="A301" s="10" t="s">
        <v>245</v>
      </c>
      <c r="B301" s="10" t="s">
        <v>1171</v>
      </c>
      <c r="C301" s="10" t="s">
        <v>1172</v>
      </c>
      <c r="D301" s="10"/>
      <c r="E301" s="10"/>
      <c r="F301" s="10" t="s">
        <v>1173</v>
      </c>
      <c r="G301" s="10" t="s">
        <v>1174</v>
      </c>
      <c r="H301" s="12">
        <v>75.709999999999994</v>
      </c>
      <c r="I301">
        <v>1</v>
      </c>
      <c r="J301" s="12">
        <v>75.709999999999994</v>
      </c>
      <c r="K301" s="10" t="s">
        <v>284</v>
      </c>
      <c r="L301" s="2">
        <v>45854</v>
      </c>
      <c r="M301" s="10"/>
      <c r="O301" s="10"/>
      <c r="X301" s="13">
        <v>0</v>
      </c>
      <c r="Y301" s="10" t="s">
        <v>901</v>
      </c>
      <c r="Z301" s="10" t="s">
        <v>941</v>
      </c>
      <c r="AA301" s="10"/>
      <c r="AB301" s="10"/>
      <c r="AC301" s="10"/>
    </row>
    <row r="302" spans="1:29" hidden="1" x14ac:dyDescent="0.25">
      <c r="A302" s="10" t="s">
        <v>1100</v>
      </c>
      <c r="B302" s="10" t="s">
        <v>1175</v>
      </c>
      <c r="C302" s="10" t="s">
        <v>1176</v>
      </c>
      <c r="D302" s="10"/>
      <c r="E302" s="10" t="s">
        <v>1177</v>
      </c>
      <c r="F302" s="10" t="s">
        <v>1102</v>
      </c>
      <c r="G302" s="10" t="s">
        <v>1178</v>
      </c>
      <c r="H302" s="12">
        <v>144</v>
      </c>
      <c r="I302">
        <v>1</v>
      </c>
      <c r="J302" s="12">
        <v>144</v>
      </c>
      <c r="K302" s="10" t="s">
        <v>284</v>
      </c>
      <c r="L302" s="2">
        <v>45854</v>
      </c>
      <c r="M302" s="10"/>
      <c r="O302" s="10"/>
      <c r="X302" s="13">
        <v>0</v>
      </c>
      <c r="Y302" s="10" t="s">
        <v>901</v>
      </c>
      <c r="Z302" s="10" t="s">
        <v>941</v>
      </c>
      <c r="AA302" s="10"/>
      <c r="AB302" s="10"/>
      <c r="AC302" s="10"/>
    </row>
    <row r="303" spans="1:29" hidden="1" x14ac:dyDescent="0.25">
      <c r="A303" s="10" t="s">
        <v>1100</v>
      </c>
      <c r="B303" s="10" t="s">
        <v>1175</v>
      </c>
      <c r="C303" s="10" t="s">
        <v>1176</v>
      </c>
      <c r="D303" s="10"/>
      <c r="E303" s="10" t="s">
        <v>1177</v>
      </c>
      <c r="F303" s="10" t="s">
        <v>1104</v>
      </c>
      <c r="G303" s="10" t="s">
        <v>1179</v>
      </c>
      <c r="H303" s="12">
        <v>299.14</v>
      </c>
      <c r="I303">
        <v>1</v>
      </c>
      <c r="J303" s="12">
        <v>299.14</v>
      </c>
      <c r="K303" s="10" t="s">
        <v>284</v>
      </c>
      <c r="L303" s="2">
        <v>45854</v>
      </c>
      <c r="M303" s="10"/>
      <c r="O303" s="10"/>
      <c r="X303" s="13">
        <v>0</v>
      </c>
      <c r="Y303" s="10" t="s">
        <v>901</v>
      </c>
      <c r="Z303" s="10" t="s">
        <v>941</v>
      </c>
      <c r="AA303" s="10"/>
      <c r="AB303" s="10"/>
      <c r="AC303" s="10"/>
    </row>
    <row r="304" spans="1:29" hidden="1" x14ac:dyDescent="0.25">
      <c r="A304" s="10" t="s">
        <v>1100</v>
      </c>
      <c r="B304" s="10" t="s">
        <v>1175</v>
      </c>
      <c r="C304" s="10" t="s">
        <v>1176</v>
      </c>
      <c r="D304" s="10"/>
      <c r="E304" s="10" t="s">
        <v>1177</v>
      </c>
      <c r="F304" s="10" t="s">
        <v>1105</v>
      </c>
      <c r="G304" s="10" t="s">
        <v>1180</v>
      </c>
      <c r="H304" s="12">
        <v>283.72000000000003</v>
      </c>
      <c r="I304">
        <v>1</v>
      </c>
      <c r="J304" s="12">
        <v>283.72000000000003</v>
      </c>
      <c r="K304" s="10" t="s">
        <v>284</v>
      </c>
      <c r="L304" s="2">
        <v>45854</v>
      </c>
      <c r="M304" s="10"/>
      <c r="O304" s="10"/>
      <c r="X304" s="13">
        <v>0</v>
      </c>
      <c r="Y304" s="10" t="s">
        <v>901</v>
      </c>
      <c r="Z304" s="10" t="s">
        <v>941</v>
      </c>
      <c r="AA304" s="10"/>
      <c r="AB304" s="10"/>
      <c r="AC304" s="10"/>
    </row>
    <row r="305" spans="1:29" hidden="1" x14ac:dyDescent="0.25">
      <c r="A305" s="10" t="s">
        <v>1100</v>
      </c>
      <c r="B305" s="10" t="s">
        <v>1175</v>
      </c>
      <c r="C305" s="10" t="s">
        <v>1176</v>
      </c>
      <c r="D305" s="10"/>
      <c r="E305" s="10" t="s">
        <v>1177</v>
      </c>
      <c r="F305" s="10" t="s">
        <v>1106</v>
      </c>
      <c r="G305" s="10" t="s">
        <v>1181</v>
      </c>
      <c r="H305" s="12">
        <v>104.85</v>
      </c>
      <c r="I305">
        <v>1</v>
      </c>
      <c r="J305" s="12">
        <v>104.85</v>
      </c>
      <c r="K305" s="10" t="s">
        <v>284</v>
      </c>
      <c r="L305" s="2">
        <v>45854</v>
      </c>
      <c r="M305" s="10"/>
      <c r="O305" s="10"/>
      <c r="X305" s="13">
        <v>0</v>
      </c>
      <c r="Y305" s="10" t="s">
        <v>901</v>
      </c>
      <c r="Z305" s="10" t="s">
        <v>941</v>
      </c>
      <c r="AA305" s="10"/>
      <c r="AB305" s="10"/>
      <c r="AC305" s="10"/>
    </row>
    <row r="306" spans="1:29" hidden="1" x14ac:dyDescent="0.25">
      <c r="A306" s="10" t="s">
        <v>1100</v>
      </c>
      <c r="B306" s="10" t="s">
        <v>1175</v>
      </c>
      <c r="C306" s="10" t="s">
        <v>1176</v>
      </c>
      <c r="D306" s="10"/>
      <c r="E306" s="10" t="s">
        <v>1177</v>
      </c>
      <c r="F306" s="10" t="s">
        <v>1107</v>
      </c>
      <c r="G306" s="10" t="s">
        <v>1182</v>
      </c>
      <c r="H306" s="12">
        <v>51.91</v>
      </c>
      <c r="I306">
        <v>1</v>
      </c>
      <c r="J306" s="12">
        <v>51.91</v>
      </c>
      <c r="K306" s="10" t="s">
        <v>284</v>
      </c>
      <c r="L306" s="2">
        <v>45854</v>
      </c>
      <c r="M306" s="10"/>
      <c r="O306" s="10"/>
      <c r="X306" s="13">
        <v>0</v>
      </c>
      <c r="Y306" s="10" t="s">
        <v>901</v>
      </c>
      <c r="Z306" s="10" t="s">
        <v>941</v>
      </c>
      <c r="AA306" s="10"/>
      <c r="AB306" s="10"/>
      <c r="AC306" s="10"/>
    </row>
    <row r="307" spans="1:29" hidden="1" x14ac:dyDescent="0.25">
      <c r="A307" s="10" t="s">
        <v>620</v>
      </c>
      <c r="B307" s="10"/>
      <c r="C307" s="10"/>
      <c r="D307" s="10"/>
      <c r="E307" s="10" t="s">
        <v>1177</v>
      </c>
      <c r="F307" s="10" t="s">
        <v>1183</v>
      </c>
      <c r="G307" s="10" t="s">
        <v>1184</v>
      </c>
      <c r="H307" s="12">
        <v>491.42</v>
      </c>
      <c r="I307">
        <v>1</v>
      </c>
      <c r="J307" s="12">
        <v>491.42</v>
      </c>
      <c r="K307" s="10" t="s">
        <v>284</v>
      </c>
      <c r="L307" s="2">
        <v>45854</v>
      </c>
      <c r="M307" s="10"/>
      <c r="O307" s="10"/>
      <c r="X307" s="13">
        <v>0</v>
      </c>
      <c r="Y307" s="10" t="s">
        <v>901</v>
      </c>
      <c r="Z307" s="10" t="s">
        <v>941</v>
      </c>
      <c r="AA307" s="10"/>
      <c r="AB307" s="10"/>
      <c r="AC307" s="10"/>
    </row>
    <row r="308" spans="1:29" hidden="1" x14ac:dyDescent="0.25">
      <c r="A308" s="10" t="s">
        <v>620</v>
      </c>
      <c r="B308" s="10"/>
      <c r="C308" s="10"/>
      <c r="D308" s="10"/>
      <c r="E308" s="10" t="s">
        <v>1177</v>
      </c>
      <c r="F308" s="10" t="s">
        <v>1185</v>
      </c>
      <c r="G308" s="10" t="s">
        <v>1186</v>
      </c>
      <c r="H308" s="12">
        <v>66.91</v>
      </c>
      <c r="I308">
        <v>1</v>
      </c>
      <c r="J308" s="12">
        <v>66.91</v>
      </c>
      <c r="K308" s="10" t="s">
        <v>284</v>
      </c>
      <c r="L308" s="2">
        <v>45854</v>
      </c>
      <c r="M308" s="10"/>
      <c r="O308" s="10"/>
      <c r="X308" s="13">
        <v>9</v>
      </c>
      <c r="Y308" s="10" t="s">
        <v>901</v>
      </c>
      <c r="Z308" s="10" t="s">
        <v>941</v>
      </c>
      <c r="AA308" s="10">
        <v>8</v>
      </c>
      <c r="AB308" s="10">
        <v>8</v>
      </c>
      <c r="AC308" s="10"/>
    </row>
    <row r="309" spans="1:29" hidden="1" x14ac:dyDescent="0.25">
      <c r="A309" s="10" t="s">
        <v>1100</v>
      </c>
      <c r="B309" s="10" t="s">
        <v>1187</v>
      </c>
      <c r="C309" s="10" t="s">
        <v>1188</v>
      </c>
      <c r="D309" s="10"/>
      <c r="E309" s="10" t="s">
        <v>1189</v>
      </c>
      <c r="F309" s="10" t="s">
        <v>1190</v>
      </c>
      <c r="G309" s="10" t="s">
        <v>1191</v>
      </c>
      <c r="H309" s="12">
        <v>1.92</v>
      </c>
      <c r="I309">
        <v>1</v>
      </c>
      <c r="J309" s="12">
        <v>1.92</v>
      </c>
      <c r="K309" s="10" t="s">
        <v>284</v>
      </c>
      <c r="L309" s="2">
        <v>45854</v>
      </c>
      <c r="M309" s="10"/>
      <c r="O309" s="10"/>
      <c r="X309" s="13">
        <v>0</v>
      </c>
      <c r="Y309" s="10" t="s">
        <v>901</v>
      </c>
      <c r="Z309" s="10" t="s">
        <v>941</v>
      </c>
      <c r="AA309" s="10"/>
      <c r="AB309" s="10"/>
      <c r="AC309" s="10"/>
    </row>
    <row r="310" spans="1:29" hidden="1" x14ac:dyDescent="0.25">
      <c r="A310" s="10" t="s">
        <v>29</v>
      </c>
      <c r="B310" s="10" t="s">
        <v>1192</v>
      </c>
      <c r="C310" s="10"/>
      <c r="D310" s="10" t="s">
        <v>1193</v>
      </c>
      <c r="E310" s="10" t="s">
        <v>285</v>
      </c>
      <c r="F310" s="10" t="s">
        <v>1109</v>
      </c>
      <c r="G310" s="10" t="s">
        <v>1194</v>
      </c>
      <c r="H310" s="12">
        <v>283.51</v>
      </c>
      <c r="I310">
        <v>1</v>
      </c>
      <c r="J310" s="12">
        <v>283.51</v>
      </c>
      <c r="K310" s="10" t="s">
        <v>284</v>
      </c>
      <c r="L310" s="2">
        <v>45854</v>
      </c>
      <c r="M310" s="10"/>
      <c r="O310" s="10"/>
      <c r="X310" s="13">
        <v>7</v>
      </c>
      <c r="Y310" s="10" t="s">
        <v>901</v>
      </c>
      <c r="Z310" s="10" t="s">
        <v>941</v>
      </c>
      <c r="AA310" s="10">
        <v>1</v>
      </c>
      <c r="AB310" s="10">
        <v>1</v>
      </c>
      <c r="AC310" s="10"/>
    </row>
    <row r="311" spans="1:29" hidden="1" x14ac:dyDescent="0.25">
      <c r="A311" s="10" t="s">
        <v>29</v>
      </c>
      <c r="B311" s="10" t="s">
        <v>1192</v>
      </c>
      <c r="C311" s="10"/>
      <c r="D311" s="10" t="s">
        <v>1195</v>
      </c>
      <c r="E311" s="10" t="s">
        <v>285</v>
      </c>
      <c r="F311" s="10" t="s">
        <v>1111</v>
      </c>
      <c r="G311" s="10" t="s">
        <v>1196</v>
      </c>
      <c r="H311" s="12">
        <v>148.61000000000001</v>
      </c>
      <c r="I311">
        <v>1</v>
      </c>
      <c r="J311" s="12">
        <v>148.61000000000001</v>
      </c>
      <c r="K311" s="10" t="s">
        <v>284</v>
      </c>
      <c r="L311" s="2">
        <v>45854</v>
      </c>
      <c r="M311" s="10"/>
      <c r="O311" s="10"/>
      <c r="X311" s="13">
        <v>0</v>
      </c>
      <c r="Y311" s="10" t="s">
        <v>901</v>
      </c>
      <c r="Z311" s="10" t="s">
        <v>941</v>
      </c>
      <c r="AA311" s="10"/>
      <c r="AB311" s="10"/>
      <c r="AC311" s="10"/>
    </row>
    <row r="312" spans="1:29" hidden="1" x14ac:dyDescent="0.25">
      <c r="A312" s="10" t="s">
        <v>29</v>
      </c>
      <c r="B312" s="10" t="s">
        <v>1192</v>
      </c>
      <c r="C312" s="10"/>
      <c r="D312" s="10" t="s">
        <v>1197</v>
      </c>
      <c r="E312" s="10" t="s">
        <v>285</v>
      </c>
      <c r="F312" s="10" t="s">
        <v>1112</v>
      </c>
      <c r="G312" s="10" t="s">
        <v>1198</v>
      </c>
      <c r="H312" s="12">
        <v>283.45</v>
      </c>
      <c r="I312">
        <v>1</v>
      </c>
      <c r="J312" s="12">
        <v>283.45</v>
      </c>
      <c r="K312" s="10" t="s">
        <v>284</v>
      </c>
      <c r="L312" s="2">
        <v>45854</v>
      </c>
      <c r="M312" s="10"/>
      <c r="O312" s="10"/>
      <c r="X312" s="13">
        <v>0</v>
      </c>
      <c r="Y312" s="10" t="s">
        <v>901</v>
      </c>
      <c r="Z312" s="10" t="s">
        <v>941</v>
      </c>
      <c r="AA312" s="10"/>
      <c r="AB312" s="10"/>
      <c r="AC312" s="10"/>
    </row>
    <row r="313" spans="1:29" hidden="1" x14ac:dyDescent="0.25">
      <c r="A313" s="10" t="s">
        <v>29</v>
      </c>
      <c r="B313" s="10" t="s">
        <v>1192</v>
      </c>
      <c r="C313" s="10"/>
      <c r="D313" s="10" t="s">
        <v>1199</v>
      </c>
      <c r="E313" s="10" t="s">
        <v>285</v>
      </c>
      <c r="F313" s="10" t="s">
        <v>1113</v>
      </c>
      <c r="G313" s="10" t="s">
        <v>1200</v>
      </c>
      <c r="H313" s="12">
        <v>271.41000000000003</v>
      </c>
      <c r="I313">
        <v>1</v>
      </c>
      <c r="J313" s="12">
        <v>271.41000000000003</v>
      </c>
      <c r="K313" s="10" t="s">
        <v>284</v>
      </c>
      <c r="L313" s="2">
        <v>45854</v>
      </c>
      <c r="M313" s="10"/>
      <c r="O313" s="10"/>
      <c r="X313" s="13">
        <v>7</v>
      </c>
      <c r="Y313" s="10" t="s">
        <v>901</v>
      </c>
      <c r="Z313" s="10" t="s">
        <v>941</v>
      </c>
      <c r="AA313" s="10">
        <v>1</v>
      </c>
      <c r="AB313" s="10">
        <v>1</v>
      </c>
      <c r="AC313" s="10"/>
    </row>
    <row r="314" spans="1:29" hidden="1" x14ac:dyDescent="0.25">
      <c r="A314" s="10" t="s">
        <v>29</v>
      </c>
      <c r="B314" s="10" t="s">
        <v>1192</v>
      </c>
      <c r="C314" s="10"/>
      <c r="D314" s="10" t="s">
        <v>1201</v>
      </c>
      <c r="E314" s="10" t="s">
        <v>285</v>
      </c>
      <c r="F314" s="10" t="s">
        <v>1114</v>
      </c>
      <c r="G314" s="10" t="s">
        <v>1202</v>
      </c>
      <c r="H314" s="12">
        <v>341.09</v>
      </c>
      <c r="I314">
        <v>1</v>
      </c>
      <c r="J314" s="12">
        <v>341.09</v>
      </c>
      <c r="K314" s="10" t="s">
        <v>284</v>
      </c>
      <c r="L314" s="2">
        <v>45854</v>
      </c>
      <c r="M314" s="10"/>
      <c r="O314" s="10"/>
      <c r="X314" s="13">
        <v>0</v>
      </c>
      <c r="Y314" s="10" t="s">
        <v>901</v>
      </c>
      <c r="Z314" s="10" t="s">
        <v>941</v>
      </c>
      <c r="AA314" s="10"/>
      <c r="AB314" s="10"/>
      <c r="AC314" s="10"/>
    </row>
    <row r="315" spans="1:29" hidden="1" x14ac:dyDescent="0.25">
      <c r="A315" s="10" t="s">
        <v>29</v>
      </c>
      <c r="B315" s="10" t="s">
        <v>1192</v>
      </c>
      <c r="C315" s="10"/>
      <c r="D315" s="10"/>
      <c r="E315" s="10" t="s">
        <v>285</v>
      </c>
      <c r="F315" s="10" t="s">
        <v>1115</v>
      </c>
      <c r="G315" s="10" t="s">
        <v>1203</v>
      </c>
      <c r="H315" s="12">
        <v>163.62</v>
      </c>
      <c r="I315">
        <v>1</v>
      </c>
      <c r="J315" s="12">
        <v>163.62</v>
      </c>
      <c r="K315" s="10" t="s">
        <v>284</v>
      </c>
      <c r="L315" s="2">
        <v>45854</v>
      </c>
      <c r="M315" s="10"/>
      <c r="O315" s="10"/>
      <c r="X315" s="13">
        <v>0</v>
      </c>
      <c r="Y315" s="10" t="s">
        <v>901</v>
      </c>
      <c r="Z315" s="10" t="s">
        <v>941</v>
      </c>
      <c r="AA315" s="10"/>
      <c r="AB315" s="10"/>
      <c r="AC315" s="10"/>
    </row>
    <row r="316" spans="1:29" hidden="1" x14ac:dyDescent="0.25">
      <c r="A316" s="10" t="s">
        <v>29</v>
      </c>
      <c r="B316" s="10" t="s">
        <v>1192</v>
      </c>
      <c r="C316" s="10"/>
      <c r="D316" s="10"/>
      <c r="E316" s="10" t="s">
        <v>285</v>
      </c>
      <c r="F316" s="10" t="s">
        <v>1116</v>
      </c>
      <c r="G316" s="10" t="s">
        <v>1204</v>
      </c>
      <c r="H316" s="12">
        <v>371.32</v>
      </c>
      <c r="I316">
        <v>1</v>
      </c>
      <c r="J316" s="12">
        <v>371.32</v>
      </c>
      <c r="K316" s="10" t="s">
        <v>284</v>
      </c>
      <c r="L316" s="2">
        <v>45854</v>
      </c>
      <c r="M316" s="10"/>
      <c r="O316" s="10"/>
      <c r="X316" s="13">
        <v>7</v>
      </c>
      <c r="Y316" s="10" t="s">
        <v>901</v>
      </c>
      <c r="Z316" s="10" t="s">
        <v>941</v>
      </c>
      <c r="AA316" s="10">
        <v>1</v>
      </c>
      <c r="AB316" s="10">
        <v>1</v>
      </c>
      <c r="AC316" s="10"/>
    </row>
    <row r="317" spans="1:29" hidden="1" x14ac:dyDescent="0.25">
      <c r="A317" s="10" t="s">
        <v>891</v>
      </c>
      <c r="B317" s="10"/>
      <c r="C317" s="10" t="s">
        <v>892</v>
      </c>
      <c r="D317" s="10" t="s">
        <v>893</v>
      </c>
      <c r="E317" s="10" t="s">
        <v>894</v>
      </c>
      <c r="F317" s="10" t="s">
        <v>1205</v>
      </c>
      <c r="G317" s="10" t="s">
        <v>1206</v>
      </c>
      <c r="H317" s="12">
        <v>12756</v>
      </c>
      <c r="I317">
        <v>1</v>
      </c>
      <c r="J317" s="12">
        <v>12756</v>
      </c>
      <c r="K317" s="10" t="s">
        <v>895</v>
      </c>
      <c r="L317" s="2"/>
      <c r="M317" s="10"/>
      <c r="O317" s="10"/>
      <c r="X317" s="13">
        <v>45854</v>
      </c>
      <c r="Y317" s="10" t="s">
        <v>901</v>
      </c>
      <c r="Z317" s="10" t="s">
        <v>941</v>
      </c>
      <c r="AA317" s="10"/>
      <c r="AB317" s="10"/>
      <c r="AC317" s="10"/>
    </row>
    <row r="318" spans="1:29" hidden="1" x14ac:dyDescent="0.25">
      <c r="A318" s="10" t="s">
        <v>891</v>
      </c>
      <c r="B318" s="10"/>
      <c r="C318" s="10" t="s">
        <v>897</v>
      </c>
      <c r="D318" s="10" t="s">
        <v>896</v>
      </c>
      <c r="E318" s="10" t="s">
        <v>894</v>
      </c>
      <c r="F318" s="10" t="s">
        <v>1207</v>
      </c>
      <c r="G318" s="10" t="s">
        <v>1208</v>
      </c>
      <c r="H318" s="12">
        <v>11795</v>
      </c>
      <c r="I318">
        <v>1.03</v>
      </c>
      <c r="J318" s="12">
        <v>12148.85</v>
      </c>
      <c r="K318" s="10" t="s">
        <v>895</v>
      </c>
      <c r="L318" s="2"/>
      <c r="M318" s="10"/>
      <c r="O318" s="10"/>
      <c r="X318" s="13">
        <v>45854</v>
      </c>
      <c r="Y318" s="10" t="s">
        <v>901</v>
      </c>
      <c r="Z318" s="10" t="s">
        <v>941</v>
      </c>
      <c r="AA318" s="10"/>
      <c r="AB318" s="10"/>
      <c r="AC318" s="10"/>
    </row>
    <row r="319" spans="1:29" hidden="1" x14ac:dyDescent="0.25">
      <c r="A319" s="10" t="s">
        <v>891</v>
      </c>
      <c r="B319" s="10"/>
      <c r="C319" s="10" t="s">
        <v>1209</v>
      </c>
      <c r="D319" s="10" t="s">
        <v>1210</v>
      </c>
      <c r="E319" s="10" t="s">
        <v>894</v>
      </c>
      <c r="F319" s="10" t="s">
        <v>1211</v>
      </c>
      <c r="G319" s="10" t="s">
        <v>1212</v>
      </c>
      <c r="H319" s="12">
        <v>6250</v>
      </c>
      <c r="I319">
        <v>1.05</v>
      </c>
      <c r="J319" s="12">
        <v>6562.5</v>
      </c>
      <c r="K319" s="10" t="s">
        <v>895</v>
      </c>
      <c r="L319" s="2">
        <v>45700</v>
      </c>
      <c r="M319" s="10"/>
      <c r="O319" s="10"/>
      <c r="X319" s="13">
        <v>159</v>
      </c>
      <c r="Y319" s="10" t="s">
        <v>901</v>
      </c>
      <c r="Z319" s="10" t="s">
        <v>941</v>
      </c>
      <c r="AA319" s="10"/>
      <c r="AB319" s="10"/>
      <c r="AC319" s="10"/>
    </row>
    <row r="320" spans="1:29" hidden="1" x14ac:dyDescent="0.25">
      <c r="A320" s="10" t="s">
        <v>624</v>
      </c>
      <c r="B320" s="10" t="s">
        <v>1213</v>
      </c>
      <c r="C320" s="10"/>
      <c r="D320" s="10" t="s">
        <v>1214</v>
      </c>
      <c r="E320" s="10" t="s">
        <v>285</v>
      </c>
      <c r="F320" s="10" t="s">
        <v>1215</v>
      </c>
      <c r="G320" s="10" t="s">
        <v>1216</v>
      </c>
      <c r="H320" s="12">
        <v>1062.81</v>
      </c>
      <c r="I320">
        <v>1</v>
      </c>
      <c r="J320" s="12">
        <v>1062.81</v>
      </c>
      <c r="K320" s="10" t="s">
        <v>284</v>
      </c>
      <c r="L320" s="2">
        <v>45854</v>
      </c>
      <c r="M320" s="10"/>
      <c r="O320" s="10"/>
      <c r="X320" s="13">
        <v>6</v>
      </c>
      <c r="Y320" s="10" t="s">
        <v>901</v>
      </c>
      <c r="Z320" s="10" t="s">
        <v>941</v>
      </c>
      <c r="AA320" s="10">
        <v>1</v>
      </c>
      <c r="AB320" s="10"/>
      <c r="AC320" s="10"/>
    </row>
    <row r="321" spans="1:29" hidden="1" x14ac:dyDescent="0.25">
      <c r="A321" s="10" t="s">
        <v>733</v>
      </c>
      <c r="B321" s="10"/>
      <c r="C321" s="10"/>
      <c r="D321" s="10"/>
      <c r="E321" s="10" t="s">
        <v>285</v>
      </c>
      <c r="F321" s="10" t="s">
        <v>1217</v>
      </c>
      <c r="G321" s="10" t="s">
        <v>1218</v>
      </c>
      <c r="H321" s="12">
        <v>115.80058</v>
      </c>
      <c r="I321">
        <v>1</v>
      </c>
      <c r="J321" s="12">
        <v>115.80058</v>
      </c>
      <c r="K321" s="10" t="s">
        <v>284</v>
      </c>
      <c r="L321" s="2">
        <v>45838</v>
      </c>
      <c r="M321" s="10"/>
      <c r="O321" s="10"/>
      <c r="X321" s="13">
        <v>17</v>
      </c>
      <c r="Y321" s="10" t="s">
        <v>901</v>
      </c>
      <c r="Z321" s="10" t="s">
        <v>941</v>
      </c>
      <c r="AA321" s="10"/>
      <c r="AB321" s="10"/>
      <c r="AC321" s="10"/>
    </row>
    <row r="322" spans="1:29" hidden="1" x14ac:dyDescent="0.25">
      <c r="A322" s="10" t="s">
        <v>287</v>
      </c>
      <c r="B322" s="10" t="s">
        <v>549</v>
      </c>
      <c r="C322" s="10"/>
      <c r="D322" s="10"/>
      <c r="E322" s="10"/>
      <c r="F322" s="10" t="s">
        <v>1219</v>
      </c>
      <c r="G322" s="10" t="s">
        <v>1220</v>
      </c>
      <c r="H322" s="12">
        <v>21.44</v>
      </c>
      <c r="I322">
        <v>1</v>
      </c>
      <c r="J322" s="12">
        <v>21.44</v>
      </c>
      <c r="K322" s="10" t="s">
        <v>284</v>
      </c>
      <c r="L322" s="2">
        <v>45855</v>
      </c>
      <c r="M322" s="10"/>
      <c r="O322" s="10"/>
      <c r="X322" s="13">
        <v>0</v>
      </c>
      <c r="Y322" s="10" t="s">
        <v>901</v>
      </c>
      <c r="Z322" s="10" t="s">
        <v>941</v>
      </c>
      <c r="AA322" s="10"/>
      <c r="AB322" s="10"/>
      <c r="AC322" s="10"/>
    </row>
    <row r="323" spans="1:29" hidden="1" x14ac:dyDescent="0.25">
      <c r="A323" s="10" t="s">
        <v>287</v>
      </c>
      <c r="B323" s="10" t="s">
        <v>288</v>
      </c>
      <c r="C323" s="10"/>
      <c r="D323" s="10"/>
      <c r="E323" s="10"/>
      <c r="F323" s="10" t="s">
        <v>1221</v>
      </c>
      <c r="G323" s="10" t="s">
        <v>1222</v>
      </c>
      <c r="H323" s="12">
        <v>29.1</v>
      </c>
      <c r="I323">
        <v>1</v>
      </c>
      <c r="J323" s="12">
        <v>29.1</v>
      </c>
      <c r="K323" s="10" t="s">
        <v>284</v>
      </c>
      <c r="L323" s="2">
        <v>45855</v>
      </c>
      <c r="M323" s="10"/>
      <c r="O323" s="10"/>
      <c r="X323" s="13">
        <v>0</v>
      </c>
      <c r="Y323" s="10" t="s">
        <v>901</v>
      </c>
      <c r="Z323" s="10" t="s">
        <v>941</v>
      </c>
      <c r="AA323" s="10"/>
      <c r="AB323" s="10"/>
      <c r="AC323" s="10"/>
    </row>
    <row r="324" spans="1:29" hidden="1" x14ac:dyDescent="0.25">
      <c r="A324" s="10" t="s">
        <v>287</v>
      </c>
      <c r="B324" s="10" t="s">
        <v>288</v>
      </c>
      <c r="C324" s="10"/>
      <c r="D324" s="10"/>
      <c r="E324" s="10"/>
      <c r="F324" s="10" t="s">
        <v>1223</v>
      </c>
      <c r="G324" s="10" t="s">
        <v>1224</v>
      </c>
      <c r="H324" s="12">
        <v>44.68</v>
      </c>
      <c r="I324">
        <v>1</v>
      </c>
      <c r="J324" s="12">
        <v>44.68</v>
      </c>
      <c r="K324" s="10" t="s">
        <v>284</v>
      </c>
      <c r="L324" s="2">
        <v>45855</v>
      </c>
      <c r="M324" s="10"/>
      <c r="O324" s="10"/>
      <c r="X324" s="13">
        <v>0</v>
      </c>
      <c r="Y324" s="10" t="s">
        <v>901</v>
      </c>
      <c r="Z324" s="10" t="s">
        <v>941</v>
      </c>
      <c r="AA324" s="10"/>
      <c r="AB324" s="10"/>
      <c r="AC324" s="10"/>
    </row>
    <row r="325" spans="1:29" hidden="1" x14ac:dyDescent="0.25">
      <c r="A325" s="10" t="s">
        <v>287</v>
      </c>
      <c r="B325" s="10" t="s">
        <v>288</v>
      </c>
      <c r="C325" s="10"/>
      <c r="D325" s="10"/>
      <c r="E325" s="10"/>
      <c r="F325" s="10" t="s">
        <v>1225</v>
      </c>
      <c r="G325" s="10" t="s">
        <v>1226</v>
      </c>
      <c r="H325" s="12">
        <v>79.14</v>
      </c>
      <c r="I325">
        <v>1</v>
      </c>
      <c r="J325" s="12">
        <v>79.14</v>
      </c>
      <c r="K325" s="10" t="s">
        <v>284</v>
      </c>
      <c r="L325" s="2">
        <v>45855</v>
      </c>
      <c r="M325" s="10"/>
      <c r="O325" s="10"/>
      <c r="X325" s="13">
        <v>0</v>
      </c>
      <c r="Y325" s="10" t="s">
        <v>901</v>
      </c>
      <c r="Z325" s="10" t="s">
        <v>941</v>
      </c>
      <c r="AA325" s="10"/>
      <c r="AB325" s="10"/>
      <c r="AC325" s="10"/>
    </row>
    <row r="326" spans="1:29" hidden="1" x14ac:dyDescent="0.25">
      <c r="A326" s="10" t="s">
        <v>287</v>
      </c>
      <c r="B326" s="10" t="s">
        <v>288</v>
      </c>
      <c r="C326" s="10"/>
      <c r="D326" s="10"/>
      <c r="E326" s="10"/>
      <c r="F326" s="10" t="s">
        <v>1227</v>
      </c>
      <c r="G326" s="10" t="s">
        <v>1228</v>
      </c>
      <c r="H326" s="12">
        <v>160.16999999999999</v>
      </c>
      <c r="I326">
        <v>1</v>
      </c>
      <c r="J326" s="12">
        <v>160.16999999999999</v>
      </c>
      <c r="K326" s="10" t="s">
        <v>284</v>
      </c>
      <c r="L326" s="2">
        <v>45855</v>
      </c>
      <c r="M326" s="10"/>
      <c r="O326" s="10"/>
      <c r="X326" s="13">
        <v>0</v>
      </c>
      <c r="Y326" s="10" t="s">
        <v>901</v>
      </c>
      <c r="Z326" s="10" t="s">
        <v>941</v>
      </c>
      <c r="AA326" s="10"/>
      <c r="AB326" s="10"/>
      <c r="AC326" s="10"/>
    </row>
    <row r="327" spans="1:29" hidden="1" x14ac:dyDescent="0.25">
      <c r="A327" s="10" t="s">
        <v>287</v>
      </c>
      <c r="B327" s="10" t="s">
        <v>1229</v>
      </c>
      <c r="C327" s="10"/>
      <c r="D327" s="10"/>
      <c r="E327" s="10"/>
      <c r="F327" s="10" t="s">
        <v>1230</v>
      </c>
      <c r="G327" s="10" t="s">
        <v>1231</v>
      </c>
      <c r="H327" s="12">
        <v>2.5</v>
      </c>
      <c r="I327">
        <v>1</v>
      </c>
      <c r="J327" s="12">
        <v>2.5</v>
      </c>
      <c r="K327" s="10" t="s">
        <v>284</v>
      </c>
      <c r="L327" s="2">
        <v>45855</v>
      </c>
      <c r="M327" s="10"/>
      <c r="O327" s="10"/>
      <c r="X327" s="13">
        <v>0</v>
      </c>
      <c r="Y327" s="10" t="s">
        <v>901</v>
      </c>
      <c r="Z327" s="10" t="s">
        <v>941</v>
      </c>
      <c r="AA327" s="10"/>
      <c r="AB327" s="10"/>
      <c r="AC327" s="10"/>
    </row>
    <row r="328" spans="1:29" hidden="1" x14ac:dyDescent="0.25">
      <c r="A328" s="10" t="s">
        <v>178</v>
      </c>
      <c r="B328" s="10" t="s">
        <v>1047</v>
      </c>
      <c r="C328" s="10"/>
      <c r="D328" s="10" t="s">
        <v>1256</v>
      </c>
      <c r="E328" s="10" t="s">
        <v>285</v>
      </c>
      <c r="F328" s="10" t="s">
        <v>1235</v>
      </c>
      <c r="G328" s="10" t="s">
        <v>1257</v>
      </c>
      <c r="H328" s="12">
        <v>539.44000000000005</v>
      </c>
      <c r="I328">
        <v>1</v>
      </c>
      <c r="J328" s="12">
        <v>539.44000000000005</v>
      </c>
      <c r="K328" s="10" t="s">
        <v>284</v>
      </c>
      <c r="L328" s="2">
        <v>45855</v>
      </c>
      <c r="M328" s="10"/>
      <c r="O328" s="10"/>
      <c r="X328" s="13">
        <v>8</v>
      </c>
      <c r="Y328" s="10" t="s">
        <v>901</v>
      </c>
      <c r="Z328" s="10" t="s">
        <v>941</v>
      </c>
      <c r="AA328" s="10"/>
      <c r="AB328" s="10">
        <v>0.5</v>
      </c>
      <c r="AC328" s="10"/>
    </row>
    <row r="329" spans="1:29" hidden="1" x14ac:dyDescent="0.25">
      <c r="A329" s="10" t="s">
        <v>178</v>
      </c>
      <c r="B329" s="10" t="s">
        <v>1047</v>
      </c>
      <c r="C329" s="10"/>
      <c r="D329" s="10" t="s">
        <v>1258</v>
      </c>
      <c r="E329" s="10" t="s">
        <v>285</v>
      </c>
      <c r="F329" s="10" t="s">
        <v>1236</v>
      </c>
      <c r="G329" s="10" t="s">
        <v>1259</v>
      </c>
      <c r="H329" s="12">
        <v>435.36</v>
      </c>
      <c r="I329">
        <v>1</v>
      </c>
      <c r="J329" s="12">
        <v>435.36</v>
      </c>
      <c r="K329" s="10" t="s">
        <v>284</v>
      </c>
      <c r="L329" s="2">
        <v>45855</v>
      </c>
      <c r="M329" s="10"/>
      <c r="O329" s="10"/>
      <c r="X329" s="13">
        <v>8</v>
      </c>
      <c r="Y329" s="10" t="s">
        <v>901</v>
      </c>
      <c r="Z329" s="10" t="s">
        <v>941</v>
      </c>
      <c r="AA329" s="10"/>
      <c r="AB329" s="10">
        <v>0.5</v>
      </c>
      <c r="AC329" s="10"/>
    </row>
    <row r="330" spans="1:29" hidden="1" x14ac:dyDescent="0.25">
      <c r="A330" s="10" t="s">
        <v>178</v>
      </c>
      <c r="B330" s="10" t="s">
        <v>1047</v>
      </c>
      <c r="C330" s="10"/>
      <c r="D330" s="10" t="s">
        <v>1260</v>
      </c>
      <c r="E330" s="10" t="s">
        <v>285</v>
      </c>
      <c r="F330" s="10" t="s">
        <v>1237</v>
      </c>
      <c r="G330" s="10" t="s">
        <v>1261</v>
      </c>
      <c r="H330" s="12">
        <v>56.38</v>
      </c>
      <c r="I330">
        <v>1</v>
      </c>
      <c r="J330" s="12">
        <v>56.38</v>
      </c>
      <c r="K330" s="10" t="s">
        <v>284</v>
      </c>
      <c r="L330" s="2">
        <v>45855</v>
      </c>
      <c r="M330" s="10"/>
      <c r="O330" s="10"/>
      <c r="X330" s="13">
        <v>8</v>
      </c>
      <c r="Y330" s="10" t="s">
        <v>901</v>
      </c>
      <c r="Z330" s="10" t="s">
        <v>941</v>
      </c>
      <c r="AA330" s="10"/>
      <c r="AB330" s="10">
        <v>0.1</v>
      </c>
      <c r="AC330" s="10"/>
    </row>
    <row r="331" spans="1:29" hidden="1" x14ac:dyDescent="0.25">
      <c r="A331" s="10" t="s">
        <v>178</v>
      </c>
      <c r="B331" s="10" t="s">
        <v>178</v>
      </c>
      <c r="C331" s="10"/>
      <c r="D331" s="10" t="s">
        <v>1262</v>
      </c>
      <c r="E331" s="10" t="s">
        <v>285</v>
      </c>
      <c r="F331" s="10" t="s">
        <v>1238</v>
      </c>
      <c r="G331" s="10" t="s">
        <v>1263</v>
      </c>
      <c r="H331" s="12">
        <v>19.66</v>
      </c>
      <c r="I331">
        <v>1</v>
      </c>
      <c r="J331" s="12">
        <v>19.66</v>
      </c>
      <c r="K331" s="10" t="s">
        <v>284</v>
      </c>
      <c r="L331" s="2">
        <v>45855</v>
      </c>
      <c r="M331" s="10"/>
      <c r="O331" s="10"/>
      <c r="X331" s="13">
        <v>8</v>
      </c>
      <c r="Y331" s="10" t="s">
        <v>901</v>
      </c>
      <c r="Z331" s="10" t="s">
        <v>941</v>
      </c>
      <c r="AA331" s="10"/>
      <c r="AB331" s="10">
        <v>0.1</v>
      </c>
      <c r="AC331" s="10"/>
    </row>
    <row r="332" spans="1:29" hidden="1" x14ac:dyDescent="0.25">
      <c r="A332" s="10" t="s">
        <v>624</v>
      </c>
      <c r="B332" s="10" t="s">
        <v>969</v>
      </c>
      <c r="C332" s="10"/>
      <c r="D332" s="10" t="s">
        <v>1265</v>
      </c>
      <c r="E332" s="10" t="s">
        <v>285</v>
      </c>
      <c r="F332" s="10" t="s">
        <v>757</v>
      </c>
      <c r="G332" s="10" t="s">
        <v>1264</v>
      </c>
      <c r="H332" s="12">
        <v>385.5</v>
      </c>
      <c r="I332">
        <v>1</v>
      </c>
      <c r="J332" s="12">
        <v>385.5</v>
      </c>
      <c r="K332" s="10" t="s">
        <v>284</v>
      </c>
      <c r="L332" s="2">
        <v>45855</v>
      </c>
      <c r="M332" s="10"/>
      <c r="O332" s="10"/>
      <c r="X332" s="13">
        <v>7</v>
      </c>
      <c r="Y332" s="10" t="s">
        <v>901</v>
      </c>
      <c r="Z332" s="10" t="s">
        <v>941</v>
      </c>
      <c r="AA332" s="10">
        <v>2</v>
      </c>
      <c r="AB332" s="10"/>
      <c r="AC332" s="10">
        <v>2</v>
      </c>
    </row>
    <row r="333" spans="1:29" hidden="1" x14ac:dyDescent="0.25">
      <c r="A333" s="10" t="s">
        <v>1266</v>
      </c>
      <c r="B333" s="10"/>
      <c r="C333" s="10"/>
      <c r="D333" s="10" t="s">
        <v>1272</v>
      </c>
      <c r="E333" s="10" t="s">
        <v>285</v>
      </c>
      <c r="F333" s="10" t="s">
        <v>1242</v>
      </c>
      <c r="G333" s="10" t="s">
        <v>1267</v>
      </c>
      <c r="H333" s="12">
        <v>12.41</v>
      </c>
      <c r="I333">
        <v>1</v>
      </c>
      <c r="J333" s="12">
        <v>12.41</v>
      </c>
      <c r="K333" s="10" t="s">
        <v>284</v>
      </c>
      <c r="L333" s="2">
        <v>45855</v>
      </c>
      <c r="M333" s="10"/>
      <c r="O333" s="10"/>
      <c r="X333" s="13">
        <v>8</v>
      </c>
      <c r="Y333" s="10" t="s">
        <v>901</v>
      </c>
      <c r="Z333" s="10" t="s">
        <v>941</v>
      </c>
      <c r="AA333" s="10"/>
      <c r="AB333" s="10">
        <v>0.05</v>
      </c>
      <c r="AC333" s="10"/>
    </row>
    <row r="334" spans="1:29" hidden="1" x14ac:dyDescent="0.25">
      <c r="A334" s="10" t="s">
        <v>1266</v>
      </c>
      <c r="B334" s="10"/>
      <c r="C334" s="10"/>
      <c r="D334" s="10" t="s">
        <v>1273</v>
      </c>
      <c r="E334" s="10" t="s">
        <v>285</v>
      </c>
      <c r="F334" s="10" t="s">
        <v>1243</v>
      </c>
      <c r="G334" s="10" t="s">
        <v>1268</v>
      </c>
      <c r="H334" s="12">
        <v>23.07</v>
      </c>
      <c r="I334">
        <v>1</v>
      </c>
      <c r="J334" s="12">
        <v>23.07</v>
      </c>
      <c r="K334" s="10" t="s">
        <v>284</v>
      </c>
      <c r="L334" s="2">
        <v>45855</v>
      </c>
      <c r="M334" s="10"/>
      <c r="O334" s="10"/>
      <c r="X334" s="13">
        <v>8</v>
      </c>
      <c r="Y334" s="10" t="s">
        <v>901</v>
      </c>
      <c r="Z334" s="10" t="s">
        <v>941</v>
      </c>
      <c r="AA334" s="10">
        <v>0.25</v>
      </c>
      <c r="AB334" s="10">
        <v>0.5</v>
      </c>
      <c r="AC334" s="10"/>
    </row>
    <row r="335" spans="1:29" hidden="1" x14ac:dyDescent="0.25">
      <c r="A335" s="10" t="s">
        <v>620</v>
      </c>
      <c r="B335" s="10"/>
      <c r="C335" s="10"/>
      <c r="D335" s="10" t="s">
        <v>749</v>
      </c>
      <c r="E335" s="10" t="s">
        <v>503</v>
      </c>
      <c r="F335" s="10" t="s">
        <v>1234</v>
      </c>
      <c r="G335" s="10" t="s">
        <v>1269</v>
      </c>
      <c r="H335" s="12">
        <v>106.88</v>
      </c>
      <c r="I335">
        <v>1</v>
      </c>
      <c r="J335" s="12">
        <v>106.88</v>
      </c>
      <c r="K335" s="10" t="s">
        <v>284</v>
      </c>
      <c r="L335" s="2">
        <v>45855</v>
      </c>
      <c r="M335" s="10"/>
      <c r="O335" s="10"/>
      <c r="X335" s="13">
        <v>8</v>
      </c>
      <c r="Y335" s="10" t="s">
        <v>901</v>
      </c>
      <c r="Z335" s="10" t="s">
        <v>941</v>
      </c>
      <c r="AA335" s="10">
        <v>8</v>
      </c>
      <c r="AB335" s="10">
        <v>8</v>
      </c>
      <c r="AC335" s="10"/>
    </row>
    <row r="336" spans="1:29" hidden="1" x14ac:dyDescent="0.25">
      <c r="A336" s="10" t="s">
        <v>620</v>
      </c>
      <c r="B336" s="10"/>
      <c r="C336" s="10"/>
      <c r="D336" s="10" t="s">
        <v>6</v>
      </c>
      <c r="E336" s="10" t="s">
        <v>503</v>
      </c>
      <c r="F336" s="10" t="s">
        <v>1232</v>
      </c>
      <c r="G336" s="10" t="s">
        <v>1270</v>
      </c>
      <c r="H336" s="12">
        <v>652.91999999999996</v>
      </c>
      <c r="I336">
        <v>1</v>
      </c>
      <c r="J336" s="12">
        <v>652.91999999999996</v>
      </c>
      <c r="K336" s="10" t="s">
        <v>284</v>
      </c>
      <c r="L336" s="2">
        <v>45855</v>
      </c>
      <c r="M336" s="10"/>
      <c r="O336" s="10"/>
      <c r="X336" s="13">
        <v>8</v>
      </c>
      <c r="Y336" s="10" t="s">
        <v>901</v>
      </c>
      <c r="Z336" s="10" t="s">
        <v>941</v>
      </c>
      <c r="AA336" s="10"/>
      <c r="AB336" s="10"/>
      <c r="AC336" s="10">
        <v>4</v>
      </c>
    </row>
    <row r="337" spans="1:29" hidden="1" x14ac:dyDescent="0.25">
      <c r="A337" s="10" t="s">
        <v>1274</v>
      </c>
      <c r="B337" s="10"/>
      <c r="C337" s="10"/>
      <c r="D337" s="10" t="s">
        <v>3</v>
      </c>
      <c r="E337" s="10" t="s">
        <v>1275</v>
      </c>
      <c r="F337" s="10" t="s">
        <v>1240</v>
      </c>
      <c r="G337" s="10" t="s">
        <v>1271</v>
      </c>
      <c r="H337" s="12">
        <v>55.02</v>
      </c>
      <c r="I337">
        <v>1</v>
      </c>
      <c r="J337" s="12">
        <v>55.02</v>
      </c>
      <c r="K337" s="10" t="s">
        <v>284</v>
      </c>
      <c r="L337" s="2">
        <v>45855</v>
      </c>
      <c r="M337" s="10"/>
      <c r="O337" s="10"/>
      <c r="X337" s="13">
        <v>0</v>
      </c>
      <c r="Y337" s="10" t="s">
        <v>901</v>
      </c>
      <c r="Z337" s="10" t="s">
        <v>941</v>
      </c>
      <c r="AA337" s="10"/>
      <c r="AB337" s="10"/>
      <c r="AC337" s="10"/>
    </row>
    <row r="338" spans="1:29" hidden="1" x14ac:dyDescent="0.25">
      <c r="A338" s="10" t="s">
        <v>1276</v>
      </c>
      <c r="B338" s="10"/>
      <c r="C338" s="10"/>
      <c r="D338" s="10"/>
      <c r="E338" s="10" t="s">
        <v>1277</v>
      </c>
      <c r="F338" s="10" t="s">
        <v>1252</v>
      </c>
      <c r="G338" s="10" t="s">
        <v>1278</v>
      </c>
      <c r="H338" s="12">
        <v>220.74</v>
      </c>
      <c r="I338">
        <v>1</v>
      </c>
      <c r="J338" s="12">
        <v>220.74</v>
      </c>
      <c r="K338" s="10" t="s">
        <v>284</v>
      </c>
      <c r="L338" s="2">
        <v>45855</v>
      </c>
      <c r="M338" s="10"/>
      <c r="O338" s="10"/>
      <c r="X338" s="13">
        <v>0</v>
      </c>
      <c r="Y338" s="10" t="s">
        <v>901</v>
      </c>
      <c r="Z338" s="10" t="s">
        <v>941</v>
      </c>
      <c r="AA338" s="10"/>
      <c r="AB338" s="10"/>
      <c r="AC338" s="10"/>
    </row>
    <row r="339" spans="1:29" hidden="1" x14ac:dyDescent="0.25">
      <c r="A339" s="10" t="s">
        <v>1276</v>
      </c>
      <c r="B339" s="10"/>
      <c r="C339" s="10"/>
      <c r="D339" s="10"/>
      <c r="E339" s="10" t="s">
        <v>1277</v>
      </c>
      <c r="F339" s="10" t="s">
        <v>1253</v>
      </c>
      <c r="G339" s="10" t="s">
        <v>1279</v>
      </c>
      <c r="H339" s="12">
        <v>98.75</v>
      </c>
      <c r="I339">
        <v>1</v>
      </c>
      <c r="J339" s="12">
        <v>98.75</v>
      </c>
      <c r="K339" s="10" t="s">
        <v>284</v>
      </c>
      <c r="L339" s="2">
        <v>45855</v>
      </c>
      <c r="M339" s="10"/>
      <c r="O339" s="10"/>
      <c r="X339" s="13">
        <v>0</v>
      </c>
      <c r="Y339" s="10" t="s">
        <v>901</v>
      </c>
      <c r="Z339" s="10" t="s">
        <v>941</v>
      </c>
      <c r="AA339" s="10"/>
      <c r="AB339" s="10"/>
      <c r="AC339" s="10"/>
    </row>
    <row r="340" spans="1:29" hidden="1" x14ac:dyDescent="0.25">
      <c r="A340" s="10" t="s">
        <v>1276</v>
      </c>
      <c r="B340" s="10"/>
      <c r="C340" s="10"/>
      <c r="D340" s="10"/>
      <c r="E340" s="10" t="s">
        <v>1277</v>
      </c>
      <c r="F340" s="10" t="s">
        <v>1254</v>
      </c>
      <c r="G340" s="10" t="s">
        <v>1280</v>
      </c>
      <c r="H340" s="12">
        <v>71.16</v>
      </c>
      <c r="I340">
        <v>1</v>
      </c>
      <c r="J340" s="12">
        <v>71.16</v>
      </c>
      <c r="K340" s="10" t="s">
        <v>284</v>
      </c>
      <c r="L340" s="2">
        <v>45855</v>
      </c>
      <c r="M340" s="10"/>
      <c r="O340" s="10"/>
      <c r="X340" s="13">
        <v>0</v>
      </c>
      <c r="Y340" s="10" t="s">
        <v>901</v>
      </c>
      <c r="Z340" s="10" t="s">
        <v>941</v>
      </c>
      <c r="AA340" s="10"/>
      <c r="AB340" s="10"/>
      <c r="AC340" s="10"/>
    </row>
    <row r="341" spans="1:29" hidden="1" x14ac:dyDescent="0.25">
      <c r="A341" s="10" t="s">
        <v>1276</v>
      </c>
      <c r="B341" s="10"/>
      <c r="C341" s="10"/>
      <c r="D341" s="10"/>
      <c r="E341" s="10" t="s">
        <v>1277</v>
      </c>
      <c r="F341" s="10" t="s">
        <v>1255</v>
      </c>
      <c r="G341" s="10" t="s">
        <v>1281</v>
      </c>
      <c r="H341" s="12">
        <v>1959.07</v>
      </c>
      <c r="I341">
        <v>1</v>
      </c>
      <c r="J341" s="12">
        <v>1959.07</v>
      </c>
      <c r="K341" s="10" t="s">
        <v>284</v>
      </c>
      <c r="L341" s="2">
        <v>45855</v>
      </c>
      <c r="M341" s="10"/>
      <c r="O341" s="10"/>
      <c r="X341" s="13">
        <v>0</v>
      </c>
      <c r="Y341" s="10" t="s">
        <v>901</v>
      </c>
      <c r="Z341" s="10" t="s">
        <v>941</v>
      </c>
      <c r="AA341" s="10"/>
      <c r="AB341" s="10"/>
      <c r="AC341" s="10"/>
    </row>
    <row r="342" spans="1:29" hidden="1" x14ac:dyDescent="0.25">
      <c r="A342" s="10" t="s">
        <v>1282</v>
      </c>
      <c r="B342" s="10"/>
      <c r="C342" s="10"/>
      <c r="D342" s="10"/>
      <c r="E342" s="10" t="s">
        <v>285</v>
      </c>
      <c r="F342" s="10" t="s">
        <v>1246</v>
      </c>
      <c r="G342" s="10" t="s">
        <v>1283</v>
      </c>
      <c r="H342" s="12">
        <v>76.81</v>
      </c>
      <c r="I342">
        <v>1</v>
      </c>
      <c r="J342" s="12">
        <v>76.81</v>
      </c>
      <c r="K342" s="10" t="s">
        <v>284</v>
      </c>
      <c r="L342" s="2">
        <v>45855</v>
      </c>
      <c r="M342" s="10"/>
      <c r="O342" s="10"/>
      <c r="X342" s="13">
        <v>0</v>
      </c>
      <c r="Y342" s="10" t="s">
        <v>901</v>
      </c>
      <c r="Z342" s="10" t="s">
        <v>941</v>
      </c>
      <c r="AA342" s="10"/>
      <c r="AB342" s="10"/>
      <c r="AC342" s="10"/>
    </row>
    <row r="343" spans="1:29" hidden="1" x14ac:dyDescent="0.25">
      <c r="A343" s="10" t="s">
        <v>1282</v>
      </c>
      <c r="B343" s="10"/>
      <c r="C343" s="10"/>
      <c r="D343" s="10" t="s">
        <v>1284</v>
      </c>
      <c r="E343" s="10" t="s">
        <v>285</v>
      </c>
      <c r="F343" s="10" t="s">
        <v>1247</v>
      </c>
      <c r="G343" s="10" t="s">
        <v>1285</v>
      </c>
      <c r="H343" s="12">
        <v>198.66</v>
      </c>
      <c r="I343">
        <v>1</v>
      </c>
      <c r="J343" s="12">
        <v>198.66</v>
      </c>
      <c r="K343" s="10" t="s">
        <v>284</v>
      </c>
      <c r="L343" s="2">
        <v>45855</v>
      </c>
      <c r="M343" s="10"/>
      <c r="O343" s="10"/>
      <c r="X343" s="13">
        <v>0</v>
      </c>
      <c r="Y343" s="10" t="s">
        <v>901</v>
      </c>
      <c r="Z343" s="10" t="s">
        <v>941</v>
      </c>
      <c r="AA343" s="10"/>
      <c r="AB343" s="10"/>
      <c r="AC343" s="10"/>
    </row>
    <row r="344" spans="1:29" hidden="1" x14ac:dyDescent="0.25">
      <c r="A344" s="10" t="s">
        <v>1282</v>
      </c>
      <c r="B344" s="10"/>
      <c r="C344" s="10"/>
      <c r="D344" s="10" t="s">
        <v>1286</v>
      </c>
      <c r="E344" s="10" t="s">
        <v>285</v>
      </c>
      <c r="F344" s="10" t="s">
        <v>1248</v>
      </c>
      <c r="G344" s="10" t="s">
        <v>1287</v>
      </c>
      <c r="H344" s="12">
        <v>107.57</v>
      </c>
      <c r="I344">
        <v>1</v>
      </c>
      <c r="J344" s="12">
        <v>107.57</v>
      </c>
      <c r="K344" s="10" t="s">
        <v>284</v>
      </c>
      <c r="L344" s="2">
        <v>45855</v>
      </c>
      <c r="M344" s="10"/>
      <c r="O344" s="10"/>
      <c r="X344" s="13">
        <v>0</v>
      </c>
      <c r="Y344" s="10" t="s">
        <v>901</v>
      </c>
      <c r="Z344" s="10" t="s">
        <v>941</v>
      </c>
      <c r="AA344" s="10"/>
      <c r="AB344" s="10"/>
      <c r="AC344" s="10"/>
    </row>
    <row r="345" spans="1:29" hidden="1" x14ac:dyDescent="0.25">
      <c r="A345" s="10" t="s">
        <v>174</v>
      </c>
      <c r="B345" s="10"/>
      <c r="C345" s="10"/>
      <c r="D345" s="10"/>
      <c r="E345" s="10" t="s">
        <v>285</v>
      </c>
      <c r="F345" s="10" t="s">
        <v>1249</v>
      </c>
      <c r="G345" s="10" t="s">
        <v>1288</v>
      </c>
      <c r="H345" s="12">
        <v>295.14999999999998</v>
      </c>
      <c r="I345">
        <v>1</v>
      </c>
      <c r="J345" s="12">
        <v>295.14999999999998</v>
      </c>
      <c r="K345" s="10" t="s">
        <v>284</v>
      </c>
      <c r="L345" s="2">
        <v>45855</v>
      </c>
      <c r="M345" s="10"/>
      <c r="O345" s="10"/>
      <c r="X345" s="13">
        <v>6</v>
      </c>
      <c r="Y345" s="10" t="s">
        <v>901</v>
      </c>
      <c r="Z345" s="10" t="s">
        <v>941</v>
      </c>
      <c r="AA345" s="10"/>
      <c r="AB345" s="10">
        <v>0.25</v>
      </c>
      <c r="AC345" s="10"/>
    </row>
    <row r="346" spans="1:29" hidden="1" x14ac:dyDescent="0.25">
      <c r="A346" s="10" t="s">
        <v>403</v>
      </c>
      <c r="B346" s="10" t="s">
        <v>404</v>
      </c>
      <c r="C346" s="10" t="s">
        <v>1289</v>
      </c>
      <c r="D346" s="10"/>
      <c r="E346" s="10" t="s">
        <v>285</v>
      </c>
      <c r="F346" s="10" t="s">
        <v>1250</v>
      </c>
      <c r="G346" s="10" t="s">
        <v>1290</v>
      </c>
      <c r="H346" s="12">
        <v>249.42</v>
      </c>
      <c r="I346">
        <v>1</v>
      </c>
      <c r="J346" s="12">
        <v>249.42</v>
      </c>
      <c r="K346" s="10" t="s">
        <v>284</v>
      </c>
      <c r="L346" s="2">
        <v>45855</v>
      </c>
      <c r="M346" s="10"/>
      <c r="O346" s="10"/>
      <c r="X346" s="13">
        <v>8</v>
      </c>
      <c r="Y346" s="10" t="s">
        <v>901</v>
      </c>
      <c r="Z346" s="10" t="s">
        <v>941</v>
      </c>
      <c r="AA346" s="10">
        <v>0.1</v>
      </c>
      <c r="AB346" s="10">
        <v>0.5</v>
      </c>
      <c r="AC346" s="10"/>
    </row>
    <row r="347" spans="1:29" hidden="1" x14ac:dyDescent="0.25">
      <c r="A347" s="10" t="s">
        <v>421</v>
      </c>
      <c r="B347" s="10"/>
      <c r="C347" s="10"/>
      <c r="D347" s="10"/>
      <c r="E347" s="10" t="s">
        <v>285</v>
      </c>
      <c r="F347" s="10" t="s">
        <v>1251</v>
      </c>
      <c r="G347" s="10" t="s">
        <v>1291</v>
      </c>
      <c r="H347" s="12">
        <v>90.31</v>
      </c>
      <c r="I347">
        <v>1</v>
      </c>
      <c r="J347" s="12">
        <v>90.31</v>
      </c>
      <c r="K347" s="10" t="s">
        <v>284</v>
      </c>
      <c r="L347" s="2">
        <v>45855</v>
      </c>
      <c r="M347" s="10"/>
      <c r="O347" s="10"/>
      <c r="X347" s="13">
        <v>8</v>
      </c>
      <c r="Y347" s="10" t="s">
        <v>901</v>
      </c>
      <c r="Z347" s="10" t="s">
        <v>941</v>
      </c>
      <c r="AA347" s="10">
        <v>0.25</v>
      </c>
      <c r="AB347" s="10">
        <v>0.5</v>
      </c>
      <c r="AC347" s="10"/>
    </row>
    <row r="348" spans="1:29" hidden="1" x14ac:dyDescent="0.25">
      <c r="A348" s="10" t="s">
        <v>174</v>
      </c>
      <c r="B348" s="10"/>
      <c r="C348" s="10"/>
      <c r="D348" s="10"/>
      <c r="E348" s="10" t="s">
        <v>285</v>
      </c>
      <c r="F348" s="10" t="s">
        <v>1244</v>
      </c>
      <c r="G348" s="10" t="s">
        <v>1292</v>
      </c>
      <c r="H348" s="12">
        <v>722.59</v>
      </c>
      <c r="I348">
        <v>1</v>
      </c>
      <c r="J348" s="12">
        <v>722.59</v>
      </c>
      <c r="K348" s="10" t="s">
        <v>284</v>
      </c>
      <c r="L348" s="2">
        <v>45855</v>
      </c>
      <c r="M348" s="10"/>
      <c r="O348" s="10"/>
      <c r="X348" s="13">
        <v>6</v>
      </c>
      <c r="Y348" s="10" t="s">
        <v>901</v>
      </c>
      <c r="Z348" s="10" t="s">
        <v>941</v>
      </c>
      <c r="AA348" s="10"/>
      <c r="AB348" s="10">
        <v>0.25</v>
      </c>
      <c r="AC348" s="10"/>
    </row>
    <row r="349" spans="1:29" hidden="1" x14ac:dyDescent="0.25">
      <c r="A349" s="10" t="s">
        <v>421</v>
      </c>
      <c r="B349" s="10"/>
      <c r="C349" s="10"/>
      <c r="D349" s="10"/>
      <c r="E349" s="10" t="s">
        <v>285</v>
      </c>
      <c r="F349" s="10" t="s">
        <v>1245</v>
      </c>
      <c r="G349" s="10" t="s">
        <v>1293</v>
      </c>
      <c r="H349" s="12">
        <v>138.49</v>
      </c>
      <c r="I349">
        <v>1</v>
      </c>
      <c r="J349" s="12">
        <v>138.49</v>
      </c>
      <c r="K349" s="10" t="s">
        <v>284</v>
      </c>
      <c r="L349" s="2">
        <v>45855</v>
      </c>
      <c r="M349" s="10"/>
      <c r="O349" s="10"/>
      <c r="X349" s="13">
        <v>8</v>
      </c>
      <c r="Y349" s="10" t="s">
        <v>901</v>
      </c>
      <c r="Z349" s="10" t="s">
        <v>941</v>
      </c>
      <c r="AA349" s="10">
        <v>0.25</v>
      </c>
      <c r="AB349" s="10">
        <v>0.5</v>
      </c>
      <c r="AC349" s="10"/>
    </row>
    <row r="350" spans="1:29" hidden="1" x14ac:dyDescent="0.25">
      <c r="A350" s="10" t="s">
        <v>767</v>
      </c>
      <c r="B350" s="10" t="s">
        <v>970</v>
      </c>
      <c r="C350" s="10" t="s">
        <v>395</v>
      </c>
      <c r="D350" s="10" t="s">
        <v>1295</v>
      </c>
      <c r="E350" s="10" t="s">
        <v>285</v>
      </c>
      <c r="F350" s="10" t="s">
        <v>1296</v>
      </c>
      <c r="G350" s="10" t="s">
        <v>1297</v>
      </c>
      <c r="H350" s="12">
        <v>277.29000000000002</v>
      </c>
      <c r="I350">
        <v>1</v>
      </c>
      <c r="J350" s="12">
        <v>277.29000000000002</v>
      </c>
      <c r="K350" s="10" t="s">
        <v>284</v>
      </c>
      <c r="L350" s="2">
        <v>45855</v>
      </c>
      <c r="M350" s="10"/>
      <c r="O350" s="10"/>
      <c r="X350" s="13">
        <v>8</v>
      </c>
      <c r="Y350" s="10" t="s">
        <v>901</v>
      </c>
      <c r="Z350" s="10" t="s">
        <v>941</v>
      </c>
      <c r="AA350" s="10">
        <v>4</v>
      </c>
      <c r="AB350" s="10">
        <v>4</v>
      </c>
      <c r="AC350" s="10"/>
    </row>
    <row r="351" spans="1:29" hidden="1" x14ac:dyDescent="0.25">
      <c r="A351" s="10" t="s">
        <v>17</v>
      </c>
      <c r="B351" s="10" t="s">
        <v>370</v>
      </c>
      <c r="C351" s="10"/>
      <c r="D351" s="10" t="s">
        <v>748</v>
      </c>
      <c r="E351" s="10" t="s">
        <v>774</v>
      </c>
      <c r="F351" s="10" t="s">
        <v>1300</v>
      </c>
      <c r="G351" s="10" t="s">
        <v>775</v>
      </c>
      <c r="H351" s="12">
        <v>56.02</v>
      </c>
      <c r="I351">
        <v>1.05</v>
      </c>
      <c r="J351" s="12">
        <v>58.820999999999998</v>
      </c>
      <c r="K351" s="10" t="s">
        <v>750</v>
      </c>
      <c r="L351" s="2">
        <v>45631</v>
      </c>
      <c r="M351" s="10"/>
      <c r="O351" s="10"/>
      <c r="X351" s="13">
        <v>230</v>
      </c>
      <c r="Y351" s="10" t="s">
        <v>901</v>
      </c>
      <c r="Z351" s="10" t="s">
        <v>941</v>
      </c>
      <c r="AA351" s="10"/>
      <c r="AB351" s="10">
        <v>0.5</v>
      </c>
      <c r="AC351" s="10"/>
    </row>
    <row r="352" spans="1:29" hidden="1" x14ac:dyDescent="0.25">
      <c r="A352" s="10" t="s">
        <v>287</v>
      </c>
      <c r="B352" s="10"/>
      <c r="C352" s="10"/>
      <c r="D352" s="10"/>
      <c r="E352" s="10" t="s">
        <v>285</v>
      </c>
      <c r="F352" s="10" t="s">
        <v>1241</v>
      </c>
      <c r="G352" s="10" t="s">
        <v>1298</v>
      </c>
      <c r="H352" s="12">
        <v>10.94</v>
      </c>
      <c r="I352">
        <v>1</v>
      </c>
      <c r="J352" s="12">
        <v>10.94</v>
      </c>
      <c r="K352" s="10" t="s">
        <v>284</v>
      </c>
      <c r="L352" s="2">
        <v>45855</v>
      </c>
      <c r="M352" s="10"/>
      <c r="O352" s="10"/>
      <c r="X352" s="13">
        <v>8</v>
      </c>
      <c r="Y352" s="10" t="s">
        <v>901</v>
      </c>
      <c r="Z352" s="10" t="s">
        <v>941</v>
      </c>
      <c r="AA352" s="10">
        <v>0.02</v>
      </c>
      <c r="AB352" s="10">
        <v>0.2</v>
      </c>
      <c r="AC352" s="10"/>
    </row>
    <row r="353" spans="1:29" hidden="1" x14ac:dyDescent="0.25">
      <c r="A353" s="10" t="s">
        <v>287</v>
      </c>
      <c r="B353" s="10"/>
      <c r="C353" s="10"/>
      <c r="D353" s="10"/>
      <c r="E353" s="10" t="s">
        <v>285</v>
      </c>
      <c r="F353" s="10" t="s">
        <v>1239</v>
      </c>
      <c r="G353" s="10" t="s">
        <v>1299</v>
      </c>
      <c r="H353" s="12">
        <v>55.04</v>
      </c>
      <c r="I353">
        <v>1</v>
      </c>
      <c r="J353" s="12">
        <v>55.04</v>
      </c>
      <c r="K353" s="10" t="s">
        <v>284</v>
      </c>
      <c r="L353" s="2">
        <v>45855</v>
      </c>
      <c r="M353" s="10"/>
      <c r="O353" s="10"/>
      <c r="X353" s="13">
        <v>8</v>
      </c>
      <c r="Y353" s="10" t="s">
        <v>901</v>
      </c>
      <c r="Z353" s="10" t="s">
        <v>941</v>
      </c>
      <c r="AA353" s="10">
        <v>0.1</v>
      </c>
      <c r="AB353" s="10">
        <v>0.2</v>
      </c>
      <c r="AC353" s="10"/>
    </row>
    <row r="354" spans="1:29" hidden="1" x14ac:dyDescent="0.25">
      <c r="A354" s="10" t="s">
        <v>620</v>
      </c>
      <c r="B354" s="10"/>
      <c r="C354" s="10"/>
      <c r="D354" s="10" t="s">
        <v>1303</v>
      </c>
      <c r="E354" s="10" t="s">
        <v>503</v>
      </c>
      <c r="F354" s="10" t="s">
        <v>1301</v>
      </c>
      <c r="G354" s="10" t="s">
        <v>1304</v>
      </c>
      <c r="H354" s="12">
        <v>53.9</v>
      </c>
      <c r="I354">
        <v>1</v>
      </c>
      <c r="J354" s="12">
        <v>53.9</v>
      </c>
      <c r="K354" s="10" t="s">
        <v>284</v>
      </c>
      <c r="L354" s="2">
        <v>45855</v>
      </c>
      <c r="M354" s="10"/>
      <c r="O354" s="10"/>
      <c r="X354" s="13">
        <v>8</v>
      </c>
      <c r="Y354" s="10" t="s">
        <v>901</v>
      </c>
      <c r="Z354" s="10" t="s">
        <v>941</v>
      </c>
      <c r="AA354" s="10"/>
      <c r="AB354" s="10"/>
      <c r="AC354" s="10"/>
    </row>
    <row r="355" spans="1:29" hidden="1" x14ac:dyDescent="0.25">
      <c r="A355" s="10" t="s">
        <v>620</v>
      </c>
      <c r="B355" s="10"/>
      <c r="C355" s="10"/>
      <c r="D355" s="10" t="s">
        <v>1305</v>
      </c>
      <c r="E355" s="10" t="s">
        <v>503</v>
      </c>
      <c r="F355" s="10" t="s">
        <v>1302</v>
      </c>
      <c r="G355" s="10" t="s">
        <v>1306</v>
      </c>
      <c r="H355" s="12">
        <v>5.37</v>
      </c>
      <c r="I355">
        <v>1</v>
      </c>
      <c r="J355" s="12">
        <v>5.37</v>
      </c>
      <c r="K355" s="10" t="s">
        <v>284</v>
      </c>
      <c r="L355" s="2">
        <v>45855</v>
      </c>
      <c r="M355" s="10"/>
      <c r="O355" s="10"/>
      <c r="X355" s="13">
        <v>8</v>
      </c>
      <c r="Y355" s="10" t="s">
        <v>901</v>
      </c>
      <c r="Z355" s="10" t="s">
        <v>941</v>
      </c>
      <c r="AA355" s="10">
        <v>2</v>
      </c>
      <c r="AB355" s="10">
        <v>2</v>
      </c>
      <c r="AC355" s="10"/>
    </row>
    <row r="356" spans="1:29" hidden="1" x14ac:dyDescent="0.25">
      <c r="A356" s="10" t="s">
        <v>1307</v>
      </c>
      <c r="B356" s="10"/>
      <c r="C356" s="10"/>
      <c r="D356" s="10"/>
      <c r="E356" s="10" t="s">
        <v>847</v>
      </c>
      <c r="F356" s="10" t="s">
        <v>1309</v>
      </c>
      <c r="G356" s="10" t="s">
        <v>1314</v>
      </c>
      <c r="H356" s="12">
        <v>90.72</v>
      </c>
      <c r="I356">
        <v>1</v>
      </c>
      <c r="J356" s="12">
        <v>90.72</v>
      </c>
      <c r="K356" s="10"/>
      <c r="L356" s="2">
        <v>45855</v>
      </c>
      <c r="M356" s="10"/>
      <c r="O356" s="10"/>
      <c r="X356" s="13">
        <v>0</v>
      </c>
      <c r="Y356" s="10" t="s">
        <v>901</v>
      </c>
      <c r="Z356" s="10" t="s">
        <v>941</v>
      </c>
      <c r="AA356" s="10"/>
      <c r="AB356" s="10"/>
      <c r="AC356" s="10"/>
    </row>
    <row r="357" spans="1:29" hidden="1" x14ac:dyDescent="0.25">
      <c r="A357" s="10" t="s">
        <v>1307</v>
      </c>
      <c r="B357" s="10"/>
      <c r="C357" s="10"/>
      <c r="D357" s="10"/>
      <c r="E357" s="10" t="s">
        <v>847</v>
      </c>
      <c r="F357" s="14" t="s">
        <v>1311</v>
      </c>
      <c r="G357" s="10" t="s">
        <v>1315</v>
      </c>
      <c r="H357" s="12">
        <v>8</v>
      </c>
      <c r="I357">
        <v>1</v>
      </c>
      <c r="J357" s="12">
        <v>8</v>
      </c>
      <c r="K357" s="10"/>
      <c r="L357" s="2">
        <v>45855</v>
      </c>
      <c r="M357" s="10"/>
      <c r="O357" s="10"/>
      <c r="X357" s="13">
        <v>0</v>
      </c>
      <c r="Y357" s="10" t="s">
        <v>901</v>
      </c>
      <c r="Z357" s="10" t="s">
        <v>941</v>
      </c>
      <c r="AA357" s="10"/>
      <c r="AB357" s="10"/>
      <c r="AC357" s="10"/>
    </row>
    <row r="358" spans="1:29" hidden="1" x14ac:dyDescent="0.25">
      <c r="A358" s="10" t="s">
        <v>178</v>
      </c>
      <c r="B358" s="10" t="s">
        <v>1047</v>
      </c>
      <c r="C358" s="10"/>
      <c r="D358" s="10"/>
      <c r="E358" s="10" t="s">
        <v>285</v>
      </c>
      <c r="F358" s="10" t="s">
        <v>1318</v>
      </c>
      <c r="G358" s="10" t="s">
        <v>1320</v>
      </c>
      <c r="H358" s="12">
        <v>1028.51</v>
      </c>
      <c r="I358">
        <v>1</v>
      </c>
      <c r="J358" s="12">
        <v>1028.51</v>
      </c>
      <c r="K358" s="10" t="s">
        <v>284</v>
      </c>
      <c r="L358" s="2">
        <v>45859</v>
      </c>
      <c r="M358" s="10"/>
      <c r="O358" s="10"/>
      <c r="X358" s="13">
        <v>4</v>
      </c>
      <c r="Y358" s="10" t="s">
        <v>901</v>
      </c>
      <c r="Z358" s="10" t="s">
        <v>941</v>
      </c>
      <c r="AA358" s="10">
        <v>0.25</v>
      </c>
      <c r="AB358" s="10">
        <v>0.75</v>
      </c>
      <c r="AC358" s="10"/>
    </row>
    <row r="359" spans="1:29" hidden="1" x14ac:dyDescent="0.25">
      <c r="A359" s="10" t="s">
        <v>1322</v>
      </c>
      <c r="B359" s="10"/>
      <c r="C359" s="10"/>
      <c r="D359" s="10" t="s">
        <v>22</v>
      </c>
      <c r="E359" s="10" t="s">
        <v>542</v>
      </c>
      <c r="F359" s="10" t="s">
        <v>1321</v>
      </c>
      <c r="G359" s="10" t="s">
        <v>1323</v>
      </c>
      <c r="H359" s="12">
        <v>343.14</v>
      </c>
      <c r="I359">
        <v>1</v>
      </c>
      <c r="J359" s="12">
        <v>343.14</v>
      </c>
      <c r="K359" s="10" t="s">
        <v>284</v>
      </c>
      <c r="L359" s="2">
        <v>45859</v>
      </c>
      <c r="M359" s="10"/>
      <c r="O359" s="10"/>
      <c r="X359" s="13">
        <v>2</v>
      </c>
      <c r="Y359" s="10" t="s">
        <v>901</v>
      </c>
      <c r="Z359" s="10" t="s">
        <v>941</v>
      </c>
      <c r="AA359" s="10"/>
      <c r="AB359" s="10">
        <v>0.25</v>
      </c>
      <c r="AC359" s="10"/>
    </row>
    <row r="360" spans="1:29" hidden="1" x14ac:dyDescent="0.25">
      <c r="A360" s="10" t="s">
        <v>1031</v>
      </c>
      <c r="B360" s="10" t="s">
        <v>1032</v>
      </c>
      <c r="C360" s="10"/>
      <c r="D360" s="10"/>
      <c r="E360" s="10"/>
      <c r="F360" s="10" t="s">
        <v>1324</v>
      </c>
      <c r="G360" s="10" t="s">
        <v>1325</v>
      </c>
      <c r="H360" s="12">
        <v>5069.34</v>
      </c>
      <c r="I360">
        <v>1</v>
      </c>
      <c r="J360" s="12">
        <v>5069.34</v>
      </c>
      <c r="K360" s="10" t="s">
        <v>1035</v>
      </c>
      <c r="L360" s="2">
        <v>45859</v>
      </c>
      <c r="M360" s="10"/>
      <c r="O360" s="10"/>
      <c r="X360" s="13">
        <v>0</v>
      </c>
      <c r="Y360" s="10" t="s">
        <v>901</v>
      </c>
      <c r="Z360" s="10" t="s">
        <v>941</v>
      </c>
      <c r="AA360" s="10"/>
      <c r="AB360" s="10"/>
      <c r="AC360" s="10"/>
    </row>
    <row r="361" spans="1:29" hidden="1" x14ac:dyDescent="0.25">
      <c r="A361" s="10" t="s">
        <v>891</v>
      </c>
      <c r="B361" s="10"/>
      <c r="C361" s="10" t="s">
        <v>1326</v>
      </c>
      <c r="D361" s="10" t="s">
        <v>1329</v>
      </c>
      <c r="E361" s="10" t="s">
        <v>894</v>
      </c>
      <c r="F361" s="10" t="s">
        <v>1327</v>
      </c>
      <c r="G361" s="10" t="s">
        <v>1328</v>
      </c>
      <c r="H361" s="12">
        <v>6929</v>
      </c>
      <c r="I361">
        <v>1.08</v>
      </c>
      <c r="J361" s="12">
        <v>7483.32</v>
      </c>
      <c r="K361" s="10" t="s">
        <v>895</v>
      </c>
      <c r="L361" s="2">
        <v>45128</v>
      </c>
      <c r="M361" s="10"/>
      <c r="O361" s="10"/>
      <c r="X361" s="13">
        <v>731</v>
      </c>
      <c r="Y361" s="10" t="s">
        <v>901</v>
      </c>
      <c r="Z361" s="10" t="s">
        <v>941</v>
      </c>
      <c r="AA361" s="10"/>
      <c r="AB361" s="10"/>
      <c r="AC361" s="10"/>
    </row>
    <row r="362" spans="1:29" hidden="1" x14ac:dyDescent="0.25">
      <c r="A362" s="10" t="s">
        <v>1337</v>
      </c>
      <c r="B362" s="10"/>
      <c r="C362" s="10"/>
      <c r="D362" s="10"/>
      <c r="E362" s="10" t="s">
        <v>1338</v>
      </c>
      <c r="F362" s="10" t="s">
        <v>1339</v>
      </c>
      <c r="G362" s="10" t="s">
        <v>1331</v>
      </c>
      <c r="H362" s="12">
        <v>190.79</v>
      </c>
      <c r="I362">
        <v>1</v>
      </c>
      <c r="J362" s="12">
        <v>190.79</v>
      </c>
      <c r="K362" s="10" t="s">
        <v>1338</v>
      </c>
      <c r="L362" s="2">
        <v>45859</v>
      </c>
      <c r="M362" s="10"/>
      <c r="O362" s="10"/>
      <c r="X362" s="13">
        <v>0</v>
      </c>
      <c r="Y362" s="10" t="s">
        <v>901</v>
      </c>
      <c r="Z362" s="10" t="s">
        <v>941</v>
      </c>
      <c r="AA362" s="10"/>
      <c r="AB362" s="10"/>
      <c r="AC362" s="10"/>
    </row>
    <row r="363" spans="1:29" hidden="1" x14ac:dyDescent="0.25">
      <c r="A363" s="10" t="s">
        <v>1337</v>
      </c>
      <c r="B363" s="10"/>
      <c r="C363" s="10"/>
      <c r="D363" s="10"/>
      <c r="E363" s="10" t="s">
        <v>1338</v>
      </c>
      <c r="F363" s="10" t="s">
        <v>1340</v>
      </c>
      <c r="G363" s="10" t="s">
        <v>1333</v>
      </c>
      <c r="H363" s="12">
        <v>180.02</v>
      </c>
      <c r="I363">
        <v>1</v>
      </c>
      <c r="J363" s="12">
        <v>180.02</v>
      </c>
      <c r="K363" s="10" t="s">
        <v>1338</v>
      </c>
      <c r="L363" s="2">
        <v>45859</v>
      </c>
      <c r="M363" s="10"/>
      <c r="O363" s="10"/>
      <c r="X363" s="13">
        <v>0</v>
      </c>
      <c r="Y363" s="10" t="s">
        <v>901</v>
      </c>
      <c r="Z363" s="10" t="s">
        <v>941</v>
      </c>
      <c r="AA363" s="10"/>
      <c r="AB363" s="10"/>
      <c r="AC363" s="10"/>
    </row>
    <row r="364" spans="1:29" hidden="1" x14ac:dyDescent="0.25">
      <c r="A364" s="10" t="s">
        <v>1337</v>
      </c>
      <c r="B364" s="10"/>
      <c r="C364" s="10"/>
      <c r="D364" s="10"/>
      <c r="E364" s="10" t="s">
        <v>1338</v>
      </c>
      <c r="F364" s="10" t="s">
        <v>1341</v>
      </c>
      <c r="G364" s="10" t="s">
        <v>1334</v>
      </c>
      <c r="H364" s="12">
        <v>507.63</v>
      </c>
      <c r="I364">
        <v>1</v>
      </c>
      <c r="J364" s="12">
        <v>507.63</v>
      </c>
      <c r="K364" s="10" t="s">
        <v>1338</v>
      </c>
      <c r="L364" s="2">
        <v>45859</v>
      </c>
      <c r="M364" s="10"/>
      <c r="O364" s="10"/>
      <c r="X364" s="13">
        <v>0</v>
      </c>
      <c r="Y364" s="10" t="s">
        <v>901</v>
      </c>
      <c r="Z364" s="10" t="s">
        <v>941</v>
      </c>
      <c r="AA364" s="10"/>
      <c r="AB364" s="10"/>
      <c r="AC364" s="10"/>
    </row>
    <row r="365" spans="1:29" hidden="1" x14ac:dyDescent="0.25">
      <c r="A365" s="10" t="s">
        <v>1337</v>
      </c>
      <c r="B365" s="10"/>
      <c r="C365" s="10"/>
      <c r="D365" s="10"/>
      <c r="E365" s="10" t="s">
        <v>1338</v>
      </c>
      <c r="F365" s="10" t="s">
        <v>1342</v>
      </c>
      <c r="G365" s="10" t="s">
        <v>1335</v>
      </c>
      <c r="H365" s="12">
        <v>138.28</v>
      </c>
      <c r="I365">
        <v>1</v>
      </c>
      <c r="J365" s="12">
        <v>138.28</v>
      </c>
      <c r="K365" s="10" t="s">
        <v>1338</v>
      </c>
      <c r="L365" s="2">
        <v>45859</v>
      </c>
      <c r="M365" s="10"/>
      <c r="O365" s="10"/>
      <c r="X365" s="13">
        <v>0</v>
      </c>
      <c r="Y365" s="10" t="s">
        <v>901</v>
      </c>
      <c r="Z365" s="10" t="s">
        <v>941</v>
      </c>
      <c r="AA365" s="10"/>
      <c r="AB365" s="10"/>
      <c r="AC365" s="10"/>
    </row>
    <row r="366" spans="1:29" hidden="1" x14ac:dyDescent="0.25">
      <c r="A366" s="10" t="s">
        <v>1337</v>
      </c>
      <c r="B366" s="10"/>
      <c r="C366" s="10"/>
      <c r="D366" s="10"/>
      <c r="E366" s="10" t="s">
        <v>1338</v>
      </c>
      <c r="F366" s="10" t="s">
        <v>1343</v>
      </c>
      <c r="G366" s="10" t="s">
        <v>1336</v>
      </c>
      <c r="H366" s="12">
        <v>224.64</v>
      </c>
      <c r="I366">
        <v>1</v>
      </c>
      <c r="J366" s="12">
        <v>224.64</v>
      </c>
      <c r="K366" s="10" t="s">
        <v>1338</v>
      </c>
      <c r="L366" s="2">
        <v>45859</v>
      </c>
      <c r="M366" s="10"/>
      <c r="O366" s="10"/>
      <c r="X366" s="13">
        <v>0</v>
      </c>
      <c r="Y366" s="10" t="s">
        <v>901</v>
      </c>
      <c r="Z366" s="10" t="s">
        <v>941</v>
      </c>
      <c r="AA366" s="10"/>
      <c r="AB366" s="10"/>
      <c r="AC366" s="10"/>
    </row>
    <row r="367" spans="1:29" hidden="1" x14ac:dyDescent="0.25">
      <c r="A367" s="10" t="s">
        <v>1337</v>
      </c>
      <c r="B367" s="10"/>
      <c r="C367" s="10"/>
      <c r="D367" s="10"/>
      <c r="E367" s="10" t="s">
        <v>1338</v>
      </c>
      <c r="F367" s="10" t="s">
        <v>1344</v>
      </c>
      <c r="G367" s="10" t="s">
        <v>1345</v>
      </c>
      <c r="H367" s="12">
        <v>298.93</v>
      </c>
      <c r="I367">
        <v>1</v>
      </c>
      <c r="J367" s="12">
        <v>298.93</v>
      </c>
      <c r="K367" s="10" t="s">
        <v>1338</v>
      </c>
      <c r="L367" s="2">
        <v>45859</v>
      </c>
      <c r="M367" s="10"/>
      <c r="O367" s="10"/>
      <c r="X367" s="13">
        <v>0</v>
      </c>
      <c r="Y367" s="10" t="s">
        <v>901</v>
      </c>
      <c r="Z367" s="10" t="s">
        <v>941</v>
      </c>
      <c r="AA367" s="10"/>
      <c r="AB367" s="10"/>
      <c r="AC367" s="10"/>
    </row>
    <row r="368" spans="1:29" hidden="1" x14ac:dyDescent="0.25">
      <c r="A368" s="10" t="s">
        <v>1412</v>
      </c>
      <c r="B368" s="10" t="s">
        <v>390</v>
      </c>
      <c r="C368" s="10" t="s">
        <v>312</v>
      </c>
      <c r="D368" s="10"/>
      <c r="E368" s="10" t="s">
        <v>285</v>
      </c>
      <c r="F368" s="10" t="s">
        <v>1409</v>
      </c>
      <c r="G368" s="10" t="s">
        <v>1413</v>
      </c>
      <c r="H368" s="12">
        <v>1629.45</v>
      </c>
      <c r="I368">
        <v>1</v>
      </c>
      <c r="J368" s="12">
        <v>1629.45</v>
      </c>
      <c r="K368" s="10" t="s">
        <v>284</v>
      </c>
      <c r="L368" s="2">
        <v>45861</v>
      </c>
      <c r="M368" s="10"/>
      <c r="O368" s="10"/>
      <c r="X368" s="13">
        <v>2</v>
      </c>
      <c r="Y368" s="10" t="s">
        <v>901</v>
      </c>
      <c r="Z368" s="10" t="s">
        <v>941</v>
      </c>
      <c r="AA368" s="10">
        <v>0.1</v>
      </c>
      <c r="AB368" s="10">
        <v>0.5</v>
      </c>
      <c r="AC368" s="10"/>
    </row>
    <row r="369" spans="1:29" hidden="1" x14ac:dyDescent="0.25">
      <c r="A369" s="10" t="s">
        <v>421</v>
      </c>
      <c r="B369" s="10"/>
      <c r="C369" s="10"/>
      <c r="D369" s="10"/>
      <c r="E369" s="10" t="s">
        <v>285</v>
      </c>
      <c r="F369" s="10" t="s">
        <v>1411</v>
      </c>
      <c r="G369" s="10" t="s">
        <v>1414</v>
      </c>
      <c r="H369" s="12">
        <v>373.11</v>
      </c>
      <c r="I369">
        <v>1</v>
      </c>
      <c r="J369" s="12">
        <v>373.11</v>
      </c>
      <c r="K369" s="10" t="s">
        <v>284</v>
      </c>
      <c r="L369" s="2">
        <v>45861</v>
      </c>
      <c r="M369" s="10"/>
      <c r="O369" s="10"/>
      <c r="X369" s="13">
        <v>2</v>
      </c>
      <c r="Y369" s="10" t="s">
        <v>901</v>
      </c>
      <c r="Z369" s="10" t="s">
        <v>941</v>
      </c>
      <c r="AA369" s="10">
        <v>0.25</v>
      </c>
      <c r="AB369" s="10">
        <v>1</v>
      </c>
      <c r="AC369" s="10"/>
    </row>
    <row r="370" spans="1:29" hidden="1" x14ac:dyDescent="0.25">
      <c r="A370" s="10" t="s">
        <v>403</v>
      </c>
      <c r="B370" s="10" t="s">
        <v>1415</v>
      </c>
      <c r="C370" s="10" t="s">
        <v>1416</v>
      </c>
      <c r="D370" s="10"/>
      <c r="E370" s="10" t="s">
        <v>285</v>
      </c>
      <c r="F370" s="10" t="s">
        <v>1417</v>
      </c>
      <c r="G370" s="10" t="s">
        <v>1418</v>
      </c>
      <c r="H370" s="12">
        <v>1537.62</v>
      </c>
      <c r="I370">
        <v>1</v>
      </c>
      <c r="J370" s="12">
        <v>1537.62</v>
      </c>
      <c r="K370" s="10" t="s">
        <v>284</v>
      </c>
      <c r="L370" s="2">
        <v>45861</v>
      </c>
      <c r="M370" s="10"/>
      <c r="O370" s="10"/>
      <c r="X370" s="13">
        <v>2</v>
      </c>
      <c r="Y370" s="10" t="s">
        <v>901</v>
      </c>
      <c r="Z370" s="10" t="s">
        <v>941</v>
      </c>
      <c r="AA370" s="10">
        <v>0.1</v>
      </c>
      <c r="AB370" s="10">
        <v>0.5</v>
      </c>
      <c r="AC370" s="10"/>
    </row>
    <row r="371" spans="1:29" hidden="1" x14ac:dyDescent="0.25">
      <c r="A371" s="10" t="s">
        <v>1412</v>
      </c>
      <c r="B371" s="10" t="s">
        <v>390</v>
      </c>
      <c r="C371" s="10" t="s">
        <v>311</v>
      </c>
      <c r="D371" s="10"/>
      <c r="E371" s="10" t="s">
        <v>285</v>
      </c>
      <c r="F371" s="10" t="s">
        <v>1404</v>
      </c>
      <c r="G371" s="10" t="s">
        <v>1419</v>
      </c>
      <c r="H371" s="12">
        <v>1629.45</v>
      </c>
      <c r="I371">
        <v>1</v>
      </c>
      <c r="J371" s="12">
        <v>1629.45</v>
      </c>
      <c r="K371" s="10" t="s">
        <v>284</v>
      </c>
      <c r="L371" s="2">
        <v>45861</v>
      </c>
      <c r="M371" s="10"/>
      <c r="O371" s="10"/>
      <c r="X371" s="13">
        <v>2</v>
      </c>
      <c r="Y371" s="10" t="s">
        <v>901</v>
      </c>
      <c r="Z371" s="10" t="s">
        <v>941</v>
      </c>
      <c r="AA371" s="10">
        <v>0.1</v>
      </c>
      <c r="AB371" s="10">
        <v>0.5</v>
      </c>
      <c r="AC371" s="10"/>
    </row>
    <row r="372" spans="1:29" hidden="1" x14ac:dyDescent="0.25">
      <c r="A372" s="10" t="s">
        <v>403</v>
      </c>
      <c r="B372" s="10" t="s">
        <v>1415</v>
      </c>
      <c r="C372" s="10" t="s">
        <v>1420</v>
      </c>
      <c r="D372" s="10"/>
      <c r="E372" s="10" t="s">
        <v>285</v>
      </c>
      <c r="F372" s="10" t="s">
        <v>1406</v>
      </c>
      <c r="G372" s="10" t="s">
        <v>1421</v>
      </c>
      <c r="H372" s="12">
        <v>898.7</v>
      </c>
      <c r="I372">
        <v>1</v>
      </c>
      <c r="J372" s="12">
        <v>898.7</v>
      </c>
      <c r="K372" s="10" t="s">
        <v>284</v>
      </c>
      <c r="L372" s="2">
        <v>45861</v>
      </c>
      <c r="M372" s="10"/>
      <c r="O372" s="10"/>
      <c r="X372" s="13">
        <v>2</v>
      </c>
      <c r="Y372" s="10" t="s">
        <v>901</v>
      </c>
      <c r="Z372" s="10" t="s">
        <v>941</v>
      </c>
      <c r="AA372" s="10">
        <v>0.1</v>
      </c>
      <c r="AB372" s="10">
        <v>0.5</v>
      </c>
      <c r="AC372" s="10"/>
    </row>
    <row r="373" spans="1:29" hidden="1" x14ac:dyDescent="0.25">
      <c r="A373" s="10" t="s">
        <v>421</v>
      </c>
      <c r="B373" s="10"/>
      <c r="C373" s="10"/>
      <c r="D373" s="10"/>
      <c r="E373" s="10" t="s">
        <v>285</v>
      </c>
      <c r="F373" s="10" t="s">
        <v>1407</v>
      </c>
      <c r="G373" s="10" t="s">
        <v>1422</v>
      </c>
      <c r="H373" s="12">
        <v>380.9</v>
      </c>
      <c r="I373">
        <v>1</v>
      </c>
      <c r="J373" s="12">
        <v>380.9</v>
      </c>
      <c r="K373" s="10" t="s">
        <v>284</v>
      </c>
      <c r="L373" s="2">
        <v>45861</v>
      </c>
      <c r="M373" s="10"/>
      <c r="O373" s="10"/>
      <c r="X373" s="13">
        <v>2</v>
      </c>
      <c r="Y373" s="10" t="s">
        <v>901</v>
      </c>
      <c r="Z373" s="10" t="s">
        <v>941</v>
      </c>
      <c r="AA373" s="10">
        <v>0.25</v>
      </c>
      <c r="AB373" s="10">
        <v>1</v>
      </c>
      <c r="AC373" s="10"/>
    </row>
    <row r="374" spans="1:29" hidden="1" x14ac:dyDescent="0.25">
      <c r="A374" s="10" t="s">
        <v>1307</v>
      </c>
      <c r="B374" s="10"/>
      <c r="C374" s="10"/>
      <c r="D374" s="10"/>
      <c r="E374" s="10" t="s">
        <v>847</v>
      </c>
      <c r="F374" s="10" t="s">
        <v>854</v>
      </c>
      <c r="G374" s="10" t="s">
        <v>1430</v>
      </c>
      <c r="H374" s="12">
        <v>99.9</v>
      </c>
      <c r="I374">
        <v>1</v>
      </c>
      <c r="J374" s="12">
        <v>99.9</v>
      </c>
      <c r="K374" s="10" t="s">
        <v>1055</v>
      </c>
      <c r="L374" s="2">
        <v>45861</v>
      </c>
      <c r="M374" s="10"/>
      <c r="O374" s="10"/>
      <c r="X374" s="13">
        <v>0</v>
      </c>
      <c r="Y374" s="10" t="s">
        <v>901</v>
      </c>
      <c r="Z374" s="10" t="s">
        <v>941</v>
      </c>
      <c r="AA374" s="10"/>
      <c r="AB374" s="10"/>
      <c r="AC374" s="10"/>
    </row>
    <row r="375" spans="1:29" hidden="1" x14ac:dyDescent="0.25">
      <c r="A375" s="10" t="s">
        <v>871</v>
      </c>
      <c r="B375" s="10"/>
      <c r="C375" s="10"/>
      <c r="D375" s="10"/>
      <c r="E375" s="10" t="s">
        <v>1431</v>
      </c>
      <c r="F375" s="10" t="s">
        <v>1425</v>
      </c>
      <c r="G375" s="10" t="s">
        <v>1432</v>
      </c>
      <c r="H375" s="12">
        <v>20.6</v>
      </c>
      <c r="I375">
        <v>1.05</v>
      </c>
      <c r="J375" s="12">
        <v>21.63</v>
      </c>
      <c r="K375" s="10"/>
      <c r="L375" s="2">
        <v>45861</v>
      </c>
      <c r="M375" s="10"/>
      <c r="O375" s="10"/>
      <c r="X375" s="13">
        <v>2</v>
      </c>
      <c r="Y375" s="10" t="s">
        <v>901</v>
      </c>
      <c r="Z375" s="10" t="s">
        <v>941</v>
      </c>
      <c r="AA375" s="10"/>
      <c r="AB375" s="10"/>
      <c r="AC375" s="10">
        <v>0.1</v>
      </c>
    </row>
    <row r="376" spans="1:29" hidden="1" x14ac:dyDescent="0.25">
      <c r="A376" s="10" t="s">
        <v>871</v>
      </c>
      <c r="B376" s="10"/>
      <c r="C376" s="10"/>
      <c r="D376" s="10"/>
      <c r="E376" s="10" t="s">
        <v>848</v>
      </c>
      <c r="F376" s="10" t="s">
        <v>1426</v>
      </c>
      <c r="G376" s="10" t="s">
        <v>1433</v>
      </c>
      <c r="H376" s="12">
        <v>118.38</v>
      </c>
      <c r="I376">
        <v>1.1000000000000001</v>
      </c>
      <c r="J376" s="12">
        <v>130.21799999999999</v>
      </c>
      <c r="K376" s="10"/>
      <c r="L376" s="2"/>
      <c r="M376" s="10"/>
      <c r="O376" s="10"/>
      <c r="X376" s="13">
        <v>45863</v>
      </c>
      <c r="Y376" s="10" t="s">
        <v>901</v>
      </c>
      <c r="Z376" s="10" t="s">
        <v>941</v>
      </c>
      <c r="AA376" s="10"/>
      <c r="AB376" s="10"/>
      <c r="AC376" s="10">
        <v>1.5</v>
      </c>
    </row>
    <row r="377" spans="1:29" hidden="1" x14ac:dyDescent="0.25">
      <c r="A377" s="10" t="s">
        <v>871</v>
      </c>
      <c r="B377" s="10"/>
      <c r="C377" s="10"/>
      <c r="D377" s="10"/>
      <c r="E377" s="10" t="s">
        <v>848</v>
      </c>
      <c r="F377" s="10" t="s">
        <v>1427</v>
      </c>
      <c r="G377" s="10" t="s">
        <v>1434</v>
      </c>
      <c r="H377" s="12">
        <v>16.89</v>
      </c>
      <c r="I377">
        <v>1.1000000000000001</v>
      </c>
      <c r="J377" s="12">
        <v>18.579000000000001</v>
      </c>
      <c r="K377" s="10"/>
      <c r="L377" s="2"/>
      <c r="M377" s="10"/>
      <c r="O377" s="10"/>
      <c r="X377" s="13">
        <v>45863</v>
      </c>
      <c r="Y377" s="10" t="s">
        <v>901</v>
      </c>
      <c r="Z377" s="10" t="s">
        <v>941</v>
      </c>
      <c r="AA377" s="10"/>
      <c r="AB377" s="10"/>
      <c r="AC377" s="10">
        <v>1.5</v>
      </c>
    </row>
    <row r="378" spans="1:29" hidden="1" x14ac:dyDescent="0.25">
      <c r="A378" s="10"/>
      <c r="B378" s="10"/>
      <c r="C378" s="10"/>
      <c r="D378" s="10"/>
      <c r="E378" s="10"/>
      <c r="F378" s="10"/>
      <c r="G378" s="10"/>
      <c r="H378" s="12"/>
      <c r="J378" s="12">
        <v>0</v>
      </c>
      <c r="K378" s="10"/>
      <c r="L378" s="2"/>
      <c r="M378" s="10"/>
      <c r="O378" s="10"/>
      <c r="X378" s="13">
        <v>45863</v>
      </c>
      <c r="Y378" s="10" t="s">
        <v>901</v>
      </c>
      <c r="Z378" s="10" t="s">
        <v>941</v>
      </c>
      <c r="AA378" s="10"/>
      <c r="AB378" s="10"/>
      <c r="AC378" s="10"/>
    </row>
    <row r="379" spans="1:29" hidden="1" x14ac:dyDescent="0.25">
      <c r="A379" s="10" t="s">
        <v>871</v>
      </c>
      <c r="B379" s="10"/>
      <c r="C379" s="10"/>
      <c r="D379" s="10"/>
      <c r="E379" s="10" t="s">
        <v>1055</v>
      </c>
      <c r="F379" s="10" t="s">
        <v>1467</v>
      </c>
      <c r="G379" s="10" t="s">
        <v>1468</v>
      </c>
      <c r="H379" s="12">
        <v>35.42</v>
      </c>
      <c r="I379">
        <v>1</v>
      </c>
      <c r="J379" s="12">
        <v>35.42</v>
      </c>
      <c r="K379" s="10" t="s">
        <v>1055</v>
      </c>
      <c r="L379" s="2">
        <v>45863</v>
      </c>
      <c r="M379" s="10"/>
      <c r="O379" s="10"/>
      <c r="X379" s="13">
        <v>0</v>
      </c>
      <c r="Y379" s="10" t="s">
        <v>901</v>
      </c>
      <c r="Z379" s="10" t="s">
        <v>941</v>
      </c>
      <c r="AA379" s="10"/>
      <c r="AB379" s="10"/>
      <c r="AC379" s="10">
        <v>0.1</v>
      </c>
    </row>
    <row r="380" spans="1:29" hidden="1" x14ac:dyDescent="0.25">
      <c r="A380" s="10"/>
      <c r="B380" s="10"/>
      <c r="C380" s="10"/>
      <c r="D380" s="10"/>
      <c r="E380" s="10"/>
      <c r="F380" s="10"/>
      <c r="G380" s="10"/>
      <c r="H380" s="12"/>
      <c r="J380" s="12">
        <v>0</v>
      </c>
      <c r="K380" s="10"/>
      <c r="L380" s="2"/>
      <c r="M380" s="10"/>
      <c r="O380" s="10"/>
      <c r="X380" s="13">
        <v>45863</v>
      </c>
      <c r="Y380" s="10" t="s">
        <v>901</v>
      </c>
      <c r="Z380" s="10" t="s">
        <v>941</v>
      </c>
      <c r="AA380" s="10"/>
      <c r="AB380" s="10"/>
      <c r="AC380" s="10"/>
    </row>
    <row r="381" spans="1:29" hidden="1" x14ac:dyDescent="0.25">
      <c r="A381" s="10" t="s">
        <v>871</v>
      </c>
      <c r="B381" s="10"/>
      <c r="C381" s="10"/>
      <c r="D381" s="10"/>
      <c r="E381" s="10" t="s">
        <v>1431</v>
      </c>
      <c r="F381" s="10" t="s">
        <v>1466</v>
      </c>
      <c r="G381" s="10" t="s">
        <v>1469</v>
      </c>
      <c r="H381" s="12">
        <v>12.08</v>
      </c>
      <c r="I381">
        <v>1</v>
      </c>
      <c r="J381" s="12">
        <v>12.08</v>
      </c>
      <c r="K381" s="10" t="s">
        <v>1431</v>
      </c>
      <c r="L381" s="2">
        <v>45863</v>
      </c>
      <c r="M381" s="10"/>
      <c r="O381" s="10"/>
      <c r="X381" s="13">
        <v>0</v>
      </c>
      <c r="Y381" s="10" t="s">
        <v>901</v>
      </c>
      <c r="Z381" s="10" t="s">
        <v>941</v>
      </c>
      <c r="AA381" s="10"/>
      <c r="AB381" s="10"/>
      <c r="AC381" s="10">
        <v>0.1</v>
      </c>
    </row>
    <row r="382" spans="1:29" hidden="1" x14ac:dyDescent="0.25">
      <c r="A382" s="10" t="s">
        <v>620</v>
      </c>
      <c r="B382" s="10"/>
      <c r="C382" s="10"/>
      <c r="D382" s="10"/>
      <c r="E382" s="10" t="s">
        <v>503</v>
      </c>
      <c r="F382" s="10" t="s">
        <v>1479</v>
      </c>
      <c r="G382" s="10" t="s">
        <v>1483</v>
      </c>
      <c r="H382" s="12">
        <v>95.46</v>
      </c>
      <c r="I382">
        <v>1</v>
      </c>
      <c r="J382" s="12">
        <v>95.46</v>
      </c>
      <c r="K382" s="10" t="s">
        <v>284</v>
      </c>
      <c r="L382" s="2">
        <v>45863</v>
      </c>
      <c r="M382" s="10"/>
      <c r="O382" s="10"/>
      <c r="X382" s="13">
        <v>0</v>
      </c>
      <c r="Y382" s="10" t="s">
        <v>901</v>
      </c>
      <c r="Z382" s="10" t="s">
        <v>941</v>
      </c>
      <c r="AA382" s="10">
        <v>1</v>
      </c>
      <c r="AB382" s="10">
        <v>1</v>
      </c>
      <c r="AC382" s="10">
        <v>4</v>
      </c>
    </row>
    <row r="383" spans="1:29" hidden="1" x14ac:dyDescent="0.25">
      <c r="A383" s="10" t="s">
        <v>620</v>
      </c>
      <c r="B383" s="10"/>
      <c r="C383" s="10"/>
      <c r="D383" s="10"/>
      <c r="E383" s="10" t="s">
        <v>503</v>
      </c>
      <c r="F383" s="10" t="s">
        <v>1481</v>
      </c>
      <c r="G383" s="10" t="s">
        <v>1484</v>
      </c>
      <c r="H383" s="12">
        <v>10.76</v>
      </c>
      <c r="I383">
        <v>1</v>
      </c>
      <c r="J383" s="12">
        <v>10.76</v>
      </c>
      <c r="K383" s="10" t="s">
        <v>284</v>
      </c>
      <c r="L383" s="2">
        <v>45863</v>
      </c>
      <c r="M383" s="10"/>
      <c r="O383" s="10"/>
      <c r="X383" s="13">
        <v>0</v>
      </c>
      <c r="Y383" s="10" t="s">
        <v>901</v>
      </c>
      <c r="Z383" s="10" t="s">
        <v>941</v>
      </c>
      <c r="AA383" s="10">
        <v>4</v>
      </c>
      <c r="AB383" s="10">
        <v>4</v>
      </c>
      <c r="AC383" s="10"/>
    </row>
    <row r="384" spans="1:29" hidden="1" x14ac:dyDescent="0.25">
      <c r="A384" s="10" t="s">
        <v>787</v>
      </c>
      <c r="B384" s="10"/>
      <c r="C384" s="10"/>
      <c r="D384" s="10"/>
      <c r="E384" s="10" t="s">
        <v>1492</v>
      </c>
      <c r="F384" s="10" t="s">
        <v>1493</v>
      </c>
      <c r="G384" s="10" t="s">
        <v>1494</v>
      </c>
      <c r="H384" s="12">
        <v>2800</v>
      </c>
      <c r="I384">
        <v>1.3</v>
      </c>
      <c r="J384" s="12">
        <v>3640</v>
      </c>
      <c r="K384" s="10" t="s">
        <v>1495</v>
      </c>
      <c r="L384" s="2">
        <v>45177</v>
      </c>
      <c r="M384" s="10"/>
      <c r="O384" s="10"/>
      <c r="X384" s="13">
        <v>686</v>
      </c>
      <c r="Y384" s="10" t="s">
        <v>901</v>
      </c>
      <c r="Z384" s="10" t="s">
        <v>941</v>
      </c>
      <c r="AA384" s="10">
        <v>8</v>
      </c>
      <c r="AB384" s="10">
        <v>8</v>
      </c>
      <c r="AC384" s="10"/>
    </row>
    <row r="385" spans="1:29" hidden="1" x14ac:dyDescent="0.25">
      <c r="A385" s="10" t="s">
        <v>787</v>
      </c>
      <c r="B385" s="10"/>
      <c r="C385" s="10"/>
      <c r="D385" s="10"/>
      <c r="E385" s="10" t="s">
        <v>1492</v>
      </c>
      <c r="F385" s="10" t="s">
        <v>1496</v>
      </c>
      <c r="G385" s="10" t="s">
        <v>1497</v>
      </c>
      <c r="H385" s="12">
        <v>2600</v>
      </c>
      <c r="I385">
        <v>1.3</v>
      </c>
      <c r="J385" s="12">
        <v>3380</v>
      </c>
      <c r="K385" s="10" t="s">
        <v>1495</v>
      </c>
      <c r="L385" s="2"/>
      <c r="M385" s="10"/>
      <c r="O385" s="10"/>
      <c r="X385" s="13">
        <v>45866</v>
      </c>
      <c r="Y385" s="10" t="s">
        <v>901</v>
      </c>
      <c r="Z385" s="10" t="s">
        <v>941</v>
      </c>
      <c r="AA385" s="10">
        <v>8</v>
      </c>
      <c r="AB385" s="10"/>
      <c r="AC385" s="10"/>
    </row>
    <row r="386" spans="1:29" hidden="1" x14ac:dyDescent="0.25">
      <c r="A386" s="10" t="s">
        <v>787</v>
      </c>
      <c r="B386" s="10"/>
      <c r="C386" s="10"/>
      <c r="D386" s="10"/>
      <c r="E386" s="10" t="s">
        <v>1492</v>
      </c>
      <c r="F386" s="10" t="s">
        <v>1489</v>
      </c>
      <c r="G386" s="10" t="s">
        <v>1498</v>
      </c>
      <c r="H386" s="12">
        <v>2600</v>
      </c>
      <c r="I386">
        <v>1.05</v>
      </c>
      <c r="J386" s="12">
        <v>2730</v>
      </c>
      <c r="K386" s="10" t="s">
        <v>1495</v>
      </c>
      <c r="L386" s="2">
        <v>45684</v>
      </c>
      <c r="M386" s="10"/>
      <c r="O386" s="10"/>
      <c r="X386" s="13">
        <v>182</v>
      </c>
      <c r="Y386" s="10" t="s">
        <v>901</v>
      </c>
      <c r="Z386" s="10" t="s">
        <v>941</v>
      </c>
      <c r="AA386" s="10">
        <v>8</v>
      </c>
      <c r="AB386" s="10">
        <v>8</v>
      </c>
      <c r="AC386" s="10"/>
    </row>
    <row r="387" spans="1:29" hidden="1" x14ac:dyDescent="0.25">
      <c r="A387" s="10" t="s">
        <v>787</v>
      </c>
      <c r="B387" s="10"/>
      <c r="C387" s="10"/>
      <c r="D387" s="10"/>
      <c r="E387" s="10" t="s">
        <v>1492</v>
      </c>
      <c r="F387" s="10" t="s">
        <v>1490</v>
      </c>
      <c r="G387" s="10" t="s">
        <v>1499</v>
      </c>
      <c r="H387" s="12">
        <v>2650</v>
      </c>
      <c r="I387">
        <v>1.05</v>
      </c>
      <c r="J387" s="12">
        <v>2782.5</v>
      </c>
      <c r="K387" s="10" t="s">
        <v>1495</v>
      </c>
      <c r="L387" s="2">
        <v>45209</v>
      </c>
      <c r="M387" s="10"/>
      <c r="O387" s="10"/>
      <c r="X387" s="13">
        <v>657</v>
      </c>
      <c r="Y387" s="10" t="s">
        <v>901</v>
      </c>
      <c r="Z387" s="10" t="s">
        <v>941</v>
      </c>
      <c r="AA387" s="10">
        <v>8</v>
      </c>
      <c r="AB387" s="10"/>
      <c r="AC387" s="10"/>
    </row>
    <row r="388" spans="1:29" hidden="1" x14ac:dyDescent="0.25">
      <c r="A388" s="10" t="s">
        <v>675</v>
      </c>
      <c r="B388" s="10" t="s">
        <v>1508</v>
      </c>
      <c r="C388" s="10"/>
      <c r="D388" s="10"/>
      <c r="E388" s="10" t="s">
        <v>285</v>
      </c>
      <c r="F388" s="10" t="s">
        <v>1502</v>
      </c>
      <c r="G388" s="10" t="s">
        <v>1509</v>
      </c>
      <c r="H388" s="12">
        <v>60.23</v>
      </c>
      <c r="I388">
        <v>1</v>
      </c>
      <c r="J388" s="12">
        <v>60.23</v>
      </c>
      <c r="K388" s="10" t="s">
        <v>284</v>
      </c>
      <c r="L388" s="2">
        <v>45866</v>
      </c>
      <c r="M388" s="10"/>
      <c r="O388" s="10"/>
      <c r="X388" s="13">
        <v>0</v>
      </c>
      <c r="Y388" s="10" t="s">
        <v>901</v>
      </c>
      <c r="Z388" s="10" t="s">
        <v>941</v>
      </c>
      <c r="AA388" s="10">
        <v>0.2</v>
      </c>
      <c r="AB388" s="10">
        <v>0.5</v>
      </c>
      <c r="AC388" s="10"/>
    </row>
    <row r="389" spans="1:29" hidden="1" x14ac:dyDescent="0.25">
      <c r="A389" s="10" t="s">
        <v>675</v>
      </c>
      <c r="B389" s="10" t="s">
        <v>1508</v>
      </c>
      <c r="C389" s="10"/>
      <c r="D389" s="10"/>
      <c r="E389" s="10" t="s">
        <v>285</v>
      </c>
      <c r="F389" s="10" t="s">
        <v>1503</v>
      </c>
      <c r="G389" s="10" t="s">
        <v>1510</v>
      </c>
      <c r="H389" s="12">
        <v>118.01</v>
      </c>
      <c r="I389">
        <v>1</v>
      </c>
      <c r="J389" s="12">
        <v>118.01</v>
      </c>
      <c r="K389" s="10" t="s">
        <v>284</v>
      </c>
      <c r="L389" s="2">
        <v>45866</v>
      </c>
      <c r="M389" s="10"/>
      <c r="O389" s="10"/>
      <c r="X389" s="13">
        <v>0</v>
      </c>
      <c r="Y389" s="10" t="s">
        <v>901</v>
      </c>
      <c r="Z389" s="10" t="s">
        <v>941</v>
      </c>
      <c r="AA389" s="10">
        <v>0.2</v>
      </c>
      <c r="AB389" s="10">
        <v>0.5</v>
      </c>
      <c r="AC389" s="10"/>
    </row>
    <row r="390" spans="1:29" hidden="1" x14ac:dyDescent="0.25">
      <c r="A390" s="10" t="s">
        <v>675</v>
      </c>
      <c r="B390" s="10" t="s">
        <v>1508</v>
      </c>
      <c r="C390" s="10"/>
      <c r="D390" s="10"/>
      <c r="E390" s="10" t="s">
        <v>285</v>
      </c>
      <c r="F390" s="10" t="s">
        <v>1504</v>
      </c>
      <c r="G390" s="10" t="s">
        <v>1511</v>
      </c>
      <c r="H390" s="12">
        <v>70.88</v>
      </c>
      <c r="I390">
        <v>1</v>
      </c>
      <c r="J390" s="12">
        <v>70.88</v>
      </c>
      <c r="K390" s="10" t="s">
        <v>284</v>
      </c>
      <c r="L390" s="2">
        <v>45866</v>
      </c>
      <c r="M390" s="10"/>
      <c r="O390" s="10"/>
      <c r="X390" s="13">
        <v>0</v>
      </c>
      <c r="Y390" s="10" t="s">
        <v>901</v>
      </c>
      <c r="Z390" s="10" t="s">
        <v>941</v>
      </c>
      <c r="AA390" s="10">
        <v>0.2</v>
      </c>
      <c r="AB390" s="10">
        <v>0.5</v>
      </c>
      <c r="AC390" s="10"/>
    </row>
    <row r="391" spans="1:29" hidden="1" x14ac:dyDescent="0.25">
      <c r="A391" s="10" t="s">
        <v>675</v>
      </c>
      <c r="B391" s="10" t="s">
        <v>1508</v>
      </c>
      <c r="C391" s="10"/>
      <c r="D391" s="10"/>
      <c r="E391" s="10" t="s">
        <v>285</v>
      </c>
      <c r="F391" s="10" t="s">
        <v>1505</v>
      </c>
      <c r="G391" s="10" t="s">
        <v>1512</v>
      </c>
      <c r="H391" s="12">
        <v>92.03</v>
      </c>
      <c r="I391">
        <v>1</v>
      </c>
      <c r="J391" s="12">
        <v>92.03</v>
      </c>
      <c r="K391" s="10" t="s">
        <v>284</v>
      </c>
      <c r="L391" s="2">
        <v>45866</v>
      </c>
      <c r="M391" s="10"/>
      <c r="O391" s="10"/>
      <c r="X391" s="13">
        <v>0</v>
      </c>
      <c r="Y391" s="10" t="s">
        <v>901</v>
      </c>
      <c r="Z391" s="10" t="s">
        <v>941</v>
      </c>
      <c r="AA391" s="10">
        <v>0.2</v>
      </c>
      <c r="AB391" s="10">
        <v>0.5</v>
      </c>
      <c r="AC391" s="10"/>
    </row>
    <row r="392" spans="1:29" hidden="1" x14ac:dyDescent="0.25">
      <c r="A392" s="10" t="s">
        <v>675</v>
      </c>
      <c r="B392" s="10" t="s">
        <v>1508</v>
      </c>
      <c r="C392" s="10"/>
      <c r="D392" s="10"/>
      <c r="E392" s="10" t="s">
        <v>285</v>
      </c>
      <c r="F392" s="10" t="s">
        <v>1506</v>
      </c>
      <c r="G392" s="10" t="s">
        <v>1513</v>
      </c>
      <c r="H392" s="12">
        <v>160.44</v>
      </c>
      <c r="I392">
        <v>1</v>
      </c>
      <c r="J392" s="12">
        <v>160.44</v>
      </c>
      <c r="K392" s="10" t="s">
        <v>284</v>
      </c>
      <c r="L392" s="2">
        <v>45866</v>
      </c>
      <c r="M392" s="10"/>
      <c r="O392" s="10"/>
      <c r="X392" s="13">
        <v>0</v>
      </c>
      <c r="Y392" s="10" t="s">
        <v>901</v>
      </c>
      <c r="Z392" s="10" t="s">
        <v>941</v>
      </c>
      <c r="AA392" s="10">
        <v>0.2</v>
      </c>
      <c r="AB392" s="10">
        <v>0.75</v>
      </c>
      <c r="AC392" s="10"/>
    </row>
    <row r="393" spans="1:29" hidden="1" x14ac:dyDescent="0.25">
      <c r="A393" s="10" t="s">
        <v>675</v>
      </c>
      <c r="B393" s="10" t="s">
        <v>1508</v>
      </c>
      <c r="C393" s="10"/>
      <c r="D393" s="10"/>
      <c r="E393" s="10" t="s">
        <v>285</v>
      </c>
      <c r="F393" s="10" t="s">
        <v>1507</v>
      </c>
      <c r="G393" s="10" t="s">
        <v>1514</v>
      </c>
      <c r="H393" s="12">
        <v>137.58000000000001</v>
      </c>
      <c r="I393">
        <v>1</v>
      </c>
      <c r="J393" s="12">
        <v>137.58000000000001</v>
      </c>
      <c r="K393" s="10" t="s">
        <v>284</v>
      </c>
      <c r="L393" s="2">
        <v>45866</v>
      </c>
      <c r="M393" s="10"/>
      <c r="O393" s="10"/>
      <c r="X393" s="13">
        <v>0</v>
      </c>
      <c r="Y393" s="10" t="s">
        <v>901</v>
      </c>
      <c r="Z393" s="10" t="s">
        <v>941</v>
      </c>
      <c r="AA393" s="10"/>
      <c r="AB393" s="10"/>
      <c r="AC393" s="10"/>
    </row>
    <row r="394" spans="1:29" hidden="1" x14ac:dyDescent="0.25">
      <c r="A394" s="10" t="s">
        <v>675</v>
      </c>
      <c r="B394" s="10" t="s">
        <v>1508</v>
      </c>
      <c r="C394" s="10"/>
      <c r="D394" s="10"/>
      <c r="E394" s="10" t="s">
        <v>285</v>
      </c>
      <c r="F394" s="10" t="s">
        <v>1515</v>
      </c>
      <c r="G394" s="10" t="s">
        <v>1516</v>
      </c>
      <c r="H394" s="12">
        <v>167.39</v>
      </c>
      <c r="I394">
        <v>1</v>
      </c>
      <c r="J394" s="12">
        <v>167.39</v>
      </c>
      <c r="K394" s="10" t="s">
        <v>284</v>
      </c>
      <c r="L394" s="2">
        <v>45866</v>
      </c>
      <c r="M394" s="10"/>
      <c r="O394" s="10"/>
      <c r="X394" s="13">
        <v>0</v>
      </c>
      <c r="Y394" s="10" t="s">
        <v>901</v>
      </c>
      <c r="Z394" s="10" t="s">
        <v>941</v>
      </c>
      <c r="AA394" s="10"/>
      <c r="AB394" s="10"/>
      <c r="AC394" s="10"/>
    </row>
    <row r="395" spans="1:29" hidden="1" x14ac:dyDescent="0.25">
      <c r="A395" s="10" t="s">
        <v>675</v>
      </c>
      <c r="B395" s="10" t="s">
        <v>1508</v>
      </c>
      <c r="C395" s="10"/>
      <c r="D395" s="10"/>
      <c r="E395" s="10" t="s">
        <v>285</v>
      </c>
      <c r="F395" s="10" t="s">
        <v>1517</v>
      </c>
      <c r="G395" s="10" t="s">
        <v>1519</v>
      </c>
      <c r="H395" s="12">
        <v>286.22000000000003</v>
      </c>
      <c r="I395">
        <v>1</v>
      </c>
      <c r="J395" s="12">
        <v>286.22000000000003</v>
      </c>
      <c r="K395" s="10"/>
      <c r="L395" s="2"/>
      <c r="M395" s="10"/>
      <c r="O395" s="10"/>
      <c r="X395" s="13">
        <v>45866</v>
      </c>
      <c r="Y395" s="10" t="s">
        <v>901</v>
      </c>
      <c r="Z395" s="10" t="s">
        <v>941</v>
      </c>
      <c r="AA395" s="10"/>
      <c r="AB395" s="10"/>
      <c r="AC395" s="10"/>
    </row>
    <row r="396" spans="1:29" hidden="1" x14ac:dyDescent="0.25">
      <c r="A396" s="10" t="s">
        <v>675</v>
      </c>
      <c r="B396" s="10" t="s">
        <v>1508</v>
      </c>
      <c r="C396" s="10"/>
      <c r="D396" s="10"/>
      <c r="E396" s="10" t="s">
        <v>285</v>
      </c>
      <c r="F396" s="10" t="s">
        <v>1518</v>
      </c>
      <c r="G396" s="10" t="s">
        <v>1520</v>
      </c>
      <c r="H396" s="12">
        <v>52.39</v>
      </c>
      <c r="I396">
        <v>1</v>
      </c>
      <c r="J396" s="12">
        <v>52.39</v>
      </c>
      <c r="K396" s="10"/>
      <c r="L396" s="2"/>
      <c r="M396" s="10"/>
      <c r="O396" s="10"/>
      <c r="X396" s="13">
        <v>45866</v>
      </c>
      <c r="Y396" s="10" t="s">
        <v>901</v>
      </c>
      <c r="Z396" s="10" t="s">
        <v>941</v>
      </c>
      <c r="AA396" s="10"/>
      <c r="AB396" s="10"/>
      <c r="AC396" s="10"/>
    </row>
    <row r="397" spans="1:29" hidden="1" x14ac:dyDescent="0.25">
      <c r="A397" s="10" t="s">
        <v>1057</v>
      </c>
      <c r="B397" s="10"/>
      <c r="C397" s="10"/>
      <c r="D397" s="10"/>
      <c r="E397" s="10"/>
      <c r="F397" s="10" t="s">
        <v>1521</v>
      </c>
      <c r="G397" s="10" t="s">
        <v>1522</v>
      </c>
      <c r="H397" s="12">
        <v>0</v>
      </c>
      <c r="I397">
        <v>1</v>
      </c>
      <c r="J397" s="12">
        <v>0</v>
      </c>
      <c r="K397" s="10"/>
      <c r="L397" s="2">
        <v>45863</v>
      </c>
      <c r="M397" s="10"/>
      <c r="O397" s="10"/>
      <c r="X397" s="13">
        <v>3</v>
      </c>
      <c r="Y397" s="10" t="s">
        <v>901</v>
      </c>
      <c r="Z397" s="10" t="s">
        <v>941</v>
      </c>
      <c r="AA397" s="10">
        <v>1</v>
      </c>
      <c r="AB397" s="10"/>
      <c r="AC397" s="10"/>
    </row>
  </sheetData>
  <phoneticPr fontId="14"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A0E85-E658-4E25-A321-64BC4A36D7E9}">
  <sheetPr codeName="Sheet5"/>
  <dimension ref="A1:D32"/>
  <sheetViews>
    <sheetView workbookViewId="0"/>
    <sheetView workbookViewId="1"/>
  </sheetViews>
  <sheetFormatPr defaultRowHeight="15" x14ac:dyDescent="0.25"/>
  <cols>
    <col min="1" max="1" width="7.85546875" style="1" bestFit="1" customWidth="1"/>
    <col min="2" max="2" width="85.42578125" customWidth="1"/>
    <col min="3" max="3" width="11" bestFit="1" customWidth="1"/>
    <col min="4" max="4" width="9.7109375" bestFit="1" customWidth="1"/>
  </cols>
  <sheetData>
    <row r="1" spans="1:4" x14ac:dyDescent="0.25">
      <c r="A1" s="115" t="s">
        <v>1377</v>
      </c>
      <c r="B1" s="69" t="s">
        <v>1372</v>
      </c>
      <c r="C1" s="69" t="s">
        <v>1373</v>
      </c>
      <c r="D1" s="69" t="s">
        <v>40</v>
      </c>
    </row>
    <row r="2" spans="1:4" x14ac:dyDescent="0.25">
      <c r="A2" s="68">
        <v>1120</v>
      </c>
      <c r="B2" s="67" t="s">
        <v>1365</v>
      </c>
      <c r="C2" s="65" t="s">
        <v>1364</v>
      </c>
    </row>
    <row r="3" spans="1:4" x14ac:dyDescent="0.25">
      <c r="A3" s="116" t="s">
        <v>1374</v>
      </c>
      <c r="B3" s="7"/>
      <c r="C3" s="65" t="s">
        <v>1364</v>
      </c>
    </row>
    <row r="4" spans="1:4" x14ac:dyDescent="0.25">
      <c r="A4" s="116" t="s">
        <v>1370</v>
      </c>
      <c r="B4" s="67" t="s">
        <v>1371</v>
      </c>
      <c r="C4" s="65" t="s">
        <v>1364</v>
      </c>
    </row>
    <row r="5" spans="1:4" x14ac:dyDescent="0.25">
      <c r="A5" s="116" t="s">
        <v>1369</v>
      </c>
      <c r="B5" s="67" t="s">
        <v>1375</v>
      </c>
      <c r="C5" s="65" t="s">
        <v>1364</v>
      </c>
    </row>
    <row r="6" spans="1:4" ht="60" x14ac:dyDescent="0.25">
      <c r="A6" s="116" t="s">
        <v>1368</v>
      </c>
      <c r="B6" s="67" t="s">
        <v>1376</v>
      </c>
      <c r="C6" s="65" t="s">
        <v>1364</v>
      </c>
      <c r="D6" s="2">
        <v>45859</v>
      </c>
    </row>
    <row r="7" spans="1:4" x14ac:dyDescent="0.25">
      <c r="A7" s="117" t="s">
        <v>1390</v>
      </c>
      <c r="B7" s="78" t="s">
        <v>1389</v>
      </c>
      <c r="C7" s="65" t="s">
        <v>1364</v>
      </c>
      <c r="D7" s="2">
        <v>45860</v>
      </c>
    </row>
    <row r="8" spans="1:4" x14ac:dyDescent="0.25">
      <c r="A8" s="82">
        <v>0.2</v>
      </c>
      <c r="B8" s="109" t="s">
        <v>1462</v>
      </c>
      <c r="C8" s="65" t="s">
        <v>1364</v>
      </c>
      <c r="D8" s="2">
        <v>45862</v>
      </c>
    </row>
    <row r="9" spans="1:4" x14ac:dyDescent="0.25">
      <c r="B9" s="7"/>
    </row>
    <row r="10" spans="1:4" x14ac:dyDescent="0.25">
      <c r="B10" s="7"/>
    </row>
    <row r="11" spans="1:4" x14ac:dyDescent="0.25">
      <c r="B11" s="7"/>
    </row>
    <row r="12" spans="1:4" x14ac:dyDescent="0.25">
      <c r="B12" s="7"/>
    </row>
    <row r="13" spans="1:4" x14ac:dyDescent="0.25">
      <c r="B13" s="7"/>
    </row>
    <row r="14" spans="1:4" x14ac:dyDescent="0.25">
      <c r="B14" s="7"/>
    </row>
    <row r="15" spans="1:4" x14ac:dyDescent="0.25">
      <c r="B15" s="7"/>
    </row>
    <row r="16" spans="1:4" x14ac:dyDescent="0.25">
      <c r="B16" s="7"/>
    </row>
    <row r="17" spans="2:2" x14ac:dyDescent="0.25">
      <c r="B17" s="7"/>
    </row>
    <row r="18" spans="2:2" x14ac:dyDescent="0.25">
      <c r="B18" s="7"/>
    </row>
    <row r="19" spans="2:2" x14ac:dyDescent="0.25">
      <c r="B19" s="7"/>
    </row>
    <row r="20" spans="2:2" x14ac:dyDescent="0.25">
      <c r="B20" s="7"/>
    </row>
    <row r="21" spans="2:2" x14ac:dyDescent="0.25">
      <c r="B21" s="7"/>
    </row>
    <row r="22" spans="2:2" x14ac:dyDescent="0.25">
      <c r="B22" s="7"/>
    </row>
    <row r="23" spans="2:2" x14ac:dyDescent="0.25">
      <c r="B23" s="7"/>
    </row>
    <row r="24" spans="2:2" x14ac:dyDescent="0.25">
      <c r="B24" s="7"/>
    </row>
    <row r="25" spans="2:2" x14ac:dyDescent="0.25">
      <c r="B25" s="7"/>
    </row>
    <row r="26" spans="2:2" x14ac:dyDescent="0.25">
      <c r="B26" s="7"/>
    </row>
    <row r="27" spans="2:2" x14ac:dyDescent="0.25">
      <c r="B27" s="7"/>
    </row>
    <row r="28" spans="2:2" x14ac:dyDescent="0.25">
      <c r="B28" s="7"/>
    </row>
    <row r="29" spans="2:2" x14ac:dyDescent="0.25">
      <c r="B29" s="7"/>
    </row>
    <row r="30" spans="2:2" x14ac:dyDescent="0.25">
      <c r="B30" s="7"/>
    </row>
    <row r="31" spans="2:2" x14ac:dyDescent="0.25">
      <c r="B31" s="7"/>
    </row>
    <row r="32" spans="2:2" x14ac:dyDescent="0.25">
      <c r="B32"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338CF-9CFD-447C-95B7-5BB0887960FB}">
  <sheetPr codeName="Sheet17"/>
  <dimension ref="A1:U201"/>
  <sheetViews>
    <sheetView zoomScale="85" zoomScaleNormal="85" workbookViewId="0">
      <pane ySplit="3" topLeftCell="A183" activePane="bottomLeft" state="frozen"/>
      <selection pane="bottomLeft" activeCell="F103" sqref="F103"/>
    </sheetView>
    <sheetView topLeftCell="A32" workbookViewId="1">
      <selection activeCell="F37" sqref="F37"/>
    </sheetView>
  </sheetViews>
  <sheetFormatPr defaultRowHeight="15" outlineLevelCol="1" x14ac:dyDescent="0.25"/>
  <cols>
    <col min="1" max="1" width="5.5703125" style="96" customWidth="1"/>
    <col min="2" max="2" width="9.140625" style="1"/>
    <col min="3" max="3" width="4.7109375" bestFit="1" customWidth="1"/>
    <col min="4" max="4" width="16" customWidth="1"/>
    <col min="5" max="5" width="13.42578125" customWidth="1"/>
    <col min="6" max="6" width="44" customWidth="1"/>
    <col min="7" max="7" width="6.7109375" style="1" customWidth="1"/>
    <col min="8" max="8" width="69.7109375" style="126" customWidth="1"/>
    <col min="9" max="9" width="33.42578125" customWidth="1"/>
    <col min="10" max="10" width="6.140625" customWidth="1"/>
    <col min="11" max="11" width="17.140625" style="3" customWidth="1"/>
    <col min="12" max="12" width="11.140625" customWidth="1"/>
    <col min="13" max="13" width="6" hidden="1" customWidth="1" outlineLevel="1"/>
    <col min="14" max="14" width="7.140625" hidden="1" customWidth="1" outlineLevel="1"/>
    <col min="15" max="15" width="9.140625" collapsed="1"/>
    <col min="16" max="16" width="17.28515625" customWidth="1"/>
    <col min="17" max="18" width="9.140625" style="92"/>
    <col min="19" max="19" width="12.140625" style="92" customWidth="1"/>
    <col min="20" max="20" width="73.42578125" customWidth="1"/>
  </cols>
  <sheetData>
    <row r="1" spans="1:21" x14ac:dyDescent="0.25">
      <c r="A1" s="96" t="s">
        <v>1452</v>
      </c>
      <c r="B1" s="96" t="s">
        <v>1440</v>
      </c>
      <c r="D1" s="85" t="s">
        <v>1441</v>
      </c>
      <c r="H1" s="139" t="s">
        <v>1487</v>
      </c>
    </row>
    <row r="2" spans="1:21" s="68" customFormat="1" ht="22.5" customHeight="1" x14ac:dyDescent="0.25">
      <c r="A2" s="101">
        <v>1010</v>
      </c>
      <c r="B2" s="101" t="s">
        <v>1524</v>
      </c>
      <c r="D2" s="100" t="s">
        <v>1531</v>
      </c>
      <c r="H2" s="126"/>
      <c r="K2" s="20"/>
      <c r="Q2" s="19"/>
      <c r="R2" s="19"/>
      <c r="S2" s="19"/>
    </row>
    <row r="3" spans="1:21" ht="63" x14ac:dyDescent="0.25">
      <c r="A3" s="18" t="s">
        <v>1435</v>
      </c>
      <c r="B3" s="89" t="s">
        <v>1453</v>
      </c>
      <c r="C3" s="18" t="s">
        <v>1436</v>
      </c>
      <c r="D3" s="18" t="s">
        <v>1437</v>
      </c>
      <c r="E3" s="18" t="s">
        <v>264</v>
      </c>
      <c r="F3" s="18" t="s">
        <v>1312</v>
      </c>
      <c r="G3" s="18" t="s">
        <v>172</v>
      </c>
      <c r="H3" s="120" t="s">
        <v>1438</v>
      </c>
      <c r="I3" s="18" t="s">
        <v>171</v>
      </c>
      <c r="J3" s="18" t="s">
        <v>172</v>
      </c>
      <c r="K3" s="17" t="s">
        <v>754</v>
      </c>
      <c r="L3" s="16" t="s">
        <v>16</v>
      </c>
      <c r="M3" s="107" t="s">
        <v>1458</v>
      </c>
      <c r="N3" s="107" t="s">
        <v>1459</v>
      </c>
      <c r="O3" s="98" t="s">
        <v>1439</v>
      </c>
      <c r="P3" s="21" t="s">
        <v>80</v>
      </c>
      <c r="Q3" s="89" t="s">
        <v>1461</v>
      </c>
      <c r="R3" s="18" t="s">
        <v>1313</v>
      </c>
      <c r="S3" s="89" t="s">
        <v>1460</v>
      </c>
      <c r="T3" s="89" t="s">
        <v>1523</v>
      </c>
      <c r="U3" s="89" t="s">
        <v>1367</v>
      </c>
    </row>
    <row r="4" spans="1:21" ht="15.75" thickBot="1" x14ac:dyDescent="0.3">
      <c r="A4" s="96">
        <f>IF(B4="","",1)</f>
        <v>1</v>
      </c>
      <c r="B4" s="99" t="str">
        <f>IF(OR(ISBLANK($B$2),ISBLANK(D4)),"",$B$2)</f>
        <v>DRV01</v>
      </c>
      <c r="C4" s="35"/>
      <c r="D4" s="35" t="s">
        <v>1525</v>
      </c>
      <c r="E4" s="35" t="s">
        <v>620</v>
      </c>
      <c r="F4" s="35" t="s">
        <v>935</v>
      </c>
      <c r="G4" s="36">
        <v>4</v>
      </c>
      <c r="H4" s="126" t="str" cm="1">
        <f t="array" ref="H4:L9">IF(ISNUMBER(G4),_xlfn.LET(_xlpm.lookupID, F4,_xlpm.masterQty, G4,_xlpm.isAssembly,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2Dr, 90x78x24 RightSideOpen</v>
      </c>
      <c r="I4" t="str">
        <v>AU90X7824RLP</v>
      </c>
      <c r="J4">
        <v>4</v>
      </c>
      <c r="K4" s="3">
        <v>3562.19</v>
      </c>
      <c r="L4" t="str">
        <v>CAB</v>
      </c>
      <c r="M4" cm="1">
        <f t="array" ref="M4:N9">_xlfn._xlws.FILTER(AssembliesDB[PanelAssy]:AssembliesDB[ShopAssy],AssembliesDB[Assembly_ID]=F4,"")</f>
        <v>1</v>
      </c>
      <c r="N4">
        <v>0</v>
      </c>
      <c r="O4" s="19">
        <f>IF(ISNUMBER(J4),J4,"")</f>
        <v>4</v>
      </c>
      <c r="P4" s="3">
        <f>IF(ISNUMBER(O4),O4*K4,"")</f>
        <v>14248.76</v>
      </c>
      <c r="Q4" s="93" cm="1">
        <f t="array" ref="Q4">IF(ISNUMBER(O4),_xlfn._xlws.FILTER(PartsDB[Hrs_ShopAssy]*N4*O4,PartsDB[Catalog]=I4),"")</f>
        <v>0</v>
      </c>
      <c r="R4" s="92" cm="1">
        <f t="array" ref="R4">IF(ISNUMBER(O4),_xlfn._xlws.FILTER(PartsDB[Hrs_Eng]*O4,PartsDB[Catalog]=I4),"")</f>
        <v>0.8</v>
      </c>
      <c r="S4" s="92" cm="1">
        <f t="array" ref="S4">IF(ISNUMBER(O4),_xlfn._xlws.FILTER(PartsDB[Hrs_PanelAssy]*M4*O4,PartsDB[Catalog]=I4),"")</f>
        <v>0</v>
      </c>
    </row>
    <row r="5" spans="1:21" ht="16.5" thickTop="1" thickBot="1" x14ac:dyDescent="0.3">
      <c r="A5" s="96" t="str">
        <f>IF(B5="","",MAX(A$4:A4)+1)</f>
        <v/>
      </c>
      <c r="B5" s="99" t="str">
        <f t="shared" ref="B5:B68" si="0">IF(OR(ISBLANK($B$2),ISBLANK(D5)),"",$B$2)</f>
        <v/>
      </c>
      <c r="C5" s="35"/>
      <c r="D5" s="35"/>
      <c r="E5" s="35"/>
      <c r="F5" s="35"/>
      <c r="G5" s="36"/>
      <c r="H5" s="126" t="str">
        <v>Panel For Enclosure, Size: 78 x 72 Inch, Material/Finish: Conductive Steel,</v>
      </c>
      <c r="I5" t="str">
        <v>A90PM78G</v>
      </c>
      <c r="J5">
        <v>4</v>
      </c>
      <c r="K5" s="3">
        <v>904.97</v>
      </c>
      <c r="L5" t="str">
        <v>CAB</v>
      </c>
      <c r="M5">
        <v>1</v>
      </c>
      <c r="N5">
        <v>0</v>
      </c>
      <c r="O5" s="19">
        <f t="shared" ref="O5:O68" si="1">IF(ISNUMBER(J5),J5,"")</f>
        <v>4</v>
      </c>
      <c r="P5" s="3">
        <f t="shared" ref="P5:P68" si="2">IF(ISNUMBER(O5),O5*K5,"")</f>
        <v>3619.88</v>
      </c>
      <c r="Q5" s="93" cm="1">
        <f t="array" ref="Q5">IF(ISNUMBER(O5),_xlfn._xlws.FILTER(PartsDB[Hrs_ShopAssy]*N5*O5,PartsDB[Catalog]=I5),"")</f>
        <v>0</v>
      </c>
      <c r="R5" s="92" cm="1">
        <f t="array" ref="R5">IF(ISNUMBER(O5),_xlfn._xlws.FILTER(PartsDB[Hrs_Eng]*O5,PartsDB[Catalog]=I5),"")</f>
        <v>32</v>
      </c>
      <c r="S5" s="92" cm="1">
        <f t="array" ref="S5">IF(ISNUMBER(O5),_xlfn._xlws.FILTER(PartsDB[Hrs_PanelAssy]*M5*O5,PartsDB[Catalog]=I5),"")</f>
        <v>32</v>
      </c>
    </row>
    <row r="6" spans="1:21" ht="31.5" thickTop="1" thickBot="1" x14ac:dyDescent="0.3">
      <c r="A6" s="96" t="str">
        <f>IF(B6="","",MAX(A$4:A5)+1)</f>
        <v/>
      </c>
      <c r="B6" s="99" t="str">
        <f t="shared" si="0"/>
        <v/>
      </c>
      <c r="C6" s="35"/>
      <c r="D6" s="35"/>
      <c r="E6" s="35"/>
      <c r="F6" s="35"/>
      <c r="G6" s="36"/>
      <c r="H6" s="126" t="str">
        <v>Electrical Interlock, 120 Volt/60Hz, Used With Door Latching Mechanisms on All Two Door Type 4/12 Enclosures</v>
      </c>
      <c r="I6" t="str">
        <v>AEK115</v>
      </c>
      <c r="J6">
        <v>8</v>
      </c>
      <c r="K6" s="3">
        <v>215.16</v>
      </c>
      <c r="L6" t="str">
        <v>CAB</v>
      </c>
      <c r="M6">
        <v>1</v>
      </c>
      <c r="N6">
        <v>0</v>
      </c>
      <c r="O6" s="19">
        <f t="shared" si="1"/>
        <v>8</v>
      </c>
      <c r="P6" s="3">
        <f t="shared" si="2"/>
        <v>1721.28</v>
      </c>
      <c r="Q6" s="93" cm="1">
        <f t="array" ref="Q6">IF(ISNUMBER(O6),_xlfn._xlws.FILTER(PartsDB[Hrs_ShopAssy]*N6*O6,PartsDB[Catalog]=I6),"")</f>
        <v>0</v>
      </c>
      <c r="R6" s="92" cm="1">
        <f t="array" ref="R6">IF(ISNUMBER(O6),_xlfn._xlws.FILTER(PartsDB[Hrs_Eng]*O6,PartsDB[Catalog]=I6),"")</f>
        <v>0.8</v>
      </c>
      <c r="S6" s="92" cm="1">
        <f t="array" ref="S6">IF(ISNUMBER(O6),_xlfn._xlws.FILTER(PartsDB[Hrs_PanelAssy]*M6*O6,PartsDB[Catalog]=I6),"")</f>
        <v>2</v>
      </c>
    </row>
    <row r="7" spans="1:21" ht="16.5" thickTop="1" thickBot="1" x14ac:dyDescent="0.3">
      <c r="A7" s="96" t="str">
        <f>IF(B7="","",MAX(A$4:A6)+1)</f>
        <v/>
      </c>
      <c r="B7" s="99" t="str">
        <f t="shared" si="0"/>
        <v/>
      </c>
      <c r="C7" s="35"/>
      <c r="D7" s="35"/>
      <c r="E7" s="35"/>
      <c r="F7" s="35"/>
      <c r="G7" s="36"/>
      <c r="H7" s="126" t="str">
        <v>LED Light Kit</v>
      </c>
      <c r="I7" t="str">
        <v>LEDA2M35</v>
      </c>
      <c r="J7">
        <v>8</v>
      </c>
      <c r="K7" s="3">
        <v>184.51</v>
      </c>
      <c r="L7" t="str">
        <v>CAB</v>
      </c>
      <c r="M7">
        <v>1</v>
      </c>
      <c r="N7">
        <v>0</v>
      </c>
      <c r="O7" s="19">
        <f t="shared" si="1"/>
        <v>8</v>
      </c>
      <c r="P7" s="3">
        <f t="shared" si="2"/>
        <v>1476.08</v>
      </c>
      <c r="Q7" s="93" cm="1">
        <f t="array" ref="Q7">IF(ISNUMBER(O7),_xlfn._xlws.FILTER(PartsDB[Hrs_ShopAssy]*N7*O7,PartsDB[Catalog]=I7),"")</f>
        <v>0</v>
      </c>
      <c r="R7" s="92" cm="1">
        <f t="array" ref="R7">IF(ISNUMBER(O7),_xlfn._xlws.FILTER(PartsDB[Hrs_Eng]*O7,PartsDB[Catalog]=I7),"")</f>
        <v>0.8</v>
      </c>
      <c r="S7" s="92" cm="1">
        <f t="array" ref="S7">IF(ISNUMBER(O7),_xlfn._xlws.FILTER(PartsDB[Hrs_PanelAssy]*M7*O7,PartsDB[Catalog]=I7),"")</f>
        <v>4</v>
      </c>
    </row>
    <row r="8" spans="1:21" ht="16.5" thickTop="1" thickBot="1" x14ac:dyDescent="0.3">
      <c r="A8" s="96" t="str">
        <f>IF(B8="","",MAX(A$4:A7)+1)</f>
        <v/>
      </c>
      <c r="B8" s="99" t="str">
        <f t="shared" si="0"/>
        <v/>
      </c>
      <c r="C8" s="35"/>
      <c r="D8" s="35"/>
      <c r="E8" s="35"/>
      <c r="F8" s="35"/>
      <c r="G8" s="36"/>
      <c r="H8" s="126" t="str">
        <v>Thermostat with N.O. contacts,</v>
      </c>
      <c r="I8" t="str">
        <v>ATEMNO</v>
      </c>
      <c r="J8">
        <v>4</v>
      </c>
      <c r="K8" s="3">
        <v>61.59</v>
      </c>
      <c r="L8" t="str">
        <v>CAB</v>
      </c>
      <c r="M8">
        <v>1</v>
      </c>
      <c r="N8">
        <v>0</v>
      </c>
      <c r="O8" s="19">
        <f t="shared" si="1"/>
        <v>4</v>
      </c>
      <c r="P8" s="3">
        <f t="shared" si="2"/>
        <v>246.36</v>
      </c>
      <c r="Q8" s="93" cm="1">
        <f t="array" ref="Q8">IF(ISNUMBER(O8),_xlfn._xlws.FILTER(PartsDB[Hrs_ShopAssy]*N8*O8,PartsDB[Catalog]=I8),"")</f>
        <v>0</v>
      </c>
      <c r="R8" s="92" cm="1">
        <f t="array" ref="R8">IF(ISNUMBER(O8),_xlfn._xlws.FILTER(PartsDB[Hrs_Eng]*O8,PartsDB[Catalog]=I8),"")</f>
        <v>0.4</v>
      </c>
      <c r="S8" s="92" cm="1">
        <f t="array" ref="S8">IF(ISNUMBER(O8),_xlfn._xlws.FILTER(PartsDB[Hrs_PanelAssy]*M8*O8,PartsDB[Catalog]=I8),"")</f>
        <v>2</v>
      </c>
    </row>
    <row r="9" spans="1:21" ht="16.5" thickTop="1" thickBot="1" x14ac:dyDescent="0.3">
      <c r="A9" s="96" t="str">
        <f>IF(B9="","",MAX(A$4:A8)+1)</f>
        <v/>
      </c>
      <c r="B9" s="99" t="str">
        <f t="shared" si="0"/>
        <v/>
      </c>
      <c r="C9" s="35"/>
      <c r="D9" s="35"/>
      <c r="E9" s="35"/>
      <c r="F9" s="35"/>
      <c r="G9" s="36"/>
      <c r="H9" s="126" t="str">
        <v>Baying Kit is used to bay multiple Universal Free-Stand Enclosures together</v>
      </c>
      <c r="I9" t="str">
        <v>AU8424FGK</v>
      </c>
      <c r="J9">
        <v>4</v>
      </c>
      <c r="K9" s="3">
        <v>95.32</v>
      </c>
      <c r="L9" t="str">
        <v>CAB</v>
      </c>
      <c r="M9">
        <v>1</v>
      </c>
      <c r="N9">
        <v>0</v>
      </c>
      <c r="O9" s="19">
        <f t="shared" si="1"/>
        <v>4</v>
      </c>
      <c r="P9" s="3">
        <f t="shared" si="2"/>
        <v>381.28</v>
      </c>
      <c r="Q9" s="93" cm="1">
        <f t="array" ref="Q9">IF(ISNUMBER(O9),_xlfn._xlws.FILTER(PartsDB[Hrs_ShopAssy]*N9*O9,PartsDB[Catalog]=I9),"")</f>
        <v>0</v>
      </c>
      <c r="R9" s="92" cm="1">
        <f t="array" ref="R9">IF(ISNUMBER(O9),_xlfn._xlws.FILTER(PartsDB[Hrs_Eng]*O9,PartsDB[Catalog]=I9),"")</f>
        <v>0</v>
      </c>
      <c r="S9" s="92" cm="1">
        <f t="array" ref="S9">IF(ISNUMBER(O9),_xlfn._xlws.FILTER(PartsDB[Hrs_PanelAssy]*M9*O9,PartsDB[Catalog]=I9),"")</f>
        <v>1</v>
      </c>
    </row>
    <row r="10" spans="1:21" ht="16.5" thickTop="1" thickBot="1" x14ac:dyDescent="0.3">
      <c r="A10" s="96">
        <f>IF(B10="","",MAX(A$4:A9)+1)</f>
        <v>2</v>
      </c>
      <c r="B10" s="99" t="str">
        <f t="shared" si="0"/>
        <v>DRV01</v>
      </c>
      <c r="C10" s="35"/>
      <c r="D10" s="35" t="s">
        <v>1525</v>
      </c>
      <c r="E10" s="35" t="s">
        <v>620</v>
      </c>
      <c r="F10" s="35" t="s">
        <v>988</v>
      </c>
      <c r="G10" s="36">
        <v>2</v>
      </c>
      <c r="H10" s="126" t="str" cm="1">
        <f t="array" ref="H10:L17">IF(ISNUMBER(G10),_xlfn.LET(_xlpm.lookupID, F10,_xlpm.masterQty, G10,_xlpm.isAssembly,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1Dr, 90x40x24 RightSideOpen</v>
      </c>
      <c r="I10" t="str">
        <v>AU90X4024RLP</v>
      </c>
      <c r="J10">
        <v>2</v>
      </c>
      <c r="K10" s="3">
        <v>2069.61</v>
      </c>
      <c r="L10" t="str">
        <v>CAB</v>
      </c>
      <c r="M10" cm="1">
        <f t="array" ref="M10:N17">_xlfn._xlws.FILTER(AssembliesDB[PanelAssy]:AssembliesDB[ShopAssy],AssembliesDB[Assembly_ID]=F10,"")</f>
        <v>1</v>
      </c>
      <c r="N10">
        <v>0</v>
      </c>
      <c r="O10" s="19">
        <f t="shared" si="1"/>
        <v>2</v>
      </c>
      <c r="P10" s="3">
        <f t="shared" si="2"/>
        <v>4139.22</v>
      </c>
      <c r="Q10" s="93" cm="1">
        <f t="array" ref="Q10">IF(ISNUMBER(O10),_xlfn._xlws.FILTER(PartsDB[Hrs_ShopAssy]*N10*O10,PartsDB[Catalog]=I10),"")</f>
        <v>0</v>
      </c>
      <c r="R10" s="92" cm="1">
        <f t="array" ref="R10">IF(ISNUMBER(O10),_xlfn._xlws.FILTER(PartsDB[Hrs_Eng]*O10,PartsDB[Catalog]=I10),"")</f>
        <v>0.2</v>
      </c>
      <c r="S10" s="92" cm="1">
        <f t="array" ref="S10">IF(ISNUMBER(O10),_xlfn._xlws.FILTER(PartsDB[Hrs_PanelAssy]*M10*O10,PartsDB[Catalog]=I10),"")</f>
        <v>0</v>
      </c>
    </row>
    <row r="11" spans="1:21" ht="31.5" thickTop="1" thickBot="1" x14ac:dyDescent="0.3">
      <c r="A11" s="96" t="str">
        <f>IF(B11="","",MAX(A$4:A10)+1)</f>
        <v/>
      </c>
      <c r="B11" s="99" t="str">
        <f t="shared" si="0"/>
        <v/>
      </c>
      <c r="C11" s="35"/>
      <c r="D11" s="35"/>
      <c r="E11" s="35"/>
      <c r="F11" s="35"/>
      <c r="G11" s="36"/>
      <c r="H11" s="126" t="str">
        <v>Panels for Large Bulletin A27, A28, A28S4 and A34 Multi-Door Enclosures, fits 84x 1 Bay, Steel</v>
      </c>
      <c r="I11" t="str">
        <v>A90PM40G</v>
      </c>
      <c r="J11">
        <v>2</v>
      </c>
      <c r="K11" s="3">
        <v>280.58</v>
      </c>
      <c r="L11" t="str">
        <v>CAB</v>
      </c>
      <c r="M11">
        <v>1</v>
      </c>
      <c r="N11">
        <v>0</v>
      </c>
      <c r="O11" s="19">
        <f t="shared" si="1"/>
        <v>2</v>
      </c>
      <c r="P11" s="3">
        <f t="shared" si="2"/>
        <v>561.16</v>
      </c>
      <c r="Q11" s="93" cm="1">
        <f t="array" ref="Q11">IF(ISNUMBER(O11),_xlfn._xlws.FILTER(PartsDB[Hrs_ShopAssy]*N11*O11,PartsDB[Catalog]=I11),"")</f>
        <v>0</v>
      </c>
      <c r="R11" s="92" cm="1">
        <f t="array" ref="R11">IF(ISNUMBER(O11),_xlfn._xlws.FILTER(PartsDB[Hrs_Eng]*O11,PartsDB[Catalog]=I11),"")</f>
        <v>16</v>
      </c>
      <c r="S11" s="92" cm="1">
        <f t="array" ref="S11">IF(ISNUMBER(O11),_xlfn._xlws.FILTER(PartsDB[Hrs_PanelAssy]*M11*O11,PartsDB[Catalog]=I11),"")</f>
        <v>24</v>
      </c>
    </row>
    <row r="12" spans="1:21" ht="16.5" thickTop="1" thickBot="1" x14ac:dyDescent="0.3">
      <c r="A12" s="96" t="str">
        <f>IF(B12="","",MAX(A$4:A11)+1)</f>
        <v/>
      </c>
      <c r="B12" s="99" t="str">
        <f t="shared" si="0"/>
        <v/>
      </c>
      <c r="C12" s="35"/>
      <c r="D12" s="35"/>
      <c r="E12" s="35"/>
      <c r="F12" s="35"/>
      <c r="G12" s="36"/>
      <c r="H12" s="126" t="str">
        <v>LED Light Kit</v>
      </c>
      <c r="I12" t="str">
        <v>LEDA2M35</v>
      </c>
      <c r="J12">
        <v>2</v>
      </c>
      <c r="K12" s="3">
        <v>184.51</v>
      </c>
      <c r="L12" t="str">
        <v>CAB</v>
      </c>
      <c r="M12">
        <v>1</v>
      </c>
      <c r="N12">
        <v>0</v>
      </c>
      <c r="O12" s="19">
        <f t="shared" si="1"/>
        <v>2</v>
      </c>
      <c r="P12" s="3">
        <f t="shared" si="2"/>
        <v>369.02</v>
      </c>
      <c r="Q12" s="93" cm="1">
        <f t="array" ref="Q12">IF(ISNUMBER(O12),_xlfn._xlws.FILTER(PartsDB[Hrs_ShopAssy]*N12*O12,PartsDB[Catalog]=I12),"")</f>
        <v>0</v>
      </c>
      <c r="R12" s="92" cm="1">
        <f t="array" ref="R12">IF(ISNUMBER(O12),_xlfn._xlws.FILTER(PartsDB[Hrs_Eng]*O12,PartsDB[Catalog]=I12),"")</f>
        <v>0.2</v>
      </c>
      <c r="S12" s="92" cm="1">
        <f t="array" ref="S12">IF(ISNUMBER(O12),_xlfn._xlws.FILTER(PartsDB[Hrs_PanelAssy]*M12*O12,PartsDB[Catalog]=I12),"")</f>
        <v>1</v>
      </c>
    </row>
    <row r="13" spans="1:21" ht="16.5" thickTop="1" thickBot="1" x14ac:dyDescent="0.3">
      <c r="A13" s="96" t="str">
        <f>IF(B13="","",MAX(A$4:A12)+1)</f>
        <v/>
      </c>
      <c r="B13" s="99" t="str">
        <f t="shared" si="0"/>
        <v/>
      </c>
      <c r="C13" s="35"/>
      <c r="D13" s="35"/>
      <c r="E13" s="35"/>
      <c r="F13" s="35"/>
      <c r="G13" s="36"/>
      <c r="H13" s="126" t="str">
        <v>DOOR MOUNTED ETHERNET PORT WITH DUAL GFCI RECEPTACLE</v>
      </c>
      <c r="I13" t="str">
        <v>P-R2-K3RF3</v>
      </c>
      <c r="J13">
        <v>2</v>
      </c>
      <c r="K13" s="3">
        <v>235.26</v>
      </c>
      <c r="L13" t="str">
        <v>CAB</v>
      </c>
      <c r="M13">
        <v>1</v>
      </c>
      <c r="N13">
        <v>0</v>
      </c>
      <c r="O13" s="19">
        <f t="shared" si="1"/>
        <v>2</v>
      </c>
      <c r="P13" s="3">
        <f t="shared" si="2"/>
        <v>470.52</v>
      </c>
      <c r="Q13" s="93" cm="1">
        <f t="array" ref="Q13">IF(ISNUMBER(O13),_xlfn._xlws.FILTER(PartsDB[Hrs_ShopAssy]*N13*O13,PartsDB[Catalog]=I13),"")</f>
        <v>0</v>
      </c>
      <c r="R13" s="92" cm="1">
        <f t="array" ref="R13">IF(ISNUMBER(O13),_xlfn._xlws.FILTER(PartsDB[Hrs_Eng]*O13,PartsDB[Catalog]=I13),"")</f>
        <v>0.2</v>
      </c>
      <c r="S13" s="92" cm="1">
        <f t="array" ref="S13">IF(ISNUMBER(O13),_xlfn._xlws.FILTER(PartsDB[Hrs_PanelAssy]*M13*O13,PartsDB[Catalog]=I13),"")</f>
        <v>2</v>
      </c>
    </row>
    <row r="14" spans="1:21" ht="16.5" thickTop="1" thickBot="1" x14ac:dyDescent="0.3">
      <c r="A14" s="96" t="str">
        <f>IF(B14="","",MAX(A$4:A13)+1)</f>
        <v/>
      </c>
      <c r="B14" s="99" t="str">
        <f t="shared" si="0"/>
        <v/>
      </c>
      <c r="C14" s="35"/>
      <c r="D14" s="35"/>
      <c r="E14" s="35"/>
      <c r="F14" s="35"/>
      <c r="G14" s="36"/>
      <c r="H14" s="126" t="str">
        <v>DIN Rail, Mounted Duplex Receptacle, 15 Amp, 125 Volt AC</v>
      </c>
      <c r="I14" t="str">
        <v>1492-REC15</v>
      </c>
      <c r="J14">
        <v>2</v>
      </c>
      <c r="K14" s="3">
        <v>26.7</v>
      </c>
      <c r="L14" t="str">
        <v>CAB</v>
      </c>
      <c r="M14">
        <v>1</v>
      </c>
      <c r="N14">
        <v>0</v>
      </c>
      <c r="O14" s="19">
        <f t="shared" si="1"/>
        <v>2</v>
      </c>
      <c r="P14" s="3">
        <f t="shared" si="2"/>
        <v>53.4</v>
      </c>
      <c r="Q14" s="93" cm="1">
        <f t="array" ref="Q14">IF(ISNUMBER(O14),_xlfn._xlws.FILTER(PartsDB[Hrs_ShopAssy]*N14*O14,PartsDB[Catalog]=I14),"")</f>
        <v>0</v>
      </c>
      <c r="R14" s="92" cm="1">
        <f t="array" ref="R14">IF(ISNUMBER(O14),_xlfn._xlws.FILTER(PartsDB[Hrs_Eng]*O14,PartsDB[Catalog]=I14),"")</f>
        <v>0.2</v>
      </c>
      <c r="S14" s="92" cm="1">
        <f t="array" ref="S14">IF(ISNUMBER(O14),_xlfn._xlws.FILTER(PartsDB[Hrs_PanelAssy]*M14*O14,PartsDB[Catalog]=I14),"")</f>
        <v>0.5</v>
      </c>
    </row>
    <row r="15" spans="1:21" ht="16.5" thickTop="1" thickBot="1" x14ac:dyDescent="0.3">
      <c r="A15" s="96" t="str">
        <f>IF(B15="","",MAX(A$4:A14)+1)</f>
        <v/>
      </c>
      <c r="B15" s="99" t="str">
        <f t="shared" si="0"/>
        <v/>
      </c>
      <c r="C15" s="35"/>
      <c r="D15" s="144"/>
      <c r="E15" s="35"/>
      <c r="F15" s="35"/>
      <c r="G15" s="36"/>
      <c r="H15" s="126" t="str">
        <v>Thermostat with N.O. contacts,</v>
      </c>
      <c r="I15" t="str">
        <v>ATEMNO</v>
      </c>
      <c r="J15">
        <v>2</v>
      </c>
      <c r="K15" s="3">
        <v>61.59</v>
      </c>
      <c r="L15" t="str">
        <v>CAB</v>
      </c>
      <c r="M15">
        <v>1</v>
      </c>
      <c r="N15">
        <v>0</v>
      </c>
      <c r="O15" s="19">
        <f t="shared" si="1"/>
        <v>2</v>
      </c>
      <c r="P15" s="3">
        <f t="shared" si="2"/>
        <v>123.18</v>
      </c>
      <c r="Q15" s="93" cm="1">
        <f t="array" ref="Q15">IF(ISNUMBER(O15),_xlfn._xlws.FILTER(PartsDB[Hrs_ShopAssy]*N15*O15,PartsDB[Catalog]=I15),"")</f>
        <v>0</v>
      </c>
      <c r="R15" s="92" cm="1">
        <f t="array" ref="R15">IF(ISNUMBER(O15),_xlfn._xlws.FILTER(PartsDB[Hrs_Eng]*O15,PartsDB[Catalog]=I15),"")</f>
        <v>0.2</v>
      </c>
      <c r="S15" s="92" cm="1">
        <f t="array" ref="S15">IF(ISNUMBER(O15),_xlfn._xlws.FILTER(PartsDB[Hrs_PanelAssy]*M15*O15,PartsDB[Catalog]=I15),"")</f>
        <v>1</v>
      </c>
    </row>
    <row r="16" spans="1:21" ht="16.5" thickTop="1" thickBot="1" x14ac:dyDescent="0.3">
      <c r="A16" s="96" t="str">
        <f>IF(B16="","",MAX(A$4:A15)+1)</f>
        <v/>
      </c>
      <c r="B16" s="99" t="str">
        <f t="shared" si="0"/>
        <v/>
      </c>
      <c r="C16" s="35"/>
      <c r="D16" s="35"/>
      <c r="E16" s="35"/>
      <c r="F16" s="35"/>
      <c r="G16" s="36"/>
      <c r="H16" s="126" t="str">
        <v>END PLATE 90X24</v>
      </c>
      <c r="I16" t="str">
        <v>AU9024EPT</v>
      </c>
      <c r="J16">
        <v>2</v>
      </c>
      <c r="K16" s="3">
        <v>775.93</v>
      </c>
      <c r="L16" t="str">
        <v>CAB</v>
      </c>
      <c r="M16">
        <v>1</v>
      </c>
      <c r="N16">
        <v>0</v>
      </c>
      <c r="O16" s="19">
        <f t="shared" si="1"/>
        <v>2</v>
      </c>
      <c r="P16" s="3">
        <f t="shared" si="2"/>
        <v>1551.86</v>
      </c>
      <c r="Q16" s="93" cm="1">
        <f t="array" ref="Q16">IF(ISNUMBER(O16),_xlfn._xlws.FILTER(PartsDB[Hrs_ShopAssy]*N16*O16,PartsDB[Catalog]=I16),"")</f>
        <v>0</v>
      </c>
      <c r="R16" s="92" cm="1">
        <f t="array" ref="R16">IF(ISNUMBER(O16),_xlfn._xlws.FILTER(PartsDB[Hrs_Eng]*O16,PartsDB[Catalog]=I16),"")</f>
        <v>0</v>
      </c>
      <c r="S16" s="92" cm="1">
        <f t="array" ref="S16">IF(ISNUMBER(O16),_xlfn._xlws.FILTER(PartsDB[Hrs_PanelAssy]*M16*O16,PartsDB[Catalog]=I16),"")</f>
        <v>1</v>
      </c>
    </row>
    <row r="17" spans="1:19" ht="16.5" thickTop="1" thickBot="1" x14ac:dyDescent="0.3">
      <c r="A17" s="96" t="str">
        <f>IF(B17="","",MAX(A$4:A16)+1)</f>
        <v/>
      </c>
      <c r="B17" s="99" t="str">
        <f t="shared" si="0"/>
        <v/>
      </c>
      <c r="C17" s="35"/>
      <c r="D17" s="35"/>
      <c r="E17" s="35"/>
      <c r="F17" s="35"/>
      <c r="G17" s="36"/>
      <c r="H17" s="126" t="str">
        <v>GASKET KIT 90X24</v>
      </c>
      <c r="I17" t="str">
        <v>AU9024FGK</v>
      </c>
      <c r="J17">
        <v>2</v>
      </c>
      <c r="K17" s="3">
        <v>131.51</v>
      </c>
      <c r="L17" t="str">
        <v>CAB</v>
      </c>
      <c r="M17">
        <v>1</v>
      </c>
      <c r="N17">
        <v>0</v>
      </c>
      <c r="O17" s="19">
        <f t="shared" si="1"/>
        <v>2</v>
      </c>
      <c r="P17" s="3">
        <f t="shared" si="2"/>
        <v>263.02</v>
      </c>
      <c r="Q17" s="93" cm="1">
        <f t="array" ref="Q17">IF(ISNUMBER(O17),_xlfn._xlws.FILTER(PartsDB[Hrs_ShopAssy]*N17*O17,PartsDB[Catalog]=I17),"")</f>
        <v>0</v>
      </c>
      <c r="R17" s="92" cm="1">
        <f t="array" ref="R17">IF(ISNUMBER(O17),_xlfn._xlws.FILTER(PartsDB[Hrs_Eng]*O17,PartsDB[Catalog]=I17),"")</f>
        <v>0</v>
      </c>
      <c r="S17" s="92" cm="1">
        <f t="array" ref="S17">IF(ISNUMBER(O17),_xlfn._xlws.FILTER(PartsDB[Hrs_PanelAssy]*M17*O17,PartsDB[Catalog]=I17),"")</f>
        <v>0.5</v>
      </c>
    </row>
    <row r="18" spans="1:19" ht="16.5" thickTop="1" thickBot="1" x14ac:dyDescent="0.3">
      <c r="A18" s="96">
        <f>IF(B18="","",MAX(A$4:A17)+1)</f>
        <v>3</v>
      </c>
      <c r="B18" s="99" t="str">
        <f t="shared" si="0"/>
        <v>DRV01</v>
      </c>
      <c r="C18" s="35"/>
      <c r="D18" s="35" t="s">
        <v>1525</v>
      </c>
      <c r="E18" s="35" t="s">
        <v>619</v>
      </c>
      <c r="F18" s="35" t="s">
        <v>525</v>
      </c>
      <c r="G18" s="36">
        <v>10</v>
      </c>
      <c r="H18" s="126" t="str" cm="1">
        <f t="array" ref="H18:L19">IF(ISNUMBER(G18),_xlfn.LET(_xlpm.lookupID, F18,_xlpm.masterQty, G18,_xlpm.isAssembly,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HF Side Mount Filter Fans, 115V, 484 CFM, NEMA 12, ABS/Light Gray Finish</v>
      </c>
      <c r="I18" t="str">
        <v>HF1316424</v>
      </c>
      <c r="J18">
        <v>10</v>
      </c>
      <c r="K18" s="3">
        <v>295.87</v>
      </c>
      <c r="L18" t="str">
        <v>COOLING</v>
      </c>
      <c r="M18" cm="1">
        <f t="array" ref="M18:N19">_xlfn._xlws.FILTER(AssembliesDB[PanelAssy]:AssembliesDB[ShopAssy],AssembliesDB[Assembly_ID]=F18,"")</f>
        <v>0</v>
      </c>
      <c r="N18">
        <v>0</v>
      </c>
      <c r="O18" s="19">
        <f t="shared" si="1"/>
        <v>10</v>
      </c>
      <c r="P18" s="3">
        <f t="shared" si="2"/>
        <v>2958.7</v>
      </c>
      <c r="Q18" s="93" cm="1">
        <f t="array" ref="Q18">IF(ISNUMBER(O18),_xlfn._xlws.FILTER(PartsDB[Hrs_ShopAssy]*N18*O18,PartsDB[Catalog]=I18),"")</f>
        <v>0</v>
      </c>
      <c r="R18" s="92" cm="1">
        <f t="array" ref="R18">IF(ISNUMBER(O18),_xlfn._xlws.FILTER(PartsDB[Hrs_Eng]*O18,PartsDB[Catalog]=I18),"")</f>
        <v>5</v>
      </c>
      <c r="S18" s="92" cm="1">
        <f t="array" ref="S18">IF(ISNUMBER(O18),_xlfn._xlws.FILTER(PartsDB[Hrs_PanelAssy]*M18*O18,PartsDB[Catalog]=I18),"")</f>
        <v>0</v>
      </c>
    </row>
    <row r="19" spans="1:19" ht="16.5" thickTop="1" thickBot="1" x14ac:dyDescent="0.3">
      <c r="A19" s="96" t="str">
        <f>IF(B19="","",MAX(A$4:A18)+1)</f>
        <v/>
      </c>
      <c r="B19" s="99" t="str">
        <f t="shared" si="0"/>
        <v/>
      </c>
      <c r="C19" s="35"/>
      <c r="D19" s="35"/>
      <c r="E19" s="35"/>
      <c r="F19" s="35"/>
      <c r="G19" s="36"/>
      <c r="H19" s="126" t="str">
        <v>Exhaust Grille, IP54, Diameter: 13", Material: Thermoplastic</v>
      </c>
      <c r="I19" t="str">
        <v>HG1300404</v>
      </c>
      <c r="J19">
        <v>10</v>
      </c>
      <c r="K19" s="3">
        <v>53.79</v>
      </c>
      <c r="L19" t="str">
        <v>COOLING</v>
      </c>
      <c r="M19">
        <v>0</v>
      </c>
      <c r="N19">
        <v>0</v>
      </c>
      <c r="O19" s="19">
        <f t="shared" si="1"/>
        <v>10</v>
      </c>
      <c r="P19" s="3">
        <f t="shared" si="2"/>
        <v>537.9</v>
      </c>
      <c r="Q19" s="93" cm="1">
        <f t="array" ref="Q19">IF(ISNUMBER(O19),_xlfn._xlws.FILTER(PartsDB[Hrs_ShopAssy]*N19*O19,PartsDB[Catalog]=I19),"")</f>
        <v>0</v>
      </c>
      <c r="R19" s="92" cm="1">
        <f t="array" ref="R19">IF(ISNUMBER(O19),_xlfn._xlws.FILTER(PartsDB[Hrs_Eng]*O19,PartsDB[Catalog]=I19),"")</f>
        <v>2.5</v>
      </c>
      <c r="S19" s="92" cm="1">
        <f t="array" ref="S19">IF(ISNUMBER(O19),_xlfn._xlws.FILTER(PartsDB[Hrs_PanelAssy]*M19*O19,PartsDB[Catalog]=I19),"")</f>
        <v>0</v>
      </c>
    </row>
    <row r="20" spans="1:19" ht="31.5" thickTop="1" thickBot="1" x14ac:dyDescent="0.3">
      <c r="A20" s="96">
        <f>IF(B20="","",MAX(A$4:A19)+1)</f>
        <v>4</v>
      </c>
      <c r="B20" s="99" t="str">
        <f t="shared" si="0"/>
        <v>DRV01</v>
      </c>
      <c r="C20" s="35"/>
      <c r="D20" s="35" t="s">
        <v>1525</v>
      </c>
      <c r="E20" s="35" t="s">
        <v>178</v>
      </c>
      <c r="F20" s="35" t="s">
        <v>535</v>
      </c>
      <c r="G20" s="36">
        <v>1</v>
      </c>
      <c r="H20" s="126" t="str" cm="1">
        <f t="array" ref="H20:L22">IF(ISNUMBER(G20),_xlfn.LET(_xlpm.lookupID, F20,_xlpm.masterQty, G20,_xlpm.isAssembly,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SERIES PD, FRAME SIZE 6 CIRCUIT BREAKER, 2000 AMP, ADJUSTABLE TRIP, 1000A-2000A</v>
      </c>
      <c r="I20" t="str">
        <v>PDG63M2000E2NN</v>
      </c>
      <c r="J20">
        <v>1</v>
      </c>
      <c r="K20" s="3">
        <v>5494.8074999999999</v>
      </c>
      <c r="L20" t="str">
        <v>MCCB</v>
      </c>
      <c r="M20" cm="1">
        <f t="array" ref="M20:N22">_xlfn._xlws.FILTER(AssembliesDB[PanelAssy]:AssembliesDB[ShopAssy],AssembliesDB[Assembly_ID]=F20,"")</f>
        <v>1</v>
      </c>
      <c r="N20">
        <v>0</v>
      </c>
      <c r="O20" s="19">
        <f t="shared" si="1"/>
        <v>1</v>
      </c>
      <c r="P20" s="3">
        <f t="shared" si="2"/>
        <v>5494.8074999999999</v>
      </c>
      <c r="Q20" s="93" cm="1">
        <f t="array" ref="Q20">IF(ISNUMBER(O20),_xlfn._xlws.FILTER(PartsDB[Hrs_ShopAssy]*N20*O20,PartsDB[Catalog]=I20),"")</f>
        <v>0</v>
      </c>
      <c r="R20" s="92" cm="1">
        <f t="array" ref="R20">IF(ISNUMBER(O20),_xlfn._xlws.FILTER(PartsDB[Hrs_Eng]*O20,PartsDB[Catalog]=I20),"")</f>
        <v>0.25</v>
      </c>
      <c r="S20" s="92" cm="1">
        <f t="array" ref="S20">IF(ISNUMBER(O20),_xlfn._xlws.FILTER(PartsDB[Hrs_PanelAssy]*M20*O20,PartsDB[Catalog]=I20),"")</f>
        <v>1</v>
      </c>
    </row>
    <row r="21" spans="1:19" ht="16.5" thickTop="1" thickBot="1" x14ac:dyDescent="0.3">
      <c r="A21" s="96" t="str">
        <f>IF(B21="","",MAX(A$4:A20)+1)</f>
        <v/>
      </c>
      <c r="B21" s="99" t="str">
        <f t="shared" si="0"/>
        <v/>
      </c>
      <c r="C21" s="35"/>
      <c r="D21" s="35"/>
      <c r="E21" s="35"/>
      <c r="F21" s="35"/>
      <c r="G21" s="36"/>
      <c r="H21" s="126" t="str">
        <v>FLEX CABLE DISCONNECT</v>
      </c>
      <c r="I21" t="str">
        <v>PDG6XFS06</v>
      </c>
      <c r="J21">
        <v>1</v>
      </c>
      <c r="K21" s="3">
        <v>399.7</v>
      </c>
      <c r="L21" t="str">
        <v>MCCB</v>
      </c>
      <c r="M21">
        <v>1</v>
      </c>
      <c r="N21">
        <v>0</v>
      </c>
      <c r="O21" s="19">
        <f t="shared" si="1"/>
        <v>1</v>
      </c>
      <c r="P21" s="3">
        <f t="shared" si="2"/>
        <v>399.7</v>
      </c>
      <c r="Q21" s="93" cm="1">
        <f t="array" ref="Q21">IF(ISNUMBER(O21),_xlfn._xlws.FILTER(PartsDB[Hrs_ShopAssy]*N21*O21,PartsDB[Catalog]=I21),"")</f>
        <v>0</v>
      </c>
      <c r="R21" s="92" cm="1">
        <f t="array" ref="R21">IF(ISNUMBER(O21),_xlfn._xlws.FILTER(PartsDB[Hrs_Eng]*O21,PartsDB[Catalog]=I21),"")</f>
        <v>0</v>
      </c>
      <c r="S21" s="92" cm="1">
        <f t="array" ref="S21">IF(ISNUMBER(O21),_xlfn._xlws.FILTER(PartsDB[Hrs_PanelAssy]*M21*O21,PartsDB[Catalog]=I21),"")</f>
        <v>0.5</v>
      </c>
    </row>
    <row r="22" spans="1:19" ht="16.5" thickTop="1" thickBot="1" x14ac:dyDescent="0.3">
      <c r="A22" s="96" t="str">
        <f>IF(B22="","",MAX(A$4:A21)+1)</f>
        <v/>
      </c>
      <c r="B22" s="99" t="str">
        <f t="shared" si="0"/>
        <v/>
      </c>
      <c r="C22" s="35"/>
      <c r="D22" s="35"/>
      <c r="E22" s="35"/>
      <c r="F22" s="35"/>
      <c r="G22" s="36"/>
      <c r="H22" s="126" t="str">
        <v>LINE / LOAD LUGS FOR FRAME 6 CIRCUIT BREAKER</v>
      </c>
      <c r="I22" t="str">
        <v>PDG6X3TA2000</v>
      </c>
      <c r="J22">
        <v>2</v>
      </c>
      <c r="K22" s="3">
        <v>2075.4756000000002</v>
      </c>
      <c r="L22" t="str">
        <v>MCCB</v>
      </c>
      <c r="M22">
        <v>1</v>
      </c>
      <c r="N22">
        <v>0</v>
      </c>
      <c r="O22" s="19">
        <f t="shared" si="1"/>
        <v>2</v>
      </c>
      <c r="P22" s="3">
        <f t="shared" si="2"/>
        <v>4150.9512000000004</v>
      </c>
      <c r="Q22" s="93" cm="1">
        <f t="array" ref="Q22">IF(ISNUMBER(O22),_xlfn._xlws.FILTER(PartsDB[Hrs_ShopAssy]*N22*O22,PartsDB[Catalog]=I22),"")</f>
        <v>0</v>
      </c>
      <c r="R22" s="92" cm="1">
        <f t="array" ref="R22">IF(ISNUMBER(O22),_xlfn._xlws.FILTER(PartsDB[Hrs_Eng]*O22,PartsDB[Catalog]=I22),"")</f>
        <v>0</v>
      </c>
      <c r="S22" s="92" cm="1">
        <f t="array" ref="S22">IF(ISNUMBER(O22),_xlfn._xlws.FILTER(PartsDB[Hrs_PanelAssy]*M22*O22,PartsDB[Catalog]=I22),"")</f>
        <v>0.5</v>
      </c>
    </row>
    <row r="23" spans="1:19" ht="16.5" thickTop="1" thickBot="1" x14ac:dyDescent="0.3">
      <c r="A23" s="96">
        <f>IF(B23="","",MAX(A$4:A22)+1)</f>
        <v>5</v>
      </c>
      <c r="B23" s="99" t="str">
        <f t="shared" si="0"/>
        <v>DRV01</v>
      </c>
      <c r="C23" s="35"/>
      <c r="D23" s="35" t="s">
        <v>1525</v>
      </c>
      <c r="E23" s="35" t="s">
        <v>593</v>
      </c>
      <c r="F23" s="35" t="s">
        <v>597</v>
      </c>
      <c r="G23" s="36">
        <v>4</v>
      </c>
      <c r="H23" s="126" t="str" cm="1">
        <f t="array" ref="H23:L25">IF(ISNUMBER(G23),_xlfn.LET(_xlpm.lookupID, F23,_xlpm.masterQty, G23,_xlpm.isAssembly,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400A, 600V, Fuse Holder 3 Pole Class J Fuseblock</v>
      </c>
      <c r="I23" t="str">
        <v>LFJ60400-3C</v>
      </c>
      <c r="J23">
        <v>4</v>
      </c>
      <c r="K23" s="3">
        <v>1471.9</v>
      </c>
      <c r="L23" t="str">
        <v>FU</v>
      </c>
      <c r="M23" cm="1">
        <f t="array" ref="M23:N25">_xlfn._xlws.FILTER(AssembliesDB[PanelAssy]:AssembliesDB[ShopAssy],AssembliesDB[Assembly_ID]=F23,"")</f>
        <v>1</v>
      </c>
      <c r="N23">
        <v>0</v>
      </c>
      <c r="O23" s="19">
        <f t="shared" si="1"/>
        <v>4</v>
      </c>
      <c r="P23" s="3">
        <f t="shared" si="2"/>
        <v>5887.6</v>
      </c>
      <c r="Q23" s="93" cm="1">
        <f t="array" ref="Q23">IF(ISNUMBER(O23),_xlfn._xlws.FILTER(PartsDB[Hrs_ShopAssy]*N23*O23,PartsDB[Catalog]=I23),"")</f>
        <v>0</v>
      </c>
      <c r="R23" s="92" cm="1">
        <f t="array" ref="R23">IF(ISNUMBER(O23),_xlfn._xlws.FILTER(PartsDB[Hrs_Eng]*O23,PartsDB[Catalog]=I23),"")</f>
        <v>1</v>
      </c>
      <c r="S23" s="92" cm="1">
        <f t="array" ref="S23">IF(ISNUMBER(O23),_xlfn._xlws.FILTER(PartsDB[Hrs_PanelAssy]*M23*O23,PartsDB[Catalog]=I23),"")</f>
        <v>4</v>
      </c>
    </row>
    <row r="24" spans="1:19" ht="16.5" thickTop="1" thickBot="1" x14ac:dyDescent="0.3">
      <c r="A24" s="96" t="str">
        <f>IF(B24="","",MAX(A$4:A23)+1)</f>
        <v/>
      </c>
      <c r="B24" s="99" t="str">
        <f t="shared" si="0"/>
        <v/>
      </c>
      <c r="C24" s="35"/>
      <c r="D24" s="35"/>
      <c r="E24" s="35"/>
      <c r="F24" s="35"/>
      <c r="G24" s="36"/>
      <c r="H24" s="126" t="str">
        <v>Fuse, 400A, 600V, 200kAIC, Class J, Fast-Acting</v>
      </c>
      <c r="I24" t="str">
        <v>JLS400</v>
      </c>
      <c r="J24">
        <v>12</v>
      </c>
      <c r="K24" s="3">
        <v>155.19999999999999</v>
      </c>
      <c r="L24" t="str">
        <v>FU</v>
      </c>
      <c r="M24">
        <v>1</v>
      </c>
      <c r="N24">
        <v>0</v>
      </c>
      <c r="O24" s="19">
        <f t="shared" si="1"/>
        <v>12</v>
      </c>
      <c r="P24" s="3">
        <f t="shared" si="2"/>
        <v>1862.3999999999999</v>
      </c>
      <c r="Q24" s="93" cm="1">
        <f t="array" ref="Q24">IF(ISNUMBER(O24),_xlfn._xlws.FILTER(PartsDB[Hrs_ShopAssy]*N24*O24,PartsDB[Catalog]=I24),"")</f>
        <v>0</v>
      </c>
      <c r="R24" s="92" cm="1">
        <f t="array" ref="R24">IF(ISNUMBER(O24),_xlfn._xlws.FILTER(PartsDB[Hrs_Eng]*O24,PartsDB[Catalog]=I24),"")</f>
        <v>0</v>
      </c>
      <c r="S24" s="92" cm="1">
        <f t="array" ref="S24">IF(ISNUMBER(O24),_xlfn._xlws.FILTER(PartsDB[Hrs_PanelAssy]*M24*O24,PartsDB[Catalog]=I24),"")</f>
        <v>0</v>
      </c>
    </row>
    <row r="25" spans="1:19" ht="16.5" thickTop="1" thickBot="1" x14ac:dyDescent="0.3">
      <c r="A25" s="96" t="str">
        <f>IF(B25="","",MAX(A$4:A24)+1)</f>
        <v/>
      </c>
      <c r="B25" s="99" t="str">
        <f t="shared" si="0"/>
        <v/>
      </c>
      <c r="C25" s="35"/>
      <c r="D25" s="35"/>
      <c r="E25" s="35"/>
      <c r="F25" s="35"/>
      <c r="G25" s="36"/>
      <c r="H25" s="126" t="str">
        <v>Custom Plexi-glass shroud</v>
      </c>
      <c r="I25" t="str">
        <v>Plexiglass</v>
      </c>
      <c r="J25">
        <v>4</v>
      </c>
      <c r="K25" s="3">
        <v>200</v>
      </c>
      <c r="L25" t="str">
        <v>FU</v>
      </c>
      <c r="M25">
        <v>1</v>
      </c>
      <c r="N25">
        <v>0</v>
      </c>
      <c r="O25" s="19">
        <f t="shared" si="1"/>
        <v>4</v>
      </c>
      <c r="P25" s="3">
        <f t="shared" si="2"/>
        <v>800</v>
      </c>
      <c r="Q25" s="93" cm="1">
        <f t="array" ref="Q25">IF(ISNUMBER(O25),_xlfn._xlws.FILTER(PartsDB[Hrs_ShopAssy]*N25*O25,PartsDB[Catalog]=I25),"")</f>
        <v>0</v>
      </c>
      <c r="R25" s="92" cm="1">
        <f t="array" ref="R25">IF(ISNUMBER(O25),_xlfn._xlws.FILTER(PartsDB[Hrs_Eng]*O25,PartsDB[Catalog]=I25),"")</f>
        <v>0</v>
      </c>
      <c r="S25" s="92" cm="1">
        <f t="array" ref="S25">IF(ISNUMBER(O25),_xlfn._xlws.FILTER(PartsDB[Hrs_PanelAssy]*M25*O25,PartsDB[Catalog]=I25),"")</f>
        <v>0</v>
      </c>
    </row>
    <row r="26" spans="1:19" ht="31.5" thickTop="1" thickBot="1" x14ac:dyDescent="0.3">
      <c r="A26" s="96">
        <f>IF(B26="","",MAX(A$4:A25)+1)</f>
        <v>6</v>
      </c>
      <c r="B26" s="99" t="str">
        <f t="shared" si="0"/>
        <v>DRV01</v>
      </c>
      <c r="C26" s="35"/>
      <c r="D26" s="35" t="s">
        <v>1525</v>
      </c>
      <c r="E26" s="35" t="s">
        <v>245</v>
      </c>
      <c r="F26" s="35" t="s">
        <v>541</v>
      </c>
      <c r="G26" s="36">
        <v>4</v>
      </c>
      <c r="H26" s="126" t="str" cm="1">
        <f t="array" ref="H26:L27">IF(ISNUMBER(G26),_xlfn.LET(_xlpm.lookupID, F26,_xlpm.masterQty, G26,_xlpm.isAssembly,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1492 POWER DISTRIBUTION BLOCK, 3-POLE, ALUMINUM, 2 INCOMMING, 8 OUTGOING, 760A</v>
      </c>
      <c r="I26" t="str">
        <v>1492-PD3287</v>
      </c>
      <c r="J26">
        <v>4</v>
      </c>
      <c r="K26" s="3">
        <v>223.48</v>
      </c>
      <c r="L26" t="str">
        <v>PDB</v>
      </c>
      <c r="M26" cm="1">
        <f t="array" ref="M26:N27">_xlfn._xlws.FILTER(AssembliesDB[PanelAssy]:AssembliesDB[ShopAssy],AssembliesDB[Assembly_ID]=F26,"")</f>
        <v>0</v>
      </c>
      <c r="N26">
        <v>0</v>
      </c>
      <c r="O26" s="19">
        <f t="shared" si="1"/>
        <v>4</v>
      </c>
      <c r="P26" s="3">
        <f t="shared" si="2"/>
        <v>893.92</v>
      </c>
      <c r="Q26" s="93" cm="1">
        <f t="array" ref="Q26">IF(ISNUMBER(O26),_xlfn._xlws.FILTER(PartsDB[Hrs_ShopAssy]*N26*O26,PartsDB[Catalog]=I26),"")</f>
        <v>0</v>
      </c>
      <c r="R26" s="92" cm="1">
        <f t="array" ref="R26">IF(ISNUMBER(O26),_xlfn._xlws.FILTER(PartsDB[Hrs_Eng]*O26,PartsDB[Catalog]=I26),"")</f>
        <v>0</v>
      </c>
      <c r="S26" s="92" cm="1">
        <f t="array" ref="S26">IF(ISNUMBER(O26),_xlfn._xlws.FILTER(PartsDB[Hrs_PanelAssy]*M26*O26,PartsDB[Catalog]=I26),"")</f>
        <v>0</v>
      </c>
    </row>
    <row r="27" spans="1:19" ht="16.5" thickTop="1" thickBot="1" x14ac:dyDescent="0.3">
      <c r="A27" s="96" t="str">
        <f>IF(B27="","",MAX(A$4:A26)+1)</f>
        <v/>
      </c>
      <c r="B27" s="99" t="str">
        <f t="shared" si="0"/>
        <v/>
      </c>
      <c r="C27" s="35"/>
      <c r="D27" s="35"/>
      <c r="E27" s="35"/>
      <c r="F27" s="35"/>
      <c r="G27" s="36"/>
      <c r="H27" s="126" t="str">
        <v>Distribution Block, Cover, 1P, for 380 - 760 Amp</v>
      </c>
      <c r="I27" t="str">
        <v>1492-PBC3</v>
      </c>
      <c r="J27">
        <v>12</v>
      </c>
      <c r="K27" s="3">
        <v>11.02</v>
      </c>
      <c r="L27" t="str">
        <v>PDB</v>
      </c>
      <c r="M27">
        <v>0</v>
      </c>
      <c r="N27">
        <v>0</v>
      </c>
      <c r="O27" s="19">
        <f t="shared" si="1"/>
        <v>12</v>
      </c>
      <c r="P27" s="3">
        <f t="shared" si="2"/>
        <v>132.24</v>
      </c>
      <c r="Q27" s="93" cm="1">
        <f t="array" ref="Q27">IF(ISNUMBER(O27),_xlfn._xlws.FILTER(PartsDB[Hrs_ShopAssy]*N27*O27,PartsDB[Catalog]=I27),"")</f>
        <v>0</v>
      </c>
      <c r="R27" s="92" cm="1">
        <f t="array" ref="R27">IF(ISNUMBER(O27),_xlfn._xlws.FILTER(PartsDB[Hrs_Eng]*O27,PartsDB[Catalog]=I27),"")</f>
        <v>0</v>
      </c>
      <c r="S27" s="92" cm="1">
        <f t="array" ref="S27">IF(ISNUMBER(O27),_xlfn._xlws.FILTER(PartsDB[Hrs_PanelAssy]*M27*O27,PartsDB[Catalog]=I27),"")</f>
        <v>0</v>
      </c>
    </row>
    <row r="28" spans="1:19" ht="31.5" thickTop="1" thickBot="1" x14ac:dyDescent="0.3">
      <c r="A28" s="96">
        <f>IF(B28="","",MAX(A$4:A27)+1)</f>
        <v>7</v>
      </c>
      <c r="B28" s="99" t="str">
        <f t="shared" si="0"/>
        <v>DRV01</v>
      </c>
      <c r="C28" s="35"/>
      <c r="D28" s="35" t="s">
        <v>1525</v>
      </c>
      <c r="E28" s="35" t="s">
        <v>567</v>
      </c>
      <c r="F28" s="35" t="s">
        <v>574</v>
      </c>
      <c r="G28" s="36">
        <v>1</v>
      </c>
      <c r="H28" s="126" t="str" cm="1">
        <f t="array" ref="H28:L33">IF(ISNUMBER(G28),_xlfn.LET(_xlpm.lookupID, F28,_xlpm.masterQty, G28,_xlpm.isAssembly,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HSZ Series Industrial Control Transformers 3kVA, 480/240 x 120/115v, 50/60 Hz</v>
      </c>
      <c r="I28" t="str">
        <v>HZ3000</v>
      </c>
      <c r="J28">
        <v>1</v>
      </c>
      <c r="K28" s="3">
        <v>1680.79</v>
      </c>
      <c r="L28" t="str">
        <v>XFMR-Ctrl</v>
      </c>
      <c r="M28" cm="1">
        <f t="array" ref="M28:N33">_xlfn._xlws.FILTER(AssembliesDB[PanelAssy]:AssembliesDB[ShopAssy],AssembliesDB[Assembly_ID]=F28,"")</f>
        <v>1</v>
      </c>
      <c r="N28">
        <v>0</v>
      </c>
      <c r="O28" s="19">
        <f t="shared" si="1"/>
        <v>1</v>
      </c>
      <c r="P28" s="3">
        <f t="shared" si="2"/>
        <v>1680.79</v>
      </c>
      <c r="Q28" s="93" cm="1">
        <f t="array" ref="Q28">IF(ISNUMBER(O28),_xlfn._xlws.FILTER(PartsDB[Hrs_ShopAssy]*N28*O28,PartsDB[Catalog]=I28),"")</f>
        <v>0</v>
      </c>
      <c r="R28" s="92" cm="1">
        <f t="array" ref="R28">IF(ISNUMBER(O28),_xlfn._xlws.FILTER(PartsDB[Hrs_Eng]*O28,PartsDB[Catalog]=I28),"")</f>
        <v>1</v>
      </c>
      <c r="S28" s="92" cm="1">
        <f t="array" ref="S28">IF(ISNUMBER(O28),_xlfn._xlws.FILTER(PartsDB[Hrs_PanelAssy]*M28*O28,PartsDB[Catalog]=I28),"")</f>
        <v>4</v>
      </c>
    </row>
    <row r="29" spans="1:19" ht="16.5" thickTop="1" thickBot="1" x14ac:dyDescent="0.3">
      <c r="A29" s="96" t="str">
        <f>IF(B29="","",MAX(A$4:A28)+1)</f>
        <v/>
      </c>
      <c r="B29" s="99" t="str">
        <f t="shared" si="0"/>
        <v/>
      </c>
      <c r="C29" s="35"/>
      <c r="D29" s="35"/>
      <c r="E29" s="35"/>
      <c r="F29" s="35"/>
      <c r="G29" s="36"/>
      <c r="H29" s="126" t="str">
        <v>Class CC Fuse,  600V AC/DC, 15A, Time-Delay</v>
      </c>
      <c r="I29" t="str">
        <v>CCMR015.TXP</v>
      </c>
      <c r="J29">
        <v>2</v>
      </c>
      <c r="K29" s="3">
        <v>10.210000000000001</v>
      </c>
      <c r="L29" t="str">
        <v>FU</v>
      </c>
      <c r="M29">
        <v>1</v>
      </c>
      <c r="N29">
        <v>0</v>
      </c>
      <c r="O29" s="19">
        <f t="shared" si="1"/>
        <v>2</v>
      </c>
      <c r="P29" s="3">
        <f t="shared" si="2"/>
        <v>20.420000000000002</v>
      </c>
      <c r="Q29" s="93" cm="1">
        <f t="array" ref="Q29">IF(ISNUMBER(O29),_xlfn._xlws.FILTER(PartsDB[Hrs_ShopAssy]*N29*O29,PartsDB[Catalog]=I29),"")</f>
        <v>0</v>
      </c>
      <c r="R29" s="92" cm="1">
        <f t="array" ref="R29">IF(ISNUMBER(O29),_xlfn._xlws.FILTER(PartsDB[Hrs_Eng]*O29,PartsDB[Catalog]=I29),"")</f>
        <v>0</v>
      </c>
      <c r="S29" s="92" cm="1">
        <f t="array" ref="S29">IF(ISNUMBER(O29),_xlfn._xlws.FILTER(PartsDB[Hrs_PanelAssy]*M29*O29,PartsDB[Catalog]=I29),"")</f>
        <v>0</v>
      </c>
    </row>
    <row r="30" spans="1:19" ht="31.5" thickTop="1" thickBot="1" x14ac:dyDescent="0.3">
      <c r="A30" s="96" t="str">
        <f>IF(B30="","",MAX(A$4:A29)+1)</f>
        <v/>
      </c>
      <c r="B30" s="99" t="str">
        <f t="shared" si="0"/>
        <v/>
      </c>
      <c r="C30" s="35"/>
      <c r="D30" s="35"/>
      <c r="E30" s="35"/>
      <c r="F30" s="35"/>
      <c r="G30" s="36"/>
      <c r="H30" s="126" t="str">
        <v>Fuse Holder, Class CC Type Fuses, 2-Pole, 30 Amp, 110 - 600 Volt, with LED Blown Fuse Indicator</v>
      </c>
      <c r="I30" t="str">
        <v>1492-FB2C30-L</v>
      </c>
      <c r="J30">
        <v>1</v>
      </c>
      <c r="K30" s="3">
        <v>37.479999999999997</v>
      </c>
      <c r="L30" t="str">
        <v>FU</v>
      </c>
      <c r="M30">
        <v>1</v>
      </c>
      <c r="N30">
        <v>0</v>
      </c>
      <c r="O30" s="19">
        <f t="shared" si="1"/>
        <v>1</v>
      </c>
      <c r="P30" s="3">
        <f t="shared" si="2"/>
        <v>37.479999999999997</v>
      </c>
      <c r="Q30" s="93" cm="1">
        <f t="array" ref="Q30">IF(ISNUMBER(O30),_xlfn._xlws.FILTER(PartsDB[Hrs_ShopAssy]*N30*O30,PartsDB[Catalog]=I30),"")</f>
        <v>0</v>
      </c>
      <c r="R30" s="92" cm="1">
        <f t="array" ref="R30">IF(ISNUMBER(O30),_xlfn._xlws.FILTER(PartsDB[Hrs_Eng]*O30,PartsDB[Catalog]=I30),"")</f>
        <v>0.1</v>
      </c>
      <c r="S30" s="92" cm="1">
        <f t="array" ref="S30">IF(ISNUMBER(O30),_xlfn._xlws.FILTER(PartsDB[Hrs_PanelAssy]*M30*O30,PartsDB[Catalog]=I30),"")</f>
        <v>0.2</v>
      </c>
    </row>
    <row r="31" spans="1:19" ht="31.5" thickTop="1" thickBot="1" x14ac:dyDescent="0.3">
      <c r="A31" s="96" t="str">
        <f>IF(B31="","",MAX(A$4:A30)+1)</f>
        <v/>
      </c>
      <c r="B31" s="99" t="str">
        <f t="shared" si="0"/>
        <v/>
      </c>
      <c r="C31" s="35"/>
      <c r="D31" s="35"/>
      <c r="E31" s="35"/>
      <c r="F31" s="35"/>
      <c r="G31" s="36"/>
      <c r="H31" s="126" t="str">
        <v>35 Amp Fuse, Time Delay, Brand or Series: Class J, Indicator, Interrupting Rating: 200000 Amp</v>
      </c>
      <c r="I31" t="str">
        <v>JTD035</v>
      </c>
      <c r="J31">
        <v>1</v>
      </c>
      <c r="K31" s="3">
        <v>20.56</v>
      </c>
      <c r="L31" t="str">
        <v>FU</v>
      </c>
      <c r="M31">
        <v>1</v>
      </c>
      <c r="N31">
        <v>0</v>
      </c>
      <c r="O31" s="19">
        <f t="shared" si="1"/>
        <v>1</v>
      </c>
      <c r="P31" s="3">
        <f t="shared" si="2"/>
        <v>20.56</v>
      </c>
      <c r="Q31" s="93" cm="1">
        <f t="array" ref="Q31">IF(ISNUMBER(O31),_xlfn._xlws.FILTER(PartsDB[Hrs_ShopAssy]*N31*O31,PartsDB[Catalog]=I31),"")</f>
        <v>0</v>
      </c>
      <c r="R31" s="92" cm="1">
        <f t="array" ref="R31">IF(ISNUMBER(O31),_xlfn._xlws.FILTER(PartsDB[Hrs_Eng]*O31,PartsDB[Catalog]=I31),"")</f>
        <v>0</v>
      </c>
      <c r="S31" s="92" cm="1">
        <f t="array" ref="S31">IF(ISNUMBER(O31),_xlfn._xlws.FILTER(PartsDB[Hrs_PanelAssy]*M31*O31,PartsDB[Catalog]=I31),"")</f>
        <v>0</v>
      </c>
    </row>
    <row r="32" spans="1:19" ht="31.5" thickTop="1" thickBot="1" x14ac:dyDescent="0.3">
      <c r="A32" s="96" t="str">
        <f>IF(B32="","",MAX(A$4:A31)+1)</f>
        <v/>
      </c>
      <c r="B32" s="99" t="str">
        <f t="shared" si="0"/>
        <v/>
      </c>
      <c r="C32" s="35"/>
      <c r="D32" s="35"/>
      <c r="E32" s="35"/>
      <c r="F32" s="35"/>
      <c r="G32" s="36"/>
      <c r="H32" s="126" t="str">
        <v>Fuse Holder, Class J Type Fuses, 1 Pole, 60 Amp, 110 - 600 Volt, with LED Blown Fuse Indicator</v>
      </c>
      <c r="I32" t="str">
        <v>1492-FB1J60-L</v>
      </c>
      <c r="J32">
        <v>1</v>
      </c>
      <c r="K32" s="3">
        <v>33.729999999999997</v>
      </c>
      <c r="L32" t="str">
        <v>FU</v>
      </c>
      <c r="M32">
        <v>1</v>
      </c>
      <c r="N32">
        <v>0</v>
      </c>
      <c r="O32" s="19">
        <f t="shared" si="1"/>
        <v>1</v>
      </c>
      <c r="P32" s="3">
        <f t="shared" si="2"/>
        <v>33.729999999999997</v>
      </c>
      <c r="Q32" s="93" cm="1">
        <f t="array" ref="Q32">IF(ISNUMBER(O32),_xlfn._xlws.FILTER(PartsDB[Hrs_ShopAssy]*N32*O32,PartsDB[Catalog]=I32),"")</f>
        <v>0</v>
      </c>
      <c r="R32" s="92" cm="1">
        <f t="array" ref="R32">IF(ISNUMBER(O32),_xlfn._xlws.FILTER(PartsDB[Hrs_Eng]*O32,PartsDB[Catalog]=I32),"")</f>
        <v>0.1</v>
      </c>
      <c r="S32" s="92" cm="1">
        <f t="array" ref="S32">IF(ISNUMBER(O32),_xlfn._xlws.FILTER(PartsDB[Hrs_PanelAssy]*M32*O32,PartsDB[Catalog]=I32),"")</f>
        <v>0.2</v>
      </c>
    </row>
    <row r="33" spans="1:19" ht="16.5" thickTop="1" thickBot="1" x14ac:dyDescent="0.3">
      <c r="A33" s="96" t="str">
        <f>IF(B33="","",MAX(A$4:A32)+1)</f>
        <v/>
      </c>
      <c r="B33" s="99" t="str">
        <f t="shared" si="0"/>
        <v/>
      </c>
      <c r="C33" s="35"/>
      <c r="D33" s="35"/>
      <c r="E33" s="35"/>
      <c r="F33" s="35"/>
      <c r="G33" s="36"/>
      <c r="H33" s="126" t="str">
        <v>Misc Components</v>
      </c>
      <c r="I33" t="str">
        <v>MISC1000</v>
      </c>
      <c r="J33">
        <v>1</v>
      </c>
      <c r="K33" s="3">
        <v>1000</v>
      </c>
      <c r="L33" t="str">
        <v>MISC</v>
      </c>
      <c r="M33">
        <v>1</v>
      </c>
      <c r="N33">
        <v>0</v>
      </c>
      <c r="O33" s="19">
        <f t="shared" si="1"/>
        <v>1</v>
      </c>
      <c r="P33" s="3">
        <f t="shared" si="2"/>
        <v>1000</v>
      </c>
      <c r="Q33" s="93" cm="1">
        <f t="array" ref="Q33">IF(ISNUMBER(O33),_xlfn._xlws.FILTER(PartsDB[Hrs_ShopAssy]*N33*O33,PartsDB[Catalog]=I33),"")</f>
        <v>0</v>
      </c>
      <c r="R33" s="92" cm="1">
        <f t="array" ref="R33">IF(ISNUMBER(O33),_xlfn._xlws.FILTER(PartsDB[Hrs_Eng]*O33,PartsDB[Catalog]=I33),"")</f>
        <v>0</v>
      </c>
      <c r="S33" s="92" cm="1">
        <f t="array" ref="S33">IF(ISNUMBER(O33),_xlfn._xlws.FILTER(PartsDB[Hrs_PanelAssy]*M33*O33,PartsDB[Catalog]=I33),"")</f>
        <v>0</v>
      </c>
    </row>
    <row r="34" spans="1:19" ht="31.5" thickTop="1" thickBot="1" x14ac:dyDescent="0.3">
      <c r="A34" s="96">
        <f>IF(B34="","",MAX(A$4:A33)+1)</f>
        <v>8</v>
      </c>
      <c r="B34" s="99" t="str">
        <f t="shared" si="0"/>
        <v>DRV01</v>
      </c>
      <c r="C34" s="35"/>
      <c r="D34" s="35" t="s">
        <v>1526</v>
      </c>
      <c r="E34" s="35" t="s">
        <v>403</v>
      </c>
      <c r="F34" s="35" t="s">
        <v>220</v>
      </c>
      <c r="G34" s="36">
        <v>1</v>
      </c>
      <c r="H34" s="126" t="str" cm="1">
        <f t="array" ref="H34:L34">IF(ISNUMBER(G34),_xlfn.LET(_xlpm.lookupID, F34,_xlpm.masterQty, G34,_xlpm.isAssembly,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Contactor, 30 Amp, 3-Pole, 120 Volt AC Coil, 1 Normally Open Auxiliary Contact</v>
      </c>
      <c r="I34" t="str">
        <v>100-C30D10</v>
      </c>
      <c r="J34">
        <v>1</v>
      </c>
      <c r="K34" s="3">
        <v>165.15</v>
      </c>
      <c r="L34" t="str">
        <v>CONTACTOR</v>
      </c>
      <c r="M34">
        <v>1</v>
      </c>
      <c r="N34">
        <v>1</v>
      </c>
      <c r="O34" s="19">
        <f t="shared" si="1"/>
        <v>1</v>
      </c>
      <c r="P34" s="3">
        <f t="shared" si="2"/>
        <v>165.15</v>
      </c>
      <c r="Q34" s="93" cm="1">
        <f t="array" ref="Q34">IF(ISNUMBER(O34),_xlfn._xlws.FILTER(PartsDB[Hrs_ShopAssy]*N34*O34,PartsDB[Catalog]=I34),"")</f>
        <v>0</v>
      </c>
      <c r="R34" s="92" cm="1">
        <f t="array" ref="R34">IF(ISNUMBER(O34),_xlfn._xlws.FILTER(PartsDB[Hrs_Eng]*O34,PartsDB[Catalog]=I34),"")</f>
        <v>0.1</v>
      </c>
      <c r="S34" s="92" cm="1">
        <f t="array" ref="S34">IF(ISNUMBER(O34),_xlfn._xlws.FILTER(PartsDB[Hrs_PanelAssy]*M34*O34,PartsDB[Catalog]=I34),"")</f>
        <v>0.25</v>
      </c>
    </row>
    <row r="35" spans="1:19" ht="31.5" thickTop="1" thickBot="1" x14ac:dyDescent="0.3">
      <c r="A35" s="96">
        <f>IF(B35="","",MAX(A$4:A34)+1)</f>
        <v>9</v>
      </c>
      <c r="B35" s="99" t="str">
        <f t="shared" si="0"/>
        <v>DRV01</v>
      </c>
      <c r="C35" s="35"/>
      <c r="D35" s="35" t="s">
        <v>1526</v>
      </c>
      <c r="E35" s="35" t="s">
        <v>174</v>
      </c>
      <c r="F35" s="35" t="s">
        <v>175</v>
      </c>
      <c r="G35" s="36">
        <v>20</v>
      </c>
      <c r="H35" s="126" t="str" cm="1">
        <f t="array" ref="H35:L35">IF(ISNUMBER(G35),_xlfn.LET(_xlpm.lookupID, F35,_xlpm.masterQty, G35,_xlpm.isAssembly,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Motor Protection Breaker, Standard Magnetic Trip, 0.4 - 0.63A, Standard. Performance, Frame Size C</v>
      </c>
      <c r="I35" t="str">
        <v>140MT-C3E-A63-KY-BX</v>
      </c>
      <c r="J35">
        <v>20</v>
      </c>
      <c r="K35" s="3">
        <v>171.81</v>
      </c>
      <c r="L35" t="str">
        <v>MPCB</v>
      </c>
      <c r="M35">
        <v>1</v>
      </c>
      <c r="N35">
        <v>1</v>
      </c>
      <c r="O35" s="19">
        <f t="shared" si="1"/>
        <v>20</v>
      </c>
      <c r="P35" s="3">
        <f t="shared" si="2"/>
        <v>3436.2</v>
      </c>
      <c r="Q35" s="93" cm="1">
        <f t="array" ref="Q35">IF(ISNUMBER(O35),_xlfn._xlws.FILTER(PartsDB[Hrs_ShopAssy]*N35*O35,PartsDB[Catalog]=I35),"")</f>
        <v>0</v>
      </c>
      <c r="R35" s="92" cm="1">
        <f t="array" ref="R35">IF(ISNUMBER(O35),_xlfn._xlws.FILTER(PartsDB[Hrs_Eng]*O35,PartsDB[Catalog]=I35),"")</f>
        <v>0</v>
      </c>
      <c r="S35" s="92" cm="1">
        <f t="array" ref="S35">IF(ISNUMBER(O35),_xlfn._xlws.FILTER(PartsDB[Hrs_PanelAssy]*M35*O35,PartsDB[Catalog]=I35),"")</f>
        <v>5</v>
      </c>
    </row>
    <row r="36" spans="1:19" ht="16.5" thickTop="1" thickBot="1" x14ac:dyDescent="0.3">
      <c r="A36" s="96">
        <f>IF(B36="","",MAX(A$4:A35)+1)</f>
        <v>10</v>
      </c>
      <c r="B36" s="99" t="str">
        <f t="shared" si="0"/>
        <v>DRV01</v>
      </c>
      <c r="C36" s="35"/>
      <c r="D36" s="35" t="s">
        <v>1526</v>
      </c>
      <c r="E36" s="35" t="s">
        <v>620</v>
      </c>
      <c r="F36" s="35" t="s">
        <v>877</v>
      </c>
      <c r="G36" s="36">
        <v>1</v>
      </c>
      <c r="H36" s="126" t="str" cm="1">
        <f t="array" ref="H36:L36">IF(ISNUMBER(G36),_xlfn.LET(_xlpm.lookupID, F36,_xlpm.masterQty, G36,_xlpm.isAssembly,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DOOR MOUNTED ETHERNET PORT WITH DUAL GFCI RECEPTACLE</v>
      </c>
      <c r="I36" t="str">
        <v>P-R2-K3RF3</v>
      </c>
      <c r="J36">
        <v>1</v>
      </c>
      <c r="K36" s="3">
        <v>235.26</v>
      </c>
      <c r="L36" t="str">
        <v>CAB</v>
      </c>
      <c r="M36">
        <v>1</v>
      </c>
      <c r="N36">
        <v>1</v>
      </c>
      <c r="O36" s="19">
        <f t="shared" si="1"/>
        <v>1</v>
      </c>
      <c r="P36" s="3">
        <f t="shared" si="2"/>
        <v>235.26</v>
      </c>
      <c r="Q36" s="93" cm="1">
        <f t="array" ref="Q36">IF(ISNUMBER(O36),_xlfn._xlws.FILTER(PartsDB[Hrs_ShopAssy]*N36*O36,PartsDB[Catalog]=I36),"")</f>
        <v>0</v>
      </c>
      <c r="R36" s="92" cm="1">
        <f t="array" ref="R36">IF(ISNUMBER(O36),_xlfn._xlws.FILTER(PartsDB[Hrs_Eng]*O36,PartsDB[Catalog]=I36),"")</f>
        <v>0.1</v>
      </c>
      <c r="S36" s="92" cm="1">
        <f t="array" ref="S36">IF(ISNUMBER(O36),_xlfn._xlws.FILTER(PartsDB[Hrs_PanelAssy]*M36*O36,PartsDB[Catalog]=I36),"")</f>
        <v>1</v>
      </c>
    </row>
    <row r="37" spans="1:19" ht="16.5" thickTop="1" thickBot="1" x14ac:dyDescent="0.3">
      <c r="A37" s="96">
        <f>IF(B37="","",MAX(A$4:A36)+1)</f>
        <v>11</v>
      </c>
      <c r="B37" s="99" t="str">
        <f t="shared" si="0"/>
        <v>DRV01</v>
      </c>
      <c r="C37" s="35"/>
      <c r="D37" s="35" t="s">
        <v>1525</v>
      </c>
      <c r="E37" s="35" t="s">
        <v>117</v>
      </c>
      <c r="F37" s="35" t="s">
        <v>447</v>
      </c>
      <c r="G37" s="36">
        <v>8</v>
      </c>
      <c r="H37" s="126" t="str" cm="1">
        <f t="array" ref="H37:L47">IF(ISNUMBER(G37),_xlfn.LET(_xlpm.lookupID, F37,_xlpm.masterQty, G37,_xlpm.isAssembly,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AC Drive, PowerFlex 755TS, 40A, 30HP/ND, 25HP/HD, Open, 480VAC</v>
      </c>
      <c r="I37" t="str">
        <v>20G21ND040JA0NNNNN</v>
      </c>
      <c r="J37">
        <v>8</v>
      </c>
      <c r="K37" s="3">
        <v>5358.75</v>
      </c>
      <c r="L37" t="str">
        <v>VFD</v>
      </c>
      <c r="M37" cm="1">
        <f t="array" ref="M37:N47">_xlfn._xlws.FILTER(AssembliesDB[PanelAssy]:AssembliesDB[ShopAssy],AssembliesDB[Assembly_ID]=F37,"")</f>
        <v>1</v>
      </c>
      <c r="N37">
        <v>0</v>
      </c>
      <c r="O37" s="19">
        <f t="shared" si="1"/>
        <v>8</v>
      </c>
      <c r="P37" s="3">
        <f t="shared" si="2"/>
        <v>42870</v>
      </c>
      <c r="Q37" s="93" cm="1">
        <f t="array" ref="Q37">IF(ISNUMBER(O37),_xlfn._xlws.FILTER(PartsDB[Hrs_ShopAssy]*N37*O37,PartsDB[Catalog]=I37),"")</f>
        <v>0</v>
      </c>
      <c r="R37" s="92" cm="1">
        <f t="array" ref="R37">IF(ISNUMBER(O37),_xlfn._xlws.FILTER(PartsDB[Hrs_Eng]*O37,PartsDB[Catalog]=I37),"")</f>
        <v>16</v>
      </c>
      <c r="S37" s="92" cm="1">
        <f t="array" ref="S37">IF(ISNUMBER(O37),_xlfn._xlws.FILTER(PartsDB[Hrs_PanelAssy]*M37*O37,PartsDB[Catalog]=I37),"")</f>
        <v>16</v>
      </c>
    </row>
    <row r="38" spans="1:19" ht="16.5" thickTop="1" thickBot="1" x14ac:dyDescent="0.3">
      <c r="A38" s="96" t="str">
        <f>IF(B38="","",MAX(A$4:A37)+1)</f>
        <v/>
      </c>
      <c r="B38" s="99" t="str">
        <f t="shared" si="0"/>
        <v/>
      </c>
      <c r="C38" s="35"/>
      <c r="D38" s="35"/>
      <c r="E38" s="35"/>
      <c r="F38" s="35"/>
      <c r="G38" s="36"/>
      <c r="H38" s="126" t="str">
        <v>Fuse, 50A, 600V, 200kAIC, Class J, Fast-Acting</v>
      </c>
      <c r="I38" t="str">
        <v>JLS050</v>
      </c>
      <c r="J38">
        <v>24</v>
      </c>
      <c r="K38" s="3">
        <v>25.72</v>
      </c>
      <c r="L38" t="str">
        <v>FU</v>
      </c>
      <c r="M38">
        <v>1</v>
      </c>
      <c r="N38">
        <v>0</v>
      </c>
      <c r="O38" s="19">
        <f t="shared" si="1"/>
        <v>24</v>
      </c>
      <c r="P38" s="3">
        <f t="shared" si="2"/>
        <v>617.28</v>
      </c>
      <c r="Q38" s="93" cm="1">
        <f t="array" ref="Q38">IF(ISNUMBER(O38),_xlfn._xlws.FILTER(PartsDB[Hrs_ShopAssy]*N38*O38,PartsDB[Catalog]=I38),"")</f>
        <v>0</v>
      </c>
      <c r="R38" s="92" cm="1">
        <f t="array" ref="R38">IF(ISNUMBER(O38),_xlfn._xlws.FILTER(PartsDB[Hrs_Eng]*O38,PartsDB[Catalog]=I38),"")</f>
        <v>0</v>
      </c>
      <c r="S38" s="92" cm="1">
        <f t="array" ref="S38">IF(ISNUMBER(O38),_xlfn._xlws.FILTER(PartsDB[Hrs_PanelAssy]*M38*O38,PartsDB[Catalog]=I38),"")</f>
        <v>0</v>
      </c>
    </row>
    <row r="39" spans="1:19" ht="16.5" thickTop="1" thickBot="1" x14ac:dyDescent="0.3">
      <c r="A39" s="96" t="str">
        <f>IF(B39="","",MAX(A$4:A38)+1)</f>
        <v/>
      </c>
      <c r="B39" s="99" t="str">
        <f t="shared" si="0"/>
        <v/>
      </c>
      <c r="C39" s="35"/>
      <c r="D39" s="35"/>
      <c r="E39" s="35"/>
      <c r="F39" s="35"/>
      <c r="G39" s="36"/>
      <c r="H39" s="126" t="str">
        <v>AC Drive, Safety Option, integrated Safe Torque Off, PowerFlex 750</v>
      </c>
      <c r="I39" t="str">
        <v>20-750-S3</v>
      </c>
      <c r="J39">
        <v>8</v>
      </c>
      <c r="K39" s="3">
        <v>365.82</v>
      </c>
      <c r="L39" t="str">
        <v>VFD-AUX.</v>
      </c>
      <c r="M39">
        <v>1</v>
      </c>
      <c r="N39">
        <v>0</v>
      </c>
      <c r="O39" s="19">
        <f t="shared" si="1"/>
        <v>8</v>
      </c>
      <c r="P39" s="3">
        <f t="shared" si="2"/>
        <v>2926.56</v>
      </c>
      <c r="Q39" s="93" cm="1">
        <f t="array" ref="Q39">IF(ISNUMBER(O39),_xlfn._xlws.FILTER(PartsDB[Hrs_ShopAssy]*N39*O39,PartsDB[Catalog]=I39),"")</f>
        <v>0</v>
      </c>
      <c r="R39" s="92" cm="1">
        <f t="array" ref="R39">IF(ISNUMBER(O39),_xlfn._xlws.FILTER(PartsDB[Hrs_Eng]*O39,PartsDB[Catalog]=I39),"")</f>
        <v>16</v>
      </c>
      <c r="S39" s="92" cm="1">
        <f t="array" ref="S39">IF(ISNUMBER(O39),_xlfn._xlws.FILTER(PartsDB[Hrs_PanelAssy]*M39*O39,PartsDB[Catalog]=I39),"")</f>
        <v>2</v>
      </c>
    </row>
    <row r="40" spans="1:19" ht="16.5" thickTop="1" thickBot="1" x14ac:dyDescent="0.3">
      <c r="A40" s="96" t="str">
        <f>IF(B40="","",MAX(A$4:A39)+1)</f>
        <v/>
      </c>
      <c r="B40" s="99" t="str">
        <f t="shared" si="0"/>
        <v/>
      </c>
      <c r="C40" s="35"/>
      <c r="D40" s="35"/>
      <c r="E40" s="35"/>
      <c r="F40" s="35"/>
      <c r="G40" s="36"/>
      <c r="H40" s="126" t="str">
        <v>AC Drive, Feedback Option, Incremental Encoder, PowerFlex 750</v>
      </c>
      <c r="I40" t="str">
        <v>20-750-ENC-1</v>
      </c>
      <c r="J40">
        <v>8</v>
      </c>
      <c r="K40" s="3">
        <v>186.28</v>
      </c>
      <c r="L40" t="str">
        <v>VFD-AUX.</v>
      </c>
      <c r="M40">
        <v>1</v>
      </c>
      <c r="N40">
        <v>0</v>
      </c>
      <c r="O40" s="19">
        <f t="shared" si="1"/>
        <v>8</v>
      </c>
      <c r="P40" s="3">
        <f t="shared" si="2"/>
        <v>1490.24</v>
      </c>
      <c r="Q40" s="93" cm="1">
        <f t="array" ref="Q40">IF(ISNUMBER(O40),_xlfn._xlws.FILTER(PartsDB[Hrs_ShopAssy]*N40*O40,PartsDB[Catalog]=I40),"")</f>
        <v>0</v>
      </c>
      <c r="R40" s="92" cm="1">
        <f t="array" ref="R40">IF(ISNUMBER(O40),_xlfn._xlws.FILTER(PartsDB[Hrs_Eng]*O40,PartsDB[Catalog]=I40),"")</f>
        <v>16</v>
      </c>
      <c r="S40" s="92" cm="1">
        <f t="array" ref="S40">IF(ISNUMBER(O40),_xlfn._xlws.FILTER(PartsDB[Hrs_PanelAssy]*M40*O40,PartsDB[Catalog]=I40),"")</f>
        <v>8</v>
      </c>
    </row>
    <row r="41" spans="1:19" ht="16.5" thickTop="1" thickBot="1" x14ac:dyDescent="0.3">
      <c r="A41" s="96" t="str">
        <f>IF(B41="","",MAX(A$4:A40)+1)</f>
        <v/>
      </c>
      <c r="B41" s="99" t="str">
        <f t="shared" si="0"/>
        <v/>
      </c>
      <c r="C41" s="35"/>
      <c r="D41" s="35"/>
      <c r="E41" s="35"/>
      <c r="F41" s="35"/>
      <c r="G41" s="36"/>
      <c r="H41" s="126" t="str">
        <v>Human Interface Module, Enchanced LCD, Full Numeric Keypad,</v>
      </c>
      <c r="I41" t="str">
        <v>20-HIM-C6S</v>
      </c>
      <c r="J41">
        <v>8</v>
      </c>
      <c r="K41" s="3">
        <v>282.32</v>
      </c>
      <c r="L41" t="str">
        <v>VFD-AUX.</v>
      </c>
      <c r="M41">
        <v>1</v>
      </c>
      <c r="N41">
        <v>0</v>
      </c>
      <c r="O41" s="19">
        <f t="shared" si="1"/>
        <v>8</v>
      </c>
      <c r="P41" s="3">
        <f t="shared" si="2"/>
        <v>2258.56</v>
      </c>
      <c r="Q41" s="93" cm="1">
        <f t="array" ref="Q41">IF(ISNUMBER(O41),_xlfn._xlws.FILTER(PartsDB[Hrs_ShopAssy]*N41*O41,PartsDB[Catalog]=I41),"")</f>
        <v>0</v>
      </c>
      <c r="R41" s="92" cm="1">
        <f t="array" ref="R41">IF(ISNUMBER(O41),_xlfn._xlws.FILTER(PartsDB[Hrs_Eng]*O41,PartsDB[Catalog]=I41),"")</f>
        <v>16</v>
      </c>
      <c r="S41" s="92" cm="1">
        <f t="array" ref="S41">IF(ISNUMBER(O41),_xlfn._xlws.FILTER(PartsDB[Hrs_PanelAssy]*M41*O41,PartsDB[Catalog]=I41),"")</f>
        <v>8</v>
      </c>
    </row>
    <row r="42" spans="1:19" ht="16.5" thickTop="1" thickBot="1" x14ac:dyDescent="0.3">
      <c r="A42" s="96" t="str">
        <f>IF(B42="","",MAX(A$4:A41)+1)</f>
        <v/>
      </c>
      <c r="B42" s="99" t="str">
        <f t="shared" si="0"/>
        <v/>
      </c>
      <c r="C42" s="35"/>
      <c r="D42" s="35"/>
      <c r="E42" s="35"/>
      <c r="F42" s="35"/>
      <c r="G42" s="36"/>
      <c r="H42" s="126" t="str">
        <v>60A, 600V, Fuse Holder 3 Pole Class J Fuseblock</v>
      </c>
      <c r="I42" t="str">
        <v>LFJ60060-3CID</v>
      </c>
      <c r="J42">
        <v>8</v>
      </c>
      <c r="K42" s="3">
        <v>46.84</v>
      </c>
      <c r="L42" t="str">
        <v>FU</v>
      </c>
      <c r="M42">
        <v>1</v>
      </c>
      <c r="N42">
        <v>0</v>
      </c>
      <c r="O42" s="19">
        <f t="shared" si="1"/>
        <v>8</v>
      </c>
      <c r="P42" s="3">
        <f t="shared" si="2"/>
        <v>374.72</v>
      </c>
      <c r="Q42" s="93" cm="1">
        <f t="array" ref="Q42">IF(ISNUMBER(O42),_xlfn._xlws.FILTER(PartsDB[Hrs_ShopAssy]*N42*O42,PartsDB[Catalog]=I42),"")</f>
        <v>0</v>
      </c>
      <c r="R42" s="92" cm="1">
        <f t="array" ref="R42">IF(ISNUMBER(O42),_xlfn._xlws.FILTER(PartsDB[Hrs_Eng]*O42,PartsDB[Catalog]=I42),"")</f>
        <v>2</v>
      </c>
      <c r="S42" s="92" cm="1">
        <f t="array" ref="S42">IF(ISNUMBER(O42),_xlfn._xlws.FILTER(PartsDB[Hrs_PanelAssy]*M42*O42,PartsDB[Catalog]=I42),"")</f>
        <v>4</v>
      </c>
    </row>
    <row r="43" spans="1:19" ht="16.5" thickTop="1" thickBot="1" x14ac:dyDescent="0.3">
      <c r="A43" s="96" t="str">
        <f>IF(B43="","",MAX(A$4:A42)+1)</f>
        <v/>
      </c>
      <c r="B43" s="99" t="str">
        <f t="shared" si="0"/>
        <v/>
      </c>
      <c r="C43" s="35"/>
      <c r="D43" s="35"/>
      <c r="E43" s="35"/>
      <c r="F43" s="35"/>
      <c r="G43" s="36"/>
      <c r="H43" s="126" t="str">
        <v>60A, 600V, Fuse Holder Accessories Class J Fuse Block Cover</v>
      </c>
      <c r="I43" t="str">
        <v>LFJ60060FBC</v>
      </c>
      <c r="J43">
        <v>24</v>
      </c>
      <c r="K43" s="3">
        <v>23.46</v>
      </c>
      <c r="L43" t="str">
        <v>FU</v>
      </c>
      <c r="M43">
        <v>1</v>
      </c>
      <c r="N43">
        <v>0</v>
      </c>
      <c r="O43" s="19">
        <f t="shared" si="1"/>
        <v>24</v>
      </c>
      <c r="P43" s="3">
        <f t="shared" si="2"/>
        <v>563.04</v>
      </c>
      <c r="Q43" s="93" cm="1">
        <f t="array" ref="Q43">IF(ISNUMBER(O43),_xlfn._xlws.FILTER(PartsDB[Hrs_ShopAssy]*N43*O43,PartsDB[Catalog]=I43),"")</f>
        <v>0</v>
      </c>
      <c r="R43" s="92" cm="1">
        <f t="array" ref="R43">IF(ISNUMBER(O43),_xlfn._xlws.FILTER(PartsDB[Hrs_Eng]*O43,PartsDB[Catalog]=I43),"")</f>
        <v>0</v>
      </c>
      <c r="S43" s="92" cm="1">
        <f t="array" ref="S43">IF(ISNUMBER(O43),_xlfn._xlws.FILTER(PartsDB[Hrs_PanelAssy]*M43*O43,PartsDB[Catalog]=I43),"")</f>
        <v>0</v>
      </c>
    </row>
    <row r="44" spans="1:19" ht="31.5" thickTop="1" thickBot="1" x14ac:dyDescent="0.3">
      <c r="A44" s="96" t="str">
        <f>IF(B44="","",MAX(A$4:A43)+1)</f>
        <v/>
      </c>
      <c r="B44" s="99" t="str">
        <f t="shared" si="0"/>
        <v/>
      </c>
      <c r="C44" s="35"/>
      <c r="D44" s="35"/>
      <c r="E44" s="35"/>
      <c r="F44" s="35"/>
      <c r="G44" s="36"/>
      <c r="H44" s="126" t="str">
        <v>Reactor, Line Input, Line Output, 3 to 5 % Impedance, 45 Amp, 0.7 mh, for 200 thru 690 Volt AC, 3-Phase, Open</v>
      </c>
      <c r="I44" t="str">
        <v>1321-3R45-B</v>
      </c>
      <c r="J44">
        <v>8</v>
      </c>
      <c r="K44" s="3">
        <v>418.19</v>
      </c>
      <c r="L44" t="str">
        <v>XR</v>
      </c>
      <c r="M44">
        <v>1</v>
      </c>
      <c r="N44">
        <v>0</v>
      </c>
      <c r="O44" s="19">
        <f t="shared" si="1"/>
        <v>8</v>
      </c>
      <c r="P44" s="3">
        <f t="shared" si="2"/>
        <v>3345.52</v>
      </c>
      <c r="Q44" s="93" cm="1">
        <f t="array" ref="Q44">IF(ISNUMBER(O44),_xlfn._xlws.FILTER(PartsDB[Hrs_ShopAssy]*N44*O44,PartsDB[Catalog]=I44),"")</f>
        <v>0</v>
      </c>
      <c r="R44" s="92" cm="1">
        <f t="array" ref="R44">IF(ISNUMBER(O44),_xlfn._xlws.FILTER(PartsDB[Hrs_Eng]*O44,PartsDB[Catalog]=I44),"")</f>
        <v>0</v>
      </c>
      <c r="S44" s="92" cm="1">
        <f t="array" ref="S44">IF(ISNUMBER(O44),_xlfn._xlws.FILTER(PartsDB[Hrs_PanelAssy]*M44*O44,PartsDB[Catalog]=I44),"")</f>
        <v>4</v>
      </c>
    </row>
    <row r="45" spans="1:19" ht="16.5" thickTop="1" thickBot="1" x14ac:dyDescent="0.3">
      <c r="A45" s="96" t="str">
        <f>IF(B45="","",MAX(A$4:A44)+1)</f>
        <v/>
      </c>
      <c r="B45" s="99" t="str">
        <f t="shared" si="0"/>
        <v/>
      </c>
      <c r="C45" s="35"/>
      <c r="D45" s="35"/>
      <c r="E45" s="35"/>
      <c r="F45" s="35"/>
      <c r="G45" s="36"/>
      <c r="H45" s="126" t="str">
        <v>BRAKING RESISTOR 28 OHMS/2800 WATTS</v>
      </c>
      <c r="I45" t="str">
        <v>PF28R2K80</v>
      </c>
      <c r="J45">
        <v>8</v>
      </c>
      <c r="K45" s="3">
        <v>637.97</v>
      </c>
      <c r="L45" t="str">
        <v>DBR</v>
      </c>
      <c r="M45">
        <v>1</v>
      </c>
      <c r="N45">
        <v>0</v>
      </c>
      <c r="O45" s="19">
        <f t="shared" si="1"/>
        <v>8</v>
      </c>
      <c r="P45" s="3">
        <f t="shared" si="2"/>
        <v>5103.76</v>
      </c>
      <c r="Q45" s="93" cm="1">
        <f t="array" ref="Q45">IF(ISNUMBER(O45),_xlfn._xlws.FILTER(PartsDB[Hrs_ShopAssy]*N45*O45,PartsDB[Catalog]=I45),"")</f>
        <v>0</v>
      </c>
      <c r="R45" s="92" cm="1">
        <f t="array" ref="R45">IF(ISNUMBER(O45),_xlfn._xlws.FILTER(PartsDB[Hrs_Eng]*O45,PartsDB[Catalog]=I45),"")</f>
        <v>0</v>
      </c>
      <c r="S45" s="92" cm="1">
        <f t="array" ref="S45">IF(ISNUMBER(O45),_xlfn._xlws.FILTER(PartsDB[Hrs_PanelAssy]*M45*O45,PartsDB[Catalog]=I45),"")</f>
        <v>4</v>
      </c>
    </row>
    <row r="46" spans="1:19" ht="16.5" thickTop="1" thickBot="1" x14ac:dyDescent="0.3">
      <c r="A46" s="96" t="str">
        <f>IF(B46="","",MAX(A$4:A45)+1)</f>
        <v/>
      </c>
      <c r="B46" s="99" t="str">
        <f t="shared" si="0"/>
        <v/>
      </c>
      <c r="C46" s="35"/>
      <c r="D46" s="35"/>
      <c r="E46" s="35"/>
      <c r="F46" s="35"/>
      <c r="G46" s="36"/>
      <c r="H46" s="126" t="str">
        <v>TX6A, Category 6A UTP Field Terminal RJ45 Plug</v>
      </c>
      <c r="I46" t="str">
        <v>FP6X88MTG</v>
      </c>
      <c r="J46">
        <v>16</v>
      </c>
      <c r="K46" s="3">
        <v>21.2</v>
      </c>
      <c r="L46" t="str">
        <v>COMM</v>
      </c>
      <c r="M46">
        <v>1</v>
      </c>
      <c r="N46">
        <v>0</v>
      </c>
      <c r="O46" s="19">
        <f t="shared" si="1"/>
        <v>16</v>
      </c>
      <c r="P46" s="3">
        <f t="shared" si="2"/>
        <v>339.2</v>
      </c>
      <c r="Q46" s="93" cm="1">
        <f t="array" ref="Q46">IF(ISNUMBER(O46),_xlfn._xlws.FILTER(PartsDB[Hrs_ShopAssy]*N46*O46,PartsDB[Catalog]=I46),"")</f>
        <v>0</v>
      </c>
      <c r="R46" s="92" cm="1">
        <f t="array" ref="R46">IF(ISNUMBER(O46),_xlfn._xlws.FILTER(PartsDB[Hrs_Eng]*O46,PartsDB[Catalog]=I46),"")</f>
        <v>1.6</v>
      </c>
      <c r="S46" s="92" cm="1">
        <f t="array" ref="S46">IF(ISNUMBER(O46),_xlfn._xlws.FILTER(PartsDB[Hrs_PanelAssy]*M46*O46,PartsDB[Catalog]=I46),"")</f>
        <v>4</v>
      </c>
    </row>
    <row r="47" spans="1:19" ht="16.5" thickTop="1" thickBot="1" x14ac:dyDescent="0.3">
      <c r="A47" s="96" t="str">
        <f>IF(B47="","",MAX(A$4:A46)+1)</f>
        <v/>
      </c>
      <c r="B47" s="99" t="str">
        <f t="shared" si="0"/>
        <v/>
      </c>
      <c r="C47" s="35"/>
      <c r="D47" s="35"/>
      <c r="E47" s="35"/>
      <c r="F47" s="35"/>
      <c r="G47" s="36"/>
      <c r="H47" s="126" t="str">
        <v>Ft. of Generic CAT6 Cable</v>
      </c>
      <c r="I47" t="str">
        <v>CAT6</v>
      </c>
      <c r="J47">
        <v>400</v>
      </c>
      <c r="K47" s="3">
        <v>1</v>
      </c>
      <c r="L47" t="str">
        <v>COMM</v>
      </c>
      <c r="M47">
        <v>1</v>
      </c>
      <c r="N47">
        <v>0</v>
      </c>
      <c r="O47" s="19">
        <f t="shared" si="1"/>
        <v>400</v>
      </c>
      <c r="P47" s="3">
        <f t="shared" si="2"/>
        <v>400</v>
      </c>
      <c r="Q47" s="93" cm="1">
        <f t="array" ref="Q47">IF(ISNUMBER(O47),_xlfn._xlws.FILTER(PartsDB[Hrs_ShopAssy]*N47*O47,PartsDB[Catalog]=I47),"")</f>
        <v>0</v>
      </c>
      <c r="R47" s="92" cm="1">
        <f t="array" ref="R47">IF(ISNUMBER(O47),_xlfn._xlws.FILTER(PartsDB[Hrs_Eng]*O47,PartsDB[Catalog]=I47),"")</f>
        <v>0</v>
      </c>
      <c r="S47" s="92" cm="1">
        <f t="array" ref="S47">IF(ISNUMBER(O47),_xlfn._xlws.FILTER(PartsDB[Hrs_PanelAssy]*M47*O47,PartsDB[Catalog]=I47),"")</f>
        <v>0</v>
      </c>
    </row>
    <row r="48" spans="1:19" ht="16.5" thickTop="1" thickBot="1" x14ac:dyDescent="0.3">
      <c r="A48" s="96">
        <f>IF(B48="","",MAX(A$4:A47)+1)</f>
        <v>12</v>
      </c>
      <c r="B48" s="99" t="str">
        <f t="shared" si="0"/>
        <v>DRV01</v>
      </c>
      <c r="C48" s="35"/>
      <c r="D48" s="35" t="s">
        <v>1525</v>
      </c>
      <c r="E48" s="35" t="s">
        <v>117</v>
      </c>
      <c r="F48" s="35" t="s">
        <v>452</v>
      </c>
      <c r="G48" s="36">
        <v>10</v>
      </c>
      <c r="H48" s="126" t="str" cm="1">
        <f t="array" ref="H48:L58">IF(ISNUMBER(G48),_xlfn.LET(_xlpm.lookupID, F48,_xlpm.masterQty, G48,_xlpm.isAssembly,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AC Drive, PowerFlex 755TS, 125A, 100HP/ND, 75HP/HD, Open, 480VAC</v>
      </c>
      <c r="I48" t="str">
        <v>20G2AND125JA0NNNNN</v>
      </c>
      <c r="J48">
        <v>10</v>
      </c>
      <c r="K48" s="3">
        <v>12909.16</v>
      </c>
      <c r="L48" t="str">
        <v>VFD</v>
      </c>
      <c r="M48" cm="1">
        <f t="array" ref="M48:N58">_xlfn._xlws.FILTER(AssembliesDB[PanelAssy]:AssembliesDB[ShopAssy],AssembliesDB[Assembly_ID]=F48,"")</f>
        <v>1</v>
      </c>
      <c r="N48">
        <v>0</v>
      </c>
      <c r="O48" s="19">
        <f t="shared" si="1"/>
        <v>10</v>
      </c>
      <c r="P48" s="3">
        <f t="shared" si="2"/>
        <v>129091.6</v>
      </c>
      <c r="Q48" s="93" cm="1">
        <f t="array" ref="Q48">IF(ISNUMBER(O48),_xlfn._xlws.FILTER(PartsDB[Hrs_ShopAssy]*N48*O48,PartsDB[Catalog]=I48),"")</f>
        <v>0</v>
      </c>
      <c r="R48" s="92" cm="1">
        <f t="array" ref="R48">IF(ISNUMBER(O48),_xlfn._xlws.FILTER(PartsDB[Hrs_Eng]*O48,PartsDB[Catalog]=I48),"")</f>
        <v>20</v>
      </c>
      <c r="S48" s="92" cm="1">
        <f t="array" ref="S48">IF(ISNUMBER(O48),_xlfn._xlws.FILTER(PartsDB[Hrs_PanelAssy]*M48*O48,PartsDB[Catalog]=I48),"")</f>
        <v>30</v>
      </c>
    </row>
    <row r="49" spans="1:19" ht="16.5" thickTop="1" thickBot="1" x14ac:dyDescent="0.3">
      <c r="A49" s="96" t="str">
        <f>IF(B49="","",MAX(A$4:A48)+1)</f>
        <v/>
      </c>
      <c r="B49" s="99" t="str">
        <f t="shared" si="0"/>
        <v/>
      </c>
      <c r="C49" s="35"/>
      <c r="D49" s="35"/>
      <c r="E49" s="35"/>
      <c r="F49" s="35"/>
      <c r="G49" s="36"/>
      <c r="H49" s="126" t="str">
        <v>Fuse, 175A, 600V, 200kAIC, Class J, Fast-Acting</v>
      </c>
      <c r="I49" t="str">
        <v>JLS175</v>
      </c>
      <c r="J49">
        <v>30</v>
      </c>
      <c r="K49" s="3">
        <v>79.19</v>
      </c>
      <c r="L49" t="str">
        <v>FU</v>
      </c>
      <c r="M49">
        <v>1</v>
      </c>
      <c r="N49">
        <v>0</v>
      </c>
      <c r="O49" s="19">
        <f t="shared" si="1"/>
        <v>30</v>
      </c>
      <c r="P49" s="3">
        <f t="shared" si="2"/>
        <v>2375.6999999999998</v>
      </c>
      <c r="Q49" s="93" cm="1">
        <f t="array" ref="Q49">IF(ISNUMBER(O49),_xlfn._xlws.FILTER(PartsDB[Hrs_ShopAssy]*N49*O49,PartsDB[Catalog]=I49),"")</f>
        <v>0</v>
      </c>
      <c r="R49" s="92" cm="1">
        <f t="array" ref="R49">IF(ISNUMBER(O49),_xlfn._xlws.FILTER(PartsDB[Hrs_Eng]*O49,PartsDB[Catalog]=I49),"")</f>
        <v>0</v>
      </c>
      <c r="S49" s="92" cm="1">
        <f t="array" ref="S49">IF(ISNUMBER(O49),_xlfn._xlws.FILTER(PartsDB[Hrs_PanelAssy]*M49*O49,PartsDB[Catalog]=I49),"")</f>
        <v>0</v>
      </c>
    </row>
    <row r="50" spans="1:19" ht="16.5" thickTop="1" thickBot="1" x14ac:dyDescent="0.3">
      <c r="A50" s="96" t="str">
        <f>IF(B50="","",MAX(A$4:A49)+1)</f>
        <v/>
      </c>
      <c r="B50" s="99" t="str">
        <f t="shared" si="0"/>
        <v/>
      </c>
      <c r="C50" s="35"/>
      <c r="D50" s="35"/>
      <c r="E50" s="35"/>
      <c r="F50" s="35"/>
      <c r="G50" s="36"/>
      <c r="H50" s="126" t="str">
        <v>AC Drive, Safety Option, integrated Safe Torque Off, PowerFlex 750</v>
      </c>
      <c r="I50" t="str">
        <v>20-750-S3</v>
      </c>
      <c r="J50">
        <v>10</v>
      </c>
      <c r="K50" s="3">
        <v>365.82</v>
      </c>
      <c r="L50" t="str">
        <v>VFD-AUX.</v>
      </c>
      <c r="M50">
        <v>1</v>
      </c>
      <c r="N50">
        <v>0</v>
      </c>
      <c r="O50" s="19">
        <f t="shared" si="1"/>
        <v>10</v>
      </c>
      <c r="P50" s="3">
        <f t="shared" si="2"/>
        <v>3658.2</v>
      </c>
      <c r="Q50" s="93" cm="1">
        <f t="array" ref="Q50">IF(ISNUMBER(O50),_xlfn._xlws.FILTER(PartsDB[Hrs_ShopAssy]*N50*O50,PartsDB[Catalog]=I50),"")</f>
        <v>0</v>
      </c>
      <c r="R50" s="92" cm="1">
        <f t="array" ref="R50">IF(ISNUMBER(O50),_xlfn._xlws.FILTER(PartsDB[Hrs_Eng]*O50,PartsDB[Catalog]=I50),"")</f>
        <v>20</v>
      </c>
      <c r="S50" s="92" cm="1">
        <f t="array" ref="S50">IF(ISNUMBER(O50),_xlfn._xlws.FILTER(PartsDB[Hrs_PanelAssy]*M50*O50,PartsDB[Catalog]=I50),"")</f>
        <v>2.5</v>
      </c>
    </row>
    <row r="51" spans="1:19" ht="16.5" thickTop="1" thickBot="1" x14ac:dyDescent="0.3">
      <c r="A51" s="96" t="str">
        <f>IF(B51="","",MAX(A$4:A50)+1)</f>
        <v/>
      </c>
      <c r="B51" s="99" t="str">
        <f t="shared" si="0"/>
        <v/>
      </c>
      <c r="C51" s="35"/>
      <c r="D51" s="35"/>
      <c r="E51" s="35"/>
      <c r="F51" s="35"/>
      <c r="G51" s="36"/>
      <c r="H51" s="126" t="str">
        <v>AC Drive, Feedback Option, Incremental Encoder, PowerFlex 750</v>
      </c>
      <c r="I51" t="str">
        <v>20-750-ENC-1</v>
      </c>
      <c r="J51">
        <v>10</v>
      </c>
      <c r="K51" s="3">
        <v>186.28</v>
      </c>
      <c r="L51" t="str">
        <v>VFD-AUX.</v>
      </c>
      <c r="M51">
        <v>1</v>
      </c>
      <c r="N51">
        <v>0</v>
      </c>
      <c r="O51" s="19">
        <f t="shared" si="1"/>
        <v>10</v>
      </c>
      <c r="P51" s="3">
        <f t="shared" si="2"/>
        <v>1862.8</v>
      </c>
      <c r="Q51" s="93" cm="1">
        <f t="array" ref="Q51">IF(ISNUMBER(O51),_xlfn._xlws.FILTER(PartsDB[Hrs_ShopAssy]*N51*O51,PartsDB[Catalog]=I51),"")</f>
        <v>0</v>
      </c>
      <c r="R51" s="92" cm="1">
        <f t="array" ref="R51">IF(ISNUMBER(O51),_xlfn._xlws.FILTER(PartsDB[Hrs_Eng]*O51,PartsDB[Catalog]=I51),"")</f>
        <v>20</v>
      </c>
      <c r="S51" s="92" cm="1">
        <f t="array" ref="S51">IF(ISNUMBER(O51),_xlfn._xlws.FILTER(PartsDB[Hrs_PanelAssy]*M51*O51,PartsDB[Catalog]=I51),"")</f>
        <v>10</v>
      </c>
    </row>
    <row r="52" spans="1:19" ht="16.5" thickTop="1" thickBot="1" x14ac:dyDescent="0.3">
      <c r="A52" s="96" t="str">
        <f>IF(B52="","",MAX(A$4:A51)+1)</f>
        <v/>
      </c>
      <c r="B52" s="99" t="str">
        <f t="shared" si="0"/>
        <v/>
      </c>
      <c r="C52" s="35"/>
      <c r="D52" s="35"/>
      <c r="E52" s="35"/>
      <c r="F52" s="35"/>
      <c r="G52" s="36"/>
      <c r="H52" s="126" t="str">
        <v>Human Interface Module, Enchanced LCD, Full Numeric Keypad,</v>
      </c>
      <c r="I52" t="str">
        <v>20-HIM-C6S</v>
      </c>
      <c r="J52">
        <v>10</v>
      </c>
      <c r="K52" s="3">
        <v>282.32</v>
      </c>
      <c r="L52" t="str">
        <v>VFD-AUX.</v>
      </c>
      <c r="M52">
        <v>1</v>
      </c>
      <c r="N52">
        <v>0</v>
      </c>
      <c r="O52" s="19">
        <f t="shared" si="1"/>
        <v>10</v>
      </c>
      <c r="P52" s="3">
        <f t="shared" si="2"/>
        <v>2823.2</v>
      </c>
      <c r="Q52" s="93" cm="1">
        <f t="array" ref="Q52">IF(ISNUMBER(O52),_xlfn._xlws.FILTER(PartsDB[Hrs_ShopAssy]*N52*O52,PartsDB[Catalog]=I52),"")</f>
        <v>0</v>
      </c>
      <c r="R52" s="92" cm="1">
        <f t="array" ref="R52">IF(ISNUMBER(O52),_xlfn._xlws.FILTER(PartsDB[Hrs_Eng]*O52,PartsDB[Catalog]=I52),"")</f>
        <v>20</v>
      </c>
      <c r="S52" s="92" cm="1">
        <f t="array" ref="S52">IF(ISNUMBER(O52),_xlfn._xlws.FILTER(PartsDB[Hrs_PanelAssy]*M52*O52,PartsDB[Catalog]=I52),"")</f>
        <v>10</v>
      </c>
    </row>
    <row r="53" spans="1:19" ht="16.5" thickTop="1" thickBot="1" x14ac:dyDescent="0.3">
      <c r="A53" s="96" t="str">
        <f>IF(B53="","",MAX(A$4:A52)+1)</f>
        <v/>
      </c>
      <c r="B53" s="99" t="str">
        <f t="shared" si="0"/>
        <v/>
      </c>
      <c r="C53" s="35"/>
      <c r="D53" s="35"/>
      <c r="E53" s="35"/>
      <c r="F53" s="35"/>
      <c r="G53" s="36"/>
      <c r="H53" s="126" t="str">
        <v>200A, 600V, Fuse Holder 3 Pole Class J Fuseblock</v>
      </c>
      <c r="I53" t="str">
        <v>LFJ60200-3C</v>
      </c>
      <c r="J53">
        <v>10</v>
      </c>
      <c r="K53" s="3">
        <v>752.8</v>
      </c>
      <c r="L53" t="str">
        <v>FU</v>
      </c>
      <c r="M53">
        <v>1</v>
      </c>
      <c r="N53">
        <v>0</v>
      </c>
      <c r="O53" s="19">
        <f t="shared" si="1"/>
        <v>10</v>
      </c>
      <c r="P53" s="3">
        <f t="shared" si="2"/>
        <v>7528</v>
      </c>
      <c r="Q53" s="93" cm="1">
        <f t="array" ref="Q53">IF(ISNUMBER(O53),_xlfn._xlws.FILTER(PartsDB[Hrs_ShopAssy]*N53*O53,PartsDB[Catalog]=I53),"")</f>
        <v>0</v>
      </c>
      <c r="R53" s="92" cm="1">
        <f t="array" ref="R53">IF(ISNUMBER(O53),_xlfn._xlws.FILTER(PartsDB[Hrs_Eng]*O53,PartsDB[Catalog]=I53),"")</f>
        <v>2.5</v>
      </c>
      <c r="S53" s="92" cm="1">
        <f t="array" ref="S53">IF(ISNUMBER(O53),_xlfn._xlws.FILTER(PartsDB[Hrs_PanelAssy]*M53*O53,PartsDB[Catalog]=I53),"")</f>
        <v>10</v>
      </c>
    </row>
    <row r="54" spans="1:19" ht="16.5" thickTop="1" thickBot="1" x14ac:dyDescent="0.3">
      <c r="A54" s="96" t="str">
        <f>IF(B54="","",MAX(A$4:A53)+1)</f>
        <v/>
      </c>
      <c r="B54" s="99" t="str">
        <f t="shared" si="0"/>
        <v/>
      </c>
      <c r="C54" s="35"/>
      <c r="D54" s="35"/>
      <c r="E54" s="35"/>
      <c r="F54" s="35"/>
      <c r="G54" s="36"/>
      <c r="H54" s="126" t="str">
        <v>Custom Plexi-glass shroud</v>
      </c>
      <c r="I54" t="str">
        <v>Plexiglass</v>
      </c>
      <c r="J54">
        <v>10</v>
      </c>
      <c r="K54" s="3">
        <v>200</v>
      </c>
      <c r="L54" t="str">
        <v>FU</v>
      </c>
      <c r="M54">
        <v>1</v>
      </c>
      <c r="N54">
        <v>0</v>
      </c>
      <c r="O54" s="19">
        <f t="shared" si="1"/>
        <v>10</v>
      </c>
      <c r="P54" s="3">
        <f t="shared" si="2"/>
        <v>2000</v>
      </c>
      <c r="Q54" s="93" cm="1">
        <f t="array" ref="Q54">IF(ISNUMBER(O54),_xlfn._xlws.FILTER(PartsDB[Hrs_ShopAssy]*N54*O54,PartsDB[Catalog]=I54),"")</f>
        <v>0</v>
      </c>
      <c r="R54" s="92" cm="1">
        <f t="array" ref="R54">IF(ISNUMBER(O54),_xlfn._xlws.FILTER(PartsDB[Hrs_Eng]*O54,PartsDB[Catalog]=I54),"")</f>
        <v>0</v>
      </c>
      <c r="S54" s="92" cm="1">
        <f t="array" ref="S54">IF(ISNUMBER(O54),_xlfn._xlws.FILTER(PartsDB[Hrs_PanelAssy]*M54*O54,PartsDB[Catalog]=I54),"")</f>
        <v>0</v>
      </c>
    </row>
    <row r="55" spans="1:19" ht="31.5" thickTop="1" thickBot="1" x14ac:dyDescent="0.3">
      <c r="A55" s="96" t="str">
        <f>IF(B55="","",MAX(A$4:A54)+1)</f>
        <v/>
      </c>
      <c r="B55" s="99" t="str">
        <f t="shared" si="0"/>
        <v/>
      </c>
      <c r="C55" s="35"/>
      <c r="D55" s="35"/>
      <c r="E55" s="35"/>
      <c r="F55" s="35"/>
      <c r="G55" s="36"/>
      <c r="H55" s="126" t="str">
        <v>Reactor, Line Input, Line Output, 3 - 5 % Impedance, 130 Amp, 0.2 mh, for 200 thru 690 Volt AC, 3-Phase, Open</v>
      </c>
      <c r="I55" t="str">
        <v>1321-3R130-B</v>
      </c>
      <c r="J55">
        <v>10</v>
      </c>
      <c r="K55" s="3">
        <v>796.35</v>
      </c>
      <c r="L55" t="str">
        <v>XR</v>
      </c>
      <c r="M55">
        <v>1</v>
      </c>
      <c r="N55">
        <v>0</v>
      </c>
      <c r="O55" s="19">
        <f t="shared" si="1"/>
        <v>10</v>
      </c>
      <c r="P55" s="3">
        <f t="shared" si="2"/>
        <v>7963.5</v>
      </c>
      <c r="Q55" s="93" cm="1">
        <f t="array" ref="Q55">IF(ISNUMBER(O55),_xlfn._xlws.FILTER(PartsDB[Hrs_ShopAssy]*N55*O55,PartsDB[Catalog]=I55),"")</f>
        <v>0</v>
      </c>
      <c r="R55" s="92" cm="1">
        <f t="array" ref="R55">IF(ISNUMBER(O55),_xlfn._xlws.FILTER(PartsDB[Hrs_Eng]*O55,PartsDB[Catalog]=I55),"")</f>
        <v>0</v>
      </c>
      <c r="S55" s="92" cm="1">
        <f t="array" ref="S55">IF(ISNUMBER(O55),_xlfn._xlws.FILTER(PartsDB[Hrs_PanelAssy]*M55*O55,PartsDB[Catalog]=I55),"")</f>
        <v>5</v>
      </c>
    </row>
    <row r="56" spans="1:19" ht="16.5" thickTop="1" thickBot="1" x14ac:dyDescent="0.3">
      <c r="A56" s="96" t="str">
        <f>IF(B56="","",MAX(A$4:A55)+1)</f>
        <v/>
      </c>
      <c r="B56" s="99" t="str">
        <f t="shared" si="0"/>
        <v/>
      </c>
      <c r="C56" s="35"/>
      <c r="D56" s="35"/>
      <c r="E56" s="35"/>
      <c r="F56" s="35"/>
      <c r="G56" s="36"/>
      <c r="H56" s="126" t="str">
        <v>BRAKING RESISTOR 7.1 OHMS/9300WATTS</v>
      </c>
      <c r="I56" t="str">
        <v>PF7R9K30</v>
      </c>
      <c r="J56">
        <v>10</v>
      </c>
      <c r="K56" s="3">
        <v>1477.57</v>
      </c>
      <c r="L56" t="str">
        <v>DBR</v>
      </c>
      <c r="M56">
        <v>1</v>
      </c>
      <c r="N56">
        <v>0</v>
      </c>
      <c r="O56" s="19">
        <f t="shared" si="1"/>
        <v>10</v>
      </c>
      <c r="P56" s="3">
        <f t="shared" si="2"/>
        <v>14775.699999999999</v>
      </c>
      <c r="Q56" s="93" cm="1">
        <f t="array" ref="Q56">IF(ISNUMBER(O56),_xlfn._xlws.FILTER(PartsDB[Hrs_ShopAssy]*N56*O56,PartsDB[Catalog]=I56),"")</f>
        <v>0</v>
      </c>
      <c r="R56" s="92" cm="1">
        <f t="array" ref="R56">IF(ISNUMBER(O56),_xlfn._xlws.FILTER(PartsDB[Hrs_Eng]*O56,PartsDB[Catalog]=I56),"")</f>
        <v>0</v>
      </c>
      <c r="S56" s="92" cm="1">
        <f t="array" ref="S56">IF(ISNUMBER(O56),_xlfn._xlws.FILTER(PartsDB[Hrs_PanelAssy]*M56*O56,PartsDB[Catalog]=I56),"")</f>
        <v>5</v>
      </c>
    </row>
    <row r="57" spans="1:19" ht="16.5" thickTop="1" thickBot="1" x14ac:dyDescent="0.3">
      <c r="A57" s="96" t="str">
        <f>IF(B57="","",MAX(A$4:A56)+1)</f>
        <v/>
      </c>
      <c r="B57" s="99" t="str">
        <f t="shared" si="0"/>
        <v/>
      </c>
      <c r="C57" s="35"/>
      <c r="D57" s="35"/>
      <c r="E57" s="35"/>
      <c r="F57" s="35"/>
      <c r="G57" s="36"/>
      <c r="H57" s="126" t="str">
        <v>TX6A, Category 6A UTP Field Terminal RJ45 Plug</v>
      </c>
      <c r="I57" t="str">
        <v>FP6X88MTG</v>
      </c>
      <c r="J57">
        <v>20</v>
      </c>
      <c r="K57" s="3">
        <v>21.2</v>
      </c>
      <c r="L57" t="str">
        <v>COMM</v>
      </c>
      <c r="M57">
        <v>1</v>
      </c>
      <c r="N57">
        <v>0</v>
      </c>
      <c r="O57" s="19">
        <f t="shared" si="1"/>
        <v>20</v>
      </c>
      <c r="P57" s="3">
        <f t="shared" si="2"/>
        <v>424</v>
      </c>
      <c r="Q57" s="93" cm="1">
        <f t="array" ref="Q57">IF(ISNUMBER(O57),_xlfn._xlws.FILTER(PartsDB[Hrs_ShopAssy]*N57*O57,PartsDB[Catalog]=I57),"")</f>
        <v>0</v>
      </c>
      <c r="R57" s="92" cm="1">
        <f t="array" ref="R57">IF(ISNUMBER(O57),_xlfn._xlws.FILTER(PartsDB[Hrs_Eng]*O57,PartsDB[Catalog]=I57),"")</f>
        <v>2</v>
      </c>
      <c r="S57" s="92" cm="1">
        <f t="array" ref="S57">IF(ISNUMBER(O57),_xlfn._xlws.FILTER(PartsDB[Hrs_PanelAssy]*M57*O57,PartsDB[Catalog]=I57),"")</f>
        <v>5</v>
      </c>
    </row>
    <row r="58" spans="1:19" ht="16.5" thickTop="1" thickBot="1" x14ac:dyDescent="0.3">
      <c r="A58" s="96" t="str">
        <f>IF(B58="","",MAX(A$4:A57)+1)</f>
        <v/>
      </c>
      <c r="B58" s="99" t="str">
        <f t="shared" si="0"/>
        <v/>
      </c>
      <c r="C58" s="35"/>
      <c r="D58" s="35"/>
      <c r="E58" s="35"/>
      <c r="F58" s="35"/>
      <c r="G58" s="36"/>
      <c r="H58" s="126" t="str">
        <v>Ft. of Generic CAT6 Cable</v>
      </c>
      <c r="I58" t="str">
        <v>CAT6</v>
      </c>
      <c r="J58">
        <v>500</v>
      </c>
      <c r="K58" s="3">
        <v>1</v>
      </c>
      <c r="L58" t="str">
        <v>COMM</v>
      </c>
      <c r="M58">
        <v>1</v>
      </c>
      <c r="N58">
        <v>0</v>
      </c>
      <c r="O58" s="19">
        <f t="shared" si="1"/>
        <v>500</v>
      </c>
      <c r="P58" s="3">
        <f t="shared" si="2"/>
        <v>500</v>
      </c>
      <c r="Q58" s="93" cm="1">
        <f t="array" ref="Q58">IF(ISNUMBER(O58),_xlfn._xlws.FILTER(PartsDB[Hrs_ShopAssy]*N58*O58,PartsDB[Catalog]=I58),"")</f>
        <v>0</v>
      </c>
      <c r="R58" s="92" cm="1">
        <f t="array" ref="R58">IF(ISNUMBER(O58),_xlfn._xlws.FILTER(PartsDB[Hrs_Eng]*O58,PartsDB[Catalog]=I58),"")</f>
        <v>0</v>
      </c>
      <c r="S58" s="92" cm="1">
        <f t="array" ref="S58">IF(ISNUMBER(O58),_xlfn._xlws.FILTER(PartsDB[Hrs_PanelAssy]*M58*O58,PartsDB[Catalog]=I58),"")</f>
        <v>0</v>
      </c>
    </row>
    <row r="59" spans="1:19" ht="16.5" thickTop="1" thickBot="1" x14ac:dyDescent="0.3">
      <c r="A59" s="96">
        <f>IF(B59="","",MAX(A$4:A58)+1)</f>
        <v>13</v>
      </c>
      <c r="B59" s="99" t="str">
        <f t="shared" si="0"/>
        <v>DRV01</v>
      </c>
      <c r="C59" s="35"/>
      <c r="D59" s="35" t="s">
        <v>1525</v>
      </c>
      <c r="E59" s="35" t="s">
        <v>117</v>
      </c>
      <c r="F59" s="35" t="s">
        <v>452</v>
      </c>
      <c r="G59" s="36">
        <v>2</v>
      </c>
      <c r="H59" s="126" t="str" cm="1">
        <f t="array" ref="H59:L69">IF(ISNUMBER(G59),_xlfn.LET(_xlpm.lookupID, F59,_xlpm.masterQty, G59,_xlpm.isAssembly,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AC Drive, PowerFlex 755TS, 125A, 100HP/ND, 75HP/HD, Open, 480VAC</v>
      </c>
      <c r="I59" t="str">
        <v>20G2AND125JA0NNNNN</v>
      </c>
      <c r="J59">
        <v>2</v>
      </c>
      <c r="K59" s="3">
        <v>12909.16</v>
      </c>
      <c r="L59" t="str">
        <v>VFD</v>
      </c>
      <c r="M59" cm="1">
        <f t="array" ref="M59:N69">_xlfn._xlws.FILTER(AssembliesDB[PanelAssy]:AssembliesDB[ShopAssy],AssembliesDB[Assembly_ID]=F59,"")</f>
        <v>1</v>
      </c>
      <c r="N59">
        <v>0</v>
      </c>
      <c r="O59" s="19">
        <f t="shared" si="1"/>
        <v>2</v>
      </c>
      <c r="P59" s="3">
        <f t="shared" si="2"/>
        <v>25818.32</v>
      </c>
      <c r="Q59" s="93" cm="1">
        <f t="array" ref="Q59">IF(ISNUMBER(O59),_xlfn._xlws.FILTER(PartsDB[Hrs_ShopAssy]*N59*O59,PartsDB[Catalog]=I59),"")</f>
        <v>0</v>
      </c>
      <c r="R59" s="92" cm="1">
        <f t="array" ref="R59">IF(ISNUMBER(O59),_xlfn._xlws.FILTER(PartsDB[Hrs_Eng]*O59,PartsDB[Catalog]=I59),"")</f>
        <v>4</v>
      </c>
      <c r="S59" s="92" cm="1">
        <f t="array" ref="S59">IF(ISNUMBER(O59),_xlfn._xlws.FILTER(PartsDB[Hrs_PanelAssy]*M59*O59,PartsDB[Catalog]=I59),"")</f>
        <v>6</v>
      </c>
    </row>
    <row r="60" spans="1:19" ht="16.5" thickTop="1" thickBot="1" x14ac:dyDescent="0.3">
      <c r="A60" s="96" t="str">
        <f>IF(B60="","",MAX(A$4:A59)+1)</f>
        <v/>
      </c>
      <c r="B60" s="99" t="str">
        <f t="shared" si="0"/>
        <v/>
      </c>
      <c r="C60" s="35"/>
      <c r="D60" s="35"/>
      <c r="E60" s="35"/>
      <c r="F60" s="35"/>
      <c r="G60" s="36"/>
      <c r="H60" s="126" t="str">
        <v>Fuse, 175A, 600V, 200kAIC, Class J, Fast-Acting</v>
      </c>
      <c r="I60" t="str">
        <v>JLS175</v>
      </c>
      <c r="J60">
        <v>6</v>
      </c>
      <c r="K60" s="3">
        <v>79.19</v>
      </c>
      <c r="L60" t="str">
        <v>FU</v>
      </c>
      <c r="M60">
        <v>1</v>
      </c>
      <c r="N60">
        <v>0</v>
      </c>
      <c r="O60" s="19">
        <f t="shared" si="1"/>
        <v>6</v>
      </c>
      <c r="P60" s="3">
        <f t="shared" si="2"/>
        <v>475.14</v>
      </c>
      <c r="Q60" s="93" cm="1">
        <f t="array" ref="Q60">IF(ISNUMBER(O60),_xlfn._xlws.FILTER(PartsDB[Hrs_ShopAssy]*N60*O60,PartsDB[Catalog]=I60),"")</f>
        <v>0</v>
      </c>
      <c r="R60" s="92" cm="1">
        <f t="array" ref="R60">IF(ISNUMBER(O60),_xlfn._xlws.FILTER(PartsDB[Hrs_Eng]*O60,PartsDB[Catalog]=I60),"")</f>
        <v>0</v>
      </c>
      <c r="S60" s="92" cm="1">
        <f t="array" ref="S60">IF(ISNUMBER(O60),_xlfn._xlws.FILTER(PartsDB[Hrs_PanelAssy]*M60*O60,PartsDB[Catalog]=I60),"")</f>
        <v>0</v>
      </c>
    </row>
    <row r="61" spans="1:19" ht="16.5" thickTop="1" thickBot="1" x14ac:dyDescent="0.3">
      <c r="A61" s="96" t="str">
        <f>IF(B61="","",MAX(A$4:A60)+1)</f>
        <v/>
      </c>
      <c r="B61" s="99" t="str">
        <f t="shared" si="0"/>
        <v/>
      </c>
      <c r="C61" s="35"/>
      <c r="D61" s="35"/>
      <c r="E61" s="35"/>
      <c r="F61" s="35"/>
      <c r="G61" s="36"/>
      <c r="H61" s="126" t="str">
        <v>AC Drive, Safety Option, integrated Safe Torque Off, PowerFlex 750</v>
      </c>
      <c r="I61" t="str">
        <v>20-750-S3</v>
      </c>
      <c r="J61">
        <v>2</v>
      </c>
      <c r="K61" s="3">
        <v>365.82</v>
      </c>
      <c r="L61" t="str">
        <v>VFD-AUX.</v>
      </c>
      <c r="M61">
        <v>1</v>
      </c>
      <c r="N61">
        <v>0</v>
      </c>
      <c r="O61" s="19">
        <f t="shared" si="1"/>
        <v>2</v>
      </c>
      <c r="P61" s="3">
        <f t="shared" si="2"/>
        <v>731.64</v>
      </c>
      <c r="Q61" s="93" cm="1">
        <f t="array" ref="Q61">IF(ISNUMBER(O61),_xlfn._xlws.FILTER(PartsDB[Hrs_ShopAssy]*N61*O61,PartsDB[Catalog]=I61),"")</f>
        <v>0</v>
      </c>
      <c r="R61" s="92" cm="1">
        <f t="array" ref="R61">IF(ISNUMBER(O61),_xlfn._xlws.FILTER(PartsDB[Hrs_Eng]*O61,PartsDB[Catalog]=I61),"")</f>
        <v>4</v>
      </c>
      <c r="S61" s="92" cm="1">
        <f t="array" ref="S61">IF(ISNUMBER(O61),_xlfn._xlws.FILTER(PartsDB[Hrs_PanelAssy]*M61*O61,PartsDB[Catalog]=I61),"")</f>
        <v>0.5</v>
      </c>
    </row>
    <row r="62" spans="1:19" ht="16.5" thickTop="1" thickBot="1" x14ac:dyDescent="0.3">
      <c r="A62" s="96" t="str">
        <f>IF(B62="","",MAX(A$4:A61)+1)</f>
        <v/>
      </c>
      <c r="B62" s="99" t="str">
        <f t="shared" si="0"/>
        <v/>
      </c>
      <c r="C62" s="35"/>
      <c r="D62" s="35"/>
      <c r="E62" s="35"/>
      <c r="F62" s="35"/>
      <c r="G62" s="36"/>
      <c r="H62" s="126" t="str">
        <v>AC Drive, Feedback Option, Incremental Encoder, PowerFlex 750</v>
      </c>
      <c r="I62" t="str">
        <v>20-750-ENC-1</v>
      </c>
      <c r="J62">
        <v>2</v>
      </c>
      <c r="K62" s="3">
        <v>186.28</v>
      </c>
      <c r="L62" t="str">
        <v>VFD-AUX.</v>
      </c>
      <c r="M62">
        <v>1</v>
      </c>
      <c r="N62">
        <v>0</v>
      </c>
      <c r="O62" s="19">
        <f t="shared" si="1"/>
        <v>2</v>
      </c>
      <c r="P62" s="3">
        <f t="shared" si="2"/>
        <v>372.56</v>
      </c>
      <c r="Q62" s="93" cm="1">
        <f t="array" ref="Q62">IF(ISNUMBER(O62),_xlfn._xlws.FILTER(PartsDB[Hrs_ShopAssy]*N62*O62,PartsDB[Catalog]=I62),"")</f>
        <v>0</v>
      </c>
      <c r="R62" s="92" cm="1">
        <f t="array" ref="R62">IF(ISNUMBER(O62),_xlfn._xlws.FILTER(PartsDB[Hrs_Eng]*O62,PartsDB[Catalog]=I62),"")</f>
        <v>4</v>
      </c>
      <c r="S62" s="92" cm="1">
        <f t="array" ref="S62">IF(ISNUMBER(O62),_xlfn._xlws.FILTER(PartsDB[Hrs_PanelAssy]*M62*O62,PartsDB[Catalog]=I62),"")</f>
        <v>2</v>
      </c>
    </row>
    <row r="63" spans="1:19" ht="16.5" thickTop="1" thickBot="1" x14ac:dyDescent="0.3">
      <c r="A63" s="96" t="str">
        <f>IF(B63="","",MAX(A$4:A62)+1)</f>
        <v/>
      </c>
      <c r="B63" s="99" t="str">
        <f t="shared" si="0"/>
        <v/>
      </c>
      <c r="C63" s="35"/>
      <c r="D63" s="35"/>
      <c r="E63" s="35"/>
      <c r="F63" s="35"/>
      <c r="G63" s="36"/>
      <c r="H63" s="126" t="str">
        <v>Human Interface Module, Enchanced LCD, Full Numeric Keypad,</v>
      </c>
      <c r="I63" t="str">
        <v>20-HIM-C6S</v>
      </c>
      <c r="J63">
        <v>2</v>
      </c>
      <c r="K63" s="3">
        <v>282.32</v>
      </c>
      <c r="L63" t="str">
        <v>VFD-AUX.</v>
      </c>
      <c r="M63">
        <v>1</v>
      </c>
      <c r="N63">
        <v>0</v>
      </c>
      <c r="O63" s="19">
        <f t="shared" si="1"/>
        <v>2</v>
      </c>
      <c r="P63" s="3">
        <f t="shared" si="2"/>
        <v>564.64</v>
      </c>
      <c r="Q63" s="93" cm="1">
        <f t="array" ref="Q63">IF(ISNUMBER(O63),_xlfn._xlws.FILTER(PartsDB[Hrs_ShopAssy]*N63*O63,PartsDB[Catalog]=I63),"")</f>
        <v>0</v>
      </c>
      <c r="R63" s="92" cm="1">
        <f t="array" ref="R63">IF(ISNUMBER(O63),_xlfn._xlws.FILTER(PartsDB[Hrs_Eng]*O63,PartsDB[Catalog]=I63),"")</f>
        <v>4</v>
      </c>
      <c r="S63" s="92" cm="1">
        <f t="array" ref="S63">IF(ISNUMBER(O63),_xlfn._xlws.FILTER(PartsDB[Hrs_PanelAssy]*M63*O63,PartsDB[Catalog]=I63),"")</f>
        <v>2</v>
      </c>
    </row>
    <row r="64" spans="1:19" ht="16.5" thickTop="1" thickBot="1" x14ac:dyDescent="0.3">
      <c r="A64" s="96" t="str">
        <f>IF(B64="","",MAX(A$4:A63)+1)</f>
        <v/>
      </c>
      <c r="B64" s="99" t="str">
        <f t="shared" si="0"/>
        <v/>
      </c>
      <c r="C64" s="35"/>
      <c r="D64" s="35"/>
      <c r="E64" s="35"/>
      <c r="F64" s="35"/>
      <c r="G64" s="36"/>
      <c r="H64" s="126" t="str">
        <v>200A, 600V, Fuse Holder 3 Pole Class J Fuseblock</v>
      </c>
      <c r="I64" t="str">
        <v>LFJ60200-3C</v>
      </c>
      <c r="J64">
        <v>2</v>
      </c>
      <c r="K64" s="3">
        <v>752.8</v>
      </c>
      <c r="L64" t="str">
        <v>FU</v>
      </c>
      <c r="M64">
        <v>1</v>
      </c>
      <c r="N64">
        <v>0</v>
      </c>
      <c r="O64" s="19">
        <f t="shared" si="1"/>
        <v>2</v>
      </c>
      <c r="P64" s="3">
        <f t="shared" si="2"/>
        <v>1505.6</v>
      </c>
      <c r="Q64" s="93" cm="1">
        <f t="array" ref="Q64">IF(ISNUMBER(O64),_xlfn._xlws.FILTER(PartsDB[Hrs_ShopAssy]*N64*O64,PartsDB[Catalog]=I64),"")</f>
        <v>0</v>
      </c>
      <c r="R64" s="92" cm="1">
        <f t="array" ref="R64">IF(ISNUMBER(O64),_xlfn._xlws.FILTER(PartsDB[Hrs_Eng]*O64,PartsDB[Catalog]=I64),"")</f>
        <v>0.5</v>
      </c>
      <c r="S64" s="92" cm="1">
        <f t="array" ref="S64">IF(ISNUMBER(O64),_xlfn._xlws.FILTER(PartsDB[Hrs_PanelAssy]*M64*O64,PartsDB[Catalog]=I64),"")</f>
        <v>2</v>
      </c>
    </row>
    <row r="65" spans="1:19" ht="16.5" thickTop="1" thickBot="1" x14ac:dyDescent="0.3">
      <c r="A65" s="96" t="str">
        <f>IF(B65="","",MAX(A$4:A64)+1)</f>
        <v/>
      </c>
      <c r="B65" s="99" t="str">
        <f t="shared" si="0"/>
        <v/>
      </c>
      <c r="C65" s="35"/>
      <c r="D65" s="35"/>
      <c r="E65" s="35"/>
      <c r="F65" s="35"/>
      <c r="G65" s="36"/>
      <c r="H65" s="126" t="str">
        <v>Custom Plexi-glass shroud</v>
      </c>
      <c r="I65" t="str">
        <v>Plexiglass</v>
      </c>
      <c r="J65">
        <v>2</v>
      </c>
      <c r="K65" s="3">
        <v>200</v>
      </c>
      <c r="L65" t="str">
        <v>FU</v>
      </c>
      <c r="M65">
        <v>1</v>
      </c>
      <c r="N65">
        <v>0</v>
      </c>
      <c r="O65" s="19">
        <f t="shared" si="1"/>
        <v>2</v>
      </c>
      <c r="P65" s="3">
        <f t="shared" si="2"/>
        <v>400</v>
      </c>
      <c r="Q65" s="93" cm="1">
        <f t="array" ref="Q65">IF(ISNUMBER(O65),_xlfn._xlws.FILTER(PartsDB[Hrs_ShopAssy]*N65*O65,PartsDB[Catalog]=I65),"")</f>
        <v>0</v>
      </c>
      <c r="R65" s="92" cm="1">
        <f t="array" ref="R65">IF(ISNUMBER(O65),_xlfn._xlws.FILTER(PartsDB[Hrs_Eng]*O65,PartsDB[Catalog]=I65),"")</f>
        <v>0</v>
      </c>
      <c r="S65" s="92" cm="1">
        <f t="array" ref="S65">IF(ISNUMBER(O65),_xlfn._xlws.FILTER(PartsDB[Hrs_PanelAssy]*M65*O65,PartsDB[Catalog]=I65),"")</f>
        <v>0</v>
      </c>
    </row>
    <row r="66" spans="1:19" ht="31.5" thickTop="1" thickBot="1" x14ac:dyDescent="0.3">
      <c r="A66" s="96" t="str">
        <f>IF(B66="","",MAX(A$4:A65)+1)</f>
        <v/>
      </c>
      <c r="B66" s="99" t="str">
        <f t="shared" si="0"/>
        <v/>
      </c>
      <c r="C66" s="35"/>
      <c r="D66" s="35"/>
      <c r="E66" s="35"/>
      <c r="F66" s="35"/>
      <c r="G66" s="36"/>
      <c r="H66" s="126" t="str">
        <v>Reactor, Line Input, Line Output, 3 - 5 % Impedance, 130 Amp, 0.2 mh, for 200 thru 690 Volt AC, 3-Phase, Open</v>
      </c>
      <c r="I66" t="str">
        <v>1321-3R130-B</v>
      </c>
      <c r="J66">
        <v>2</v>
      </c>
      <c r="K66" s="3">
        <v>796.35</v>
      </c>
      <c r="L66" t="str">
        <v>XR</v>
      </c>
      <c r="M66">
        <v>1</v>
      </c>
      <c r="N66">
        <v>0</v>
      </c>
      <c r="O66" s="19">
        <f t="shared" si="1"/>
        <v>2</v>
      </c>
      <c r="P66" s="3">
        <f t="shared" si="2"/>
        <v>1592.7</v>
      </c>
      <c r="Q66" s="93" cm="1">
        <f t="array" ref="Q66">IF(ISNUMBER(O66),_xlfn._xlws.FILTER(PartsDB[Hrs_ShopAssy]*N66*O66,PartsDB[Catalog]=I66),"")</f>
        <v>0</v>
      </c>
      <c r="R66" s="92" cm="1">
        <f t="array" ref="R66">IF(ISNUMBER(O66),_xlfn._xlws.FILTER(PartsDB[Hrs_Eng]*O66,PartsDB[Catalog]=I66),"")</f>
        <v>0</v>
      </c>
      <c r="S66" s="92" cm="1">
        <f t="array" ref="S66">IF(ISNUMBER(O66),_xlfn._xlws.FILTER(PartsDB[Hrs_PanelAssy]*M66*O66,PartsDB[Catalog]=I66),"")</f>
        <v>1</v>
      </c>
    </row>
    <row r="67" spans="1:19" ht="16.5" thickTop="1" thickBot="1" x14ac:dyDescent="0.3">
      <c r="A67" s="96" t="str">
        <f>IF(B67="","",MAX(A$4:A66)+1)</f>
        <v/>
      </c>
      <c r="B67" s="99" t="str">
        <f t="shared" si="0"/>
        <v/>
      </c>
      <c r="C67" s="35"/>
      <c r="D67" s="35"/>
      <c r="E67" s="35"/>
      <c r="F67" s="35"/>
      <c r="G67" s="36"/>
      <c r="H67" s="126" t="str">
        <v>BRAKING RESISTOR 7.1 OHMS/9300WATTS</v>
      </c>
      <c r="I67" t="str">
        <v>PF7R9K30</v>
      </c>
      <c r="J67">
        <v>2</v>
      </c>
      <c r="K67" s="3">
        <v>1477.57</v>
      </c>
      <c r="L67" t="str">
        <v>DBR</v>
      </c>
      <c r="M67">
        <v>1</v>
      </c>
      <c r="N67">
        <v>0</v>
      </c>
      <c r="O67" s="19">
        <f t="shared" si="1"/>
        <v>2</v>
      </c>
      <c r="P67" s="3">
        <f t="shared" si="2"/>
        <v>2955.14</v>
      </c>
      <c r="Q67" s="93" cm="1">
        <f t="array" ref="Q67">IF(ISNUMBER(O67),_xlfn._xlws.FILTER(PartsDB[Hrs_ShopAssy]*N67*O67,PartsDB[Catalog]=I67),"")</f>
        <v>0</v>
      </c>
      <c r="R67" s="92" cm="1">
        <f t="array" ref="R67">IF(ISNUMBER(O67),_xlfn._xlws.FILTER(PartsDB[Hrs_Eng]*O67,PartsDB[Catalog]=I67),"")</f>
        <v>0</v>
      </c>
      <c r="S67" s="92" cm="1">
        <f t="array" ref="S67">IF(ISNUMBER(O67),_xlfn._xlws.FILTER(PartsDB[Hrs_PanelAssy]*M67*O67,PartsDB[Catalog]=I67),"")</f>
        <v>1</v>
      </c>
    </row>
    <row r="68" spans="1:19" ht="16.5" thickTop="1" thickBot="1" x14ac:dyDescent="0.3">
      <c r="A68" s="96" t="str">
        <f>IF(B68="","",MAX(A$4:A67)+1)</f>
        <v/>
      </c>
      <c r="B68" s="99" t="str">
        <f t="shared" si="0"/>
        <v/>
      </c>
      <c r="C68" s="35"/>
      <c r="D68" s="35"/>
      <c r="E68" s="35"/>
      <c r="F68" s="35"/>
      <c r="G68" s="36"/>
      <c r="H68" s="126" t="str">
        <v>TX6A, Category 6A UTP Field Terminal RJ45 Plug</v>
      </c>
      <c r="I68" t="str">
        <v>FP6X88MTG</v>
      </c>
      <c r="J68">
        <v>4</v>
      </c>
      <c r="K68" s="3">
        <v>21.2</v>
      </c>
      <c r="L68" t="str">
        <v>COMM</v>
      </c>
      <c r="M68">
        <v>1</v>
      </c>
      <c r="N68">
        <v>0</v>
      </c>
      <c r="O68" s="19">
        <f t="shared" si="1"/>
        <v>4</v>
      </c>
      <c r="P68" s="3">
        <f t="shared" si="2"/>
        <v>84.8</v>
      </c>
      <c r="Q68" s="93" cm="1">
        <f t="array" ref="Q68">IF(ISNUMBER(O68),_xlfn._xlws.FILTER(PartsDB[Hrs_ShopAssy]*N68*O68,PartsDB[Catalog]=I68),"")</f>
        <v>0</v>
      </c>
      <c r="R68" s="92" cm="1">
        <f t="array" ref="R68">IF(ISNUMBER(O68),_xlfn._xlws.FILTER(PartsDB[Hrs_Eng]*O68,PartsDB[Catalog]=I68),"")</f>
        <v>0.4</v>
      </c>
      <c r="S68" s="92" cm="1">
        <f t="array" ref="S68">IF(ISNUMBER(O68),_xlfn._xlws.FILTER(PartsDB[Hrs_PanelAssy]*M68*O68,PartsDB[Catalog]=I68),"")</f>
        <v>1</v>
      </c>
    </row>
    <row r="69" spans="1:19" ht="16.5" thickTop="1" thickBot="1" x14ac:dyDescent="0.3">
      <c r="A69" s="96" t="str">
        <f>IF(B69="","",MAX(A$4:A68)+1)</f>
        <v/>
      </c>
      <c r="B69" s="99" t="str">
        <f t="shared" ref="B69:B132" si="3">IF(OR(ISBLANK($B$2),ISBLANK(D69)),"",$B$2)</f>
        <v/>
      </c>
      <c r="C69" s="35"/>
      <c r="D69" s="35"/>
      <c r="E69" s="35"/>
      <c r="F69" s="35"/>
      <c r="G69" s="36"/>
      <c r="H69" s="126" t="str">
        <v>Ft. of Generic CAT6 Cable</v>
      </c>
      <c r="I69" t="str">
        <v>CAT6</v>
      </c>
      <c r="J69">
        <v>100</v>
      </c>
      <c r="K69" s="3">
        <v>1</v>
      </c>
      <c r="L69" t="str">
        <v>COMM</v>
      </c>
      <c r="M69">
        <v>1</v>
      </c>
      <c r="N69">
        <v>0</v>
      </c>
      <c r="O69" s="19">
        <f t="shared" ref="O69:O132" si="4">IF(ISNUMBER(J69),J69,"")</f>
        <v>100</v>
      </c>
      <c r="P69" s="3">
        <f t="shared" ref="P69:P132" si="5">IF(ISNUMBER(O69),O69*K69,"")</f>
        <v>100</v>
      </c>
      <c r="Q69" s="93" cm="1">
        <f t="array" ref="Q69">IF(ISNUMBER(O69),_xlfn._xlws.FILTER(PartsDB[Hrs_ShopAssy]*N69*O69,PartsDB[Catalog]=I69),"")</f>
        <v>0</v>
      </c>
      <c r="R69" s="92" cm="1">
        <f t="array" ref="R69">IF(ISNUMBER(O69),_xlfn._xlws.FILTER(PartsDB[Hrs_Eng]*O69,PartsDB[Catalog]=I69),"")</f>
        <v>0</v>
      </c>
      <c r="S69" s="92" cm="1">
        <f t="array" ref="S69">IF(ISNUMBER(O69),_xlfn._xlws.FILTER(PartsDB[Hrs_PanelAssy]*M69*O69,PartsDB[Catalog]=I69),"")</f>
        <v>0</v>
      </c>
    </row>
    <row r="70" spans="1:19" ht="16.5" thickTop="1" thickBot="1" x14ac:dyDescent="0.3">
      <c r="A70" s="96" t="str">
        <f>IF(B70="","",MAX(A$4:A69)+1)</f>
        <v/>
      </c>
      <c r="B70" s="99" t="str">
        <f t="shared" si="3"/>
        <v/>
      </c>
      <c r="C70" s="35"/>
      <c r="D70" s="35"/>
      <c r="E70" s="35"/>
      <c r="F70" s="35"/>
      <c r="G70" s="36"/>
      <c r="O70" s="19" t="str">
        <f t="shared" si="4"/>
        <v/>
      </c>
      <c r="P70" s="3" t="str">
        <f t="shared" si="5"/>
        <v/>
      </c>
      <c r="Q70" s="93" t="str" cm="1">
        <f t="array" ref="Q70">IF(ISNUMBER(O70),_xlfn._xlws.FILTER(PartsDB[Hrs_ShopAssy]*N70*O70,PartsDB[Catalog]=I70),"")</f>
        <v/>
      </c>
      <c r="R70" s="92" t="str" cm="1">
        <f t="array" ref="R70">IF(ISNUMBER(O70),_xlfn._xlws.FILTER(PartsDB[Hrs_Eng]*O70,PartsDB[Catalog]=I70),"")</f>
        <v/>
      </c>
      <c r="S70" s="92" t="str" cm="1">
        <f t="array" ref="S70">IF(ISNUMBER(O70),_xlfn._xlws.FILTER(PartsDB[Hrs_PanelAssy]*M70*O70,PartsDB[Catalog]=I70),"")</f>
        <v/>
      </c>
    </row>
    <row r="71" spans="1:19" ht="16.5" thickTop="1" thickBot="1" x14ac:dyDescent="0.3">
      <c r="A71" s="96" t="str">
        <f>IF(B71="","",MAX(A$4:A70)+1)</f>
        <v/>
      </c>
      <c r="B71" s="99" t="str">
        <f t="shared" si="3"/>
        <v/>
      </c>
      <c r="C71" s="35"/>
      <c r="D71" s="35"/>
      <c r="E71" s="35"/>
      <c r="F71" s="35"/>
      <c r="G71" s="36"/>
      <c r="O71" s="19" t="str">
        <f t="shared" si="4"/>
        <v/>
      </c>
      <c r="P71" s="3" t="str">
        <f t="shared" si="5"/>
        <v/>
      </c>
      <c r="Q71" s="93" t="str" cm="1">
        <f t="array" ref="Q71">IF(ISNUMBER(O71),_xlfn._xlws.FILTER(PartsDB[Hrs_ShopAssy]*N71*O71,PartsDB[Catalog]=I71),"")</f>
        <v/>
      </c>
      <c r="R71" s="92" t="str" cm="1">
        <f t="array" ref="R71">IF(ISNUMBER(O71),_xlfn._xlws.FILTER(PartsDB[Hrs_Eng]*O71,PartsDB[Catalog]=I71),"")</f>
        <v/>
      </c>
      <c r="S71" s="92" t="str" cm="1">
        <f t="array" ref="S71">IF(ISNUMBER(O71),_xlfn._xlws.FILTER(PartsDB[Hrs_PanelAssy]*M71*O71,PartsDB[Catalog]=I71),"")</f>
        <v/>
      </c>
    </row>
    <row r="72" spans="1:19" ht="16.5" thickTop="1" thickBot="1" x14ac:dyDescent="0.3">
      <c r="A72" s="96" t="str">
        <f>IF(B72="","",MAX(A$4:A71)+1)</f>
        <v/>
      </c>
      <c r="B72" s="99" t="str">
        <f t="shared" si="3"/>
        <v/>
      </c>
      <c r="C72" s="35"/>
      <c r="D72" s="35"/>
      <c r="E72" s="35"/>
      <c r="F72" s="35"/>
      <c r="G72" s="36"/>
      <c r="O72" s="19" t="str">
        <f t="shared" si="4"/>
        <v/>
      </c>
      <c r="P72" s="3" t="str">
        <f t="shared" si="5"/>
        <v/>
      </c>
      <c r="Q72" s="93" t="str" cm="1">
        <f t="array" ref="Q72">IF(ISNUMBER(O72),_xlfn._xlws.FILTER(PartsDB[Hrs_ShopAssy]*N72*O72,PartsDB[Catalog]=I72),"")</f>
        <v/>
      </c>
      <c r="R72" s="92" t="str" cm="1">
        <f t="array" ref="R72">IF(ISNUMBER(O72),_xlfn._xlws.FILTER(PartsDB[Hrs_Eng]*O72,PartsDB[Catalog]=I72),"")</f>
        <v/>
      </c>
      <c r="S72" s="92" t="str" cm="1">
        <f t="array" ref="S72">IF(ISNUMBER(O72),_xlfn._xlws.FILTER(PartsDB[Hrs_PanelAssy]*M72*O72,PartsDB[Catalog]=I72),"")</f>
        <v/>
      </c>
    </row>
    <row r="73" spans="1:19" ht="16.5" thickTop="1" thickBot="1" x14ac:dyDescent="0.3">
      <c r="A73" s="96" t="str">
        <f>IF(B73="","",MAX(A$4:A72)+1)</f>
        <v/>
      </c>
      <c r="B73" s="99" t="str">
        <f t="shared" si="3"/>
        <v/>
      </c>
      <c r="C73" s="35"/>
      <c r="D73" s="35"/>
      <c r="E73" s="35"/>
      <c r="F73" s="35"/>
      <c r="G73" s="36"/>
      <c r="O73" s="19" t="str">
        <f t="shared" si="4"/>
        <v/>
      </c>
      <c r="P73" s="3" t="str">
        <f t="shared" si="5"/>
        <v/>
      </c>
      <c r="Q73" s="93" t="str" cm="1">
        <f t="array" ref="Q73">IF(ISNUMBER(O73),_xlfn._xlws.FILTER(PartsDB[Hrs_ShopAssy]*N73*O73,PartsDB[Catalog]=I73),"")</f>
        <v/>
      </c>
      <c r="R73" s="92" t="str" cm="1">
        <f t="array" ref="R73">IF(ISNUMBER(O73),_xlfn._xlws.FILTER(PartsDB[Hrs_Eng]*O73,PartsDB[Catalog]=I73),"")</f>
        <v/>
      </c>
      <c r="S73" s="92" t="str" cm="1">
        <f t="array" ref="S73">IF(ISNUMBER(O73),_xlfn._xlws.FILTER(PartsDB[Hrs_PanelAssy]*M73*O73,PartsDB[Catalog]=I73),"")</f>
        <v/>
      </c>
    </row>
    <row r="74" spans="1:19" ht="16.5" thickTop="1" thickBot="1" x14ac:dyDescent="0.3">
      <c r="A74" s="96" t="str">
        <f>IF(B74="","",MAX(A$4:A73)+1)</f>
        <v/>
      </c>
      <c r="B74" s="99" t="str">
        <f t="shared" si="3"/>
        <v/>
      </c>
      <c r="C74" s="35"/>
      <c r="D74" s="35"/>
      <c r="E74" s="35"/>
      <c r="F74" s="35"/>
      <c r="G74" s="36"/>
      <c r="O74" s="19" t="str">
        <f t="shared" si="4"/>
        <v/>
      </c>
      <c r="P74" s="3" t="str">
        <f t="shared" si="5"/>
        <v/>
      </c>
      <c r="Q74" s="93" t="str" cm="1">
        <f t="array" ref="Q74">IF(ISNUMBER(O74),_xlfn._xlws.FILTER(PartsDB[Hrs_ShopAssy]*N74*O74,PartsDB[Catalog]=I74),"")</f>
        <v/>
      </c>
      <c r="R74" s="92" t="str" cm="1">
        <f t="array" ref="R74">IF(ISNUMBER(O74),_xlfn._xlws.FILTER(PartsDB[Hrs_Eng]*O74,PartsDB[Catalog]=I74),"")</f>
        <v/>
      </c>
      <c r="S74" s="92" t="str" cm="1">
        <f t="array" ref="S74">IF(ISNUMBER(O74),_xlfn._xlws.FILTER(PartsDB[Hrs_PanelAssy]*M74*O74,PartsDB[Catalog]=I74),"")</f>
        <v/>
      </c>
    </row>
    <row r="75" spans="1:19" ht="16.5" thickTop="1" thickBot="1" x14ac:dyDescent="0.3">
      <c r="A75" s="96" t="str">
        <f>IF(B75="","",MAX(A$4:A74)+1)</f>
        <v/>
      </c>
      <c r="B75" s="99" t="str">
        <f t="shared" si="3"/>
        <v/>
      </c>
      <c r="C75" s="35"/>
      <c r="D75" s="35"/>
      <c r="E75" s="35"/>
      <c r="F75" s="35"/>
      <c r="G75" s="36"/>
      <c r="O75" s="19" t="str">
        <f t="shared" si="4"/>
        <v/>
      </c>
      <c r="P75" s="3" t="str">
        <f t="shared" si="5"/>
        <v/>
      </c>
      <c r="Q75" s="93" t="str" cm="1">
        <f t="array" ref="Q75">IF(ISNUMBER(O75),_xlfn._xlws.FILTER(PartsDB[Hrs_ShopAssy]*N75*O75,PartsDB[Catalog]=I75),"")</f>
        <v/>
      </c>
      <c r="R75" s="92" t="str" cm="1">
        <f t="array" ref="R75">IF(ISNUMBER(O75),_xlfn._xlws.FILTER(PartsDB[Hrs_Eng]*O75,PartsDB[Catalog]=I75),"")</f>
        <v/>
      </c>
      <c r="S75" s="92" t="str" cm="1">
        <f t="array" ref="S75">IF(ISNUMBER(O75),_xlfn._xlws.FILTER(PartsDB[Hrs_PanelAssy]*M75*O75,PartsDB[Catalog]=I75),"")</f>
        <v/>
      </c>
    </row>
    <row r="76" spans="1:19" ht="16.5" thickTop="1" thickBot="1" x14ac:dyDescent="0.3">
      <c r="A76" s="96" t="str">
        <f>IF(B76="","",MAX(A$4:A75)+1)</f>
        <v/>
      </c>
      <c r="B76" s="99" t="str">
        <f t="shared" si="3"/>
        <v/>
      </c>
      <c r="C76" s="35"/>
      <c r="D76" s="35"/>
      <c r="E76" s="35"/>
      <c r="F76" s="35"/>
      <c r="G76" s="36"/>
      <c r="O76" s="19" t="str">
        <f t="shared" si="4"/>
        <v/>
      </c>
      <c r="P76" s="3" t="str">
        <f t="shared" si="5"/>
        <v/>
      </c>
      <c r="Q76" s="93" t="str" cm="1">
        <f t="array" ref="Q76">IF(ISNUMBER(O76),_xlfn._xlws.FILTER(PartsDB[Hrs_ShopAssy]*N76*O76,PartsDB[Catalog]=I76),"")</f>
        <v/>
      </c>
      <c r="R76" s="92" t="str" cm="1">
        <f t="array" ref="R76">IF(ISNUMBER(O76),_xlfn._xlws.FILTER(PartsDB[Hrs_Eng]*O76,PartsDB[Catalog]=I76),"")</f>
        <v/>
      </c>
      <c r="S76" s="92" t="str" cm="1">
        <f t="array" ref="S76">IF(ISNUMBER(O76),_xlfn._xlws.FILTER(PartsDB[Hrs_PanelAssy]*M76*O76,PartsDB[Catalog]=I76),"")</f>
        <v/>
      </c>
    </row>
    <row r="77" spans="1:19" ht="16.5" thickTop="1" thickBot="1" x14ac:dyDescent="0.3">
      <c r="A77" s="96" t="str">
        <f>IF(B77="","",MAX(A$4:A76)+1)</f>
        <v/>
      </c>
      <c r="B77" s="99" t="str">
        <f t="shared" si="3"/>
        <v/>
      </c>
      <c r="C77" s="35"/>
      <c r="D77" s="35"/>
      <c r="E77" s="35"/>
      <c r="F77" s="35"/>
      <c r="G77" s="36"/>
      <c r="O77" s="19" t="str">
        <f t="shared" si="4"/>
        <v/>
      </c>
      <c r="P77" s="3" t="str">
        <f t="shared" si="5"/>
        <v/>
      </c>
      <c r="Q77" s="93" t="str" cm="1">
        <f t="array" ref="Q77">IF(ISNUMBER(O77),_xlfn._xlws.FILTER(PartsDB[Hrs_ShopAssy]*N77*O77,PartsDB[Catalog]=I77),"")</f>
        <v/>
      </c>
      <c r="R77" s="92" t="str" cm="1">
        <f t="array" ref="R77">IF(ISNUMBER(O77),_xlfn._xlws.FILTER(PartsDB[Hrs_Eng]*O77,PartsDB[Catalog]=I77),"")</f>
        <v/>
      </c>
      <c r="S77" s="92" t="str" cm="1">
        <f t="array" ref="S77">IF(ISNUMBER(O77),_xlfn._xlws.FILTER(PartsDB[Hrs_PanelAssy]*M77*O77,PartsDB[Catalog]=I77),"")</f>
        <v/>
      </c>
    </row>
    <row r="78" spans="1:19" ht="16.5" thickTop="1" thickBot="1" x14ac:dyDescent="0.3">
      <c r="A78" s="96" t="str">
        <f>IF(B78="","",MAX(A$4:A77)+1)</f>
        <v/>
      </c>
      <c r="B78" s="99" t="str">
        <f t="shared" si="3"/>
        <v/>
      </c>
      <c r="C78" s="35"/>
      <c r="D78" s="35"/>
      <c r="E78" s="35"/>
      <c r="F78" s="35"/>
      <c r="G78" s="36"/>
      <c r="O78" s="19" t="str">
        <f t="shared" si="4"/>
        <v/>
      </c>
      <c r="P78" s="3" t="str">
        <f t="shared" si="5"/>
        <v/>
      </c>
      <c r="Q78" s="93" t="str" cm="1">
        <f t="array" ref="Q78">IF(ISNUMBER(O78),_xlfn._xlws.FILTER(PartsDB[Hrs_ShopAssy]*N78*O78,PartsDB[Catalog]=I78),"")</f>
        <v/>
      </c>
      <c r="R78" s="92" t="str" cm="1">
        <f t="array" ref="R78">IF(ISNUMBER(O78),_xlfn._xlws.FILTER(PartsDB[Hrs_Eng]*O78,PartsDB[Catalog]=I78),"")</f>
        <v/>
      </c>
      <c r="S78" s="92" t="str" cm="1">
        <f t="array" ref="S78">IF(ISNUMBER(O78),_xlfn._xlws.FILTER(PartsDB[Hrs_PanelAssy]*M78*O78,PartsDB[Catalog]=I78),"")</f>
        <v/>
      </c>
    </row>
    <row r="79" spans="1:19" ht="16.5" thickTop="1" thickBot="1" x14ac:dyDescent="0.3">
      <c r="A79" s="96" t="str">
        <f>IF(B79="","",MAX(A$4:A78)+1)</f>
        <v/>
      </c>
      <c r="B79" s="99" t="str">
        <f t="shared" si="3"/>
        <v/>
      </c>
      <c r="C79" s="35"/>
      <c r="D79" s="35"/>
      <c r="E79" s="35"/>
      <c r="F79" s="35"/>
      <c r="G79" s="36"/>
      <c r="O79" s="19" t="str">
        <f t="shared" si="4"/>
        <v/>
      </c>
      <c r="P79" s="3" t="str">
        <f t="shared" si="5"/>
        <v/>
      </c>
      <c r="Q79" s="93" t="str" cm="1">
        <f t="array" ref="Q79">IF(ISNUMBER(O79),_xlfn._xlws.FILTER(PartsDB[Hrs_ShopAssy]*N79*O79,PartsDB[Catalog]=I79),"")</f>
        <v/>
      </c>
      <c r="R79" s="92" t="str" cm="1">
        <f t="array" ref="R79">IF(ISNUMBER(O79),_xlfn._xlws.FILTER(PartsDB[Hrs_Eng]*O79,PartsDB[Catalog]=I79),"")</f>
        <v/>
      </c>
      <c r="S79" s="92" t="str" cm="1">
        <f t="array" ref="S79">IF(ISNUMBER(O79),_xlfn._xlws.FILTER(PartsDB[Hrs_PanelAssy]*M79*O79,PartsDB[Catalog]=I79),"")</f>
        <v/>
      </c>
    </row>
    <row r="80" spans="1:19" ht="16.5" thickTop="1" thickBot="1" x14ac:dyDescent="0.3">
      <c r="A80" s="96" t="str">
        <f>IF(B80="","",MAX(A$4:A79)+1)</f>
        <v/>
      </c>
      <c r="B80" s="99" t="str">
        <f t="shared" si="3"/>
        <v/>
      </c>
      <c r="C80" s="35"/>
      <c r="D80" s="35"/>
      <c r="E80" s="35"/>
      <c r="F80" s="35"/>
      <c r="G80" s="36"/>
      <c r="O80" s="19" t="str">
        <f t="shared" si="4"/>
        <v/>
      </c>
      <c r="P80" s="3" t="str">
        <f t="shared" si="5"/>
        <v/>
      </c>
      <c r="Q80" s="93" t="str" cm="1">
        <f t="array" ref="Q80">IF(ISNUMBER(O80),_xlfn._xlws.FILTER(PartsDB[Hrs_ShopAssy]*N80*O80,PartsDB[Catalog]=I80),"")</f>
        <v/>
      </c>
      <c r="R80" s="92" t="str" cm="1">
        <f t="array" ref="R80">IF(ISNUMBER(O80),_xlfn._xlws.FILTER(PartsDB[Hrs_Eng]*O80,PartsDB[Catalog]=I80),"")</f>
        <v/>
      </c>
      <c r="S80" s="92" t="str" cm="1">
        <f t="array" ref="S80">IF(ISNUMBER(O80),_xlfn._xlws.FILTER(PartsDB[Hrs_PanelAssy]*M80*O80,PartsDB[Catalog]=I80),"")</f>
        <v/>
      </c>
    </row>
    <row r="81" spans="1:19" ht="16.5" thickTop="1" thickBot="1" x14ac:dyDescent="0.3">
      <c r="A81" s="96">
        <f>IF(B81="","",MAX(A$4:A80)+1)</f>
        <v>14</v>
      </c>
      <c r="B81" s="99" t="str">
        <f t="shared" si="3"/>
        <v>DRV01</v>
      </c>
      <c r="C81" s="35"/>
      <c r="D81" s="35" t="s">
        <v>1526</v>
      </c>
      <c r="E81" s="35" t="s">
        <v>17</v>
      </c>
      <c r="F81" s="35" t="s">
        <v>224</v>
      </c>
      <c r="G81" s="36">
        <v>2</v>
      </c>
      <c r="H81" s="126" t="str" cm="1">
        <f t="array" ref="H81:L81">IF(ISNUMBER(G81),_xlfn.LET(_xlpm.lookupID, F81,_xlpm.masterQty, G81,_xlpm.isAssembly,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Stratix 5200 20 Port Switch</v>
      </c>
      <c r="I81" t="str">
        <v>1783-CM20DP</v>
      </c>
      <c r="J81">
        <v>2</v>
      </c>
      <c r="K81" s="3">
        <v>3109.25</v>
      </c>
      <c r="L81" t="str">
        <v>COMM</v>
      </c>
      <c r="M81">
        <v>1</v>
      </c>
      <c r="N81">
        <v>1</v>
      </c>
      <c r="O81" s="19">
        <f t="shared" si="4"/>
        <v>2</v>
      </c>
      <c r="P81" s="3">
        <f t="shared" si="5"/>
        <v>6218.5</v>
      </c>
      <c r="Q81" s="93" cm="1">
        <f t="array" ref="Q81">IF(ISNUMBER(O81),_xlfn._xlws.FILTER(PartsDB[Hrs_ShopAssy]*N81*O81,PartsDB[Catalog]=I81),"")</f>
        <v>0</v>
      </c>
      <c r="R81" s="92" cm="1">
        <f t="array" ref="R81">IF(ISNUMBER(O81),_xlfn._xlws.FILTER(PartsDB[Hrs_Eng]*O81,PartsDB[Catalog]=I81),"")</f>
        <v>8</v>
      </c>
      <c r="S81" s="92" cm="1">
        <f t="array" ref="S81">IF(ISNUMBER(O81),_xlfn._xlws.FILTER(PartsDB[Hrs_PanelAssy]*M81*O81,PartsDB[Catalog]=I81),"")</f>
        <v>0</v>
      </c>
    </row>
    <row r="82" spans="1:19" ht="16.5" thickTop="1" thickBot="1" x14ac:dyDescent="0.3">
      <c r="A82" s="96">
        <f>IF(B82="","",MAX(A$4:A81)+1)</f>
        <v>15</v>
      </c>
      <c r="B82" s="99" t="str">
        <f t="shared" si="3"/>
        <v>DRV01</v>
      </c>
      <c r="C82" s="35"/>
      <c r="D82" s="35" t="s">
        <v>1525</v>
      </c>
      <c r="E82" s="35" t="s">
        <v>29</v>
      </c>
      <c r="F82" s="35" t="s">
        <v>1401</v>
      </c>
      <c r="G82" s="36">
        <v>1</v>
      </c>
      <c r="H82" s="126" t="str" cm="1">
        <f t="array" ref="H82:L101">IF(ISNUMBER(G82),_xlfn.LET(_xlpm.lookupID, F82,_xlpm.masterQty, G82,_xlpm.isAssembly,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Communication Adapter, 2 Ethernet/IP Ports</v>
      </c>
      <c r="I82" t="str">
        <v>1734-AENTR</v>
      </c>
      <c r="J82">
        <v>0</v>
      </c>
      <c r="K82" s="3">
        <v>726.34452999999996</v>
      </c>
      <c r="L82" t="str">
        <v>RIO</v>
      </c>
      <c r="M82" cm="1">
        <f t="array" ref="M82:N101">_xlfn._xlws.FILTER(AssembliesDB[PanelAssy]:AssembliesDB[ShopAssy],AssembliesDB[Assembly_ID]=F82,"")</f>
        <v>1</v>
      </c>
      <c r="N82">
        <v>0</v>
      </c>
      <c r="O82" s="19">
        <v>1</v>
      </c>
      <c r="P82" s="3">
        <f t="shared" si="5"/>
        <v>726.34452999999996</v>
      </c>
      <c r="Q82" s="93" cm="1">
        <f t="array" ref="Q82">IF(ISNUMBER(O82),_xlfn._xlws.FILTER(PartsDB[Hrs_ShopAssy]*N82*O82,PartsDB[Catalog]=I82),"")</f>
        <v>0</v>
      </c>
      <c r="R82" s="92" cm="1">
        <f t="array" ref="R82">IF(ISNUMBER(O82),_xlfn._xlws.FILTER(PartsDB[Hrs_Eng]*O82,PartsDB[Catalog]=I82),"")</f>
        <v>0.2</v>
      </c>
      <c r="S82" s="92" cm="1">
        <f t="array" ref="S82">IF(ISNUMBER(O82),_xlfn._xlws.FILTER(PartsDB[Hrs_PanelAssy]*M82*O82,PartsDB[Catalog]=I82),"")</f>
        <v>0.5</v>
      </c>
    </row>
    <row r="83" spans="1:19" ht="16.5" thickTop="1" thickBot="1" x14ac:dyDescent="0.3">
      <c r="A83" s="96" t="str">
        <f>IF(B83="","",MAX(A$4:A82)+1)</f>
        <v/>
      </c>
      <c r="B83" s="99" t="str">
        <f t="shared" si="3"/>
        <v/>
      </c>
      <c r="C83" s="35"/>
      <c r="D83" s="35"/>
      <c r="E83" s="35"/>
      <c r="F83" s="35"/>
      <c r="G83" s="36"/>
      <c r="H83" s="126" t="str">
        <v>Expansion Power Supply, 24VDC Input, 400mA, Horizontal Mounting</v>
      </c>
      <c r="I83" t="str">
        <v>1734-EP24DC</v>
      </c>
      <c r="J83">
        <v>0</v>
      </c>
      <c r="K83" s="3">
        <v>226.51141000000001</v>
      </c>
      <c r="L83" t="str">
        <v>RIO</v>
      </c>
      <c r="M83">
        <v>1</v>
      </c>
      <c r="N83">
        <v>0</v>
      </c>
      <c r="O83" s="19">
        <f t="shared" si="4"/>
        <v>0</v>
      </c>
      <c r="P83" s="3">
        <f t="shared" si="5"/>
        <v>0</v>
      </c>
      <c r="Q83" s="93" cm="1">
        <f t="array" ref="Q83">IF(ISNUMBER(O83),_xlfn._xlws.FILTER(PartsDB[Hrs_ShopAssy]*N83*O83,PartsDB[Catalog]=I83),"")</f>
        <v>0</v>
      </c>
      <c r="R83" s="92" cm="1">
        <f t="array" ref="R83">IF(ISNUMBER(O83),_xlfn._xlws.FILTER(PartsDB[Hrs_Eng]*O83,PartsDB[Catalog]=I83),"")</f>
        <v>0</v>
      </c>
      <c r="S83" s="92" cm="1">
        <f t="array" ref="S83">IF(ISNUMBER(O83),_xlfn._xlws.FILTER(PartsDB[Hrs_PanelAssy]*M83*O83,PartsDB[Catalog]=I83),"")</f>
        <v>0</v>
      </c>
    </row>
    <row r="84" spans="1:19" ht="16.5" thickTop="1" thickBot="1" x14ac:dyDescent="0.3">
      <c r="A84" s="96" t="str">
        <f>IF(B84="","",MAX(A$4:A83)+1)</f>
        <v/>
      </c>
      <c r="B84" s="99" t="str">
        <f t="shared" si="3"/>
        <v/>
      </c>
      <c r="C84" s="35"/>
      <c r="D84" s="35"/>
      <c r="E84" s="35"/>
      <c r="F84" s="35"/>
      <c r="G84" s="36"/>
      <c r="H84" s="126" t="str">
        <v>Field Power Distributor, 10 - 28.8VDC, 120/240VAC Operating Range</v>
      </c>
      <c r="I84" t="str">
        <v>1734-FPD</v>
      </c>
      <c r="J84">
        <v>0</v>
      </c>
      <c r="K84" s="3">
        <v>127.79816</v>
      </c>
      <c r="L84" t="str">
        <v>RIO</v>
      </c>
      <c r="M84">
        <v>1</v>
      </c>
      <c r="N84">
        <v>0</v>
      </c>
      <c r="O84" s="19">
        <f t="shared" si="4"/>
        <v>0</v>
      </c>
      <c r="P84" s="3">
        <f t="shared" si="5"/>
        <v>0</v>
      </c>
      <c r="Q84" s="93" cm="1">
        <f t="array" ref="Q84">IF(ISNUMBER(O84),_xlfn._xlws.FILTER(PartsDB[Hrs_ShopAssy]*N84*O84,PartsDB[Catalog]=I84),"")</f>
        <v>0</v>
      </c>
      <c r="R84" s="92" cm="1">
        <f t="array" ref="R84">IF(ISNUMBER(O84),_xlfn._xlws.FILTER(PartsDB[Hrs_Eng]*O84,PartsDB[Catalog]=I84),"")</f>
        <v>0</v>
      </c>
      <c r="S84" s="92" cm="1">
        <f t="array" ref="S84">IF(ISNUMBER(O84),_xlfn._xlws.FILTER(PartsDB[Hrs_PanelAssy]*M84*O84,PartsDB[Catalog]=I84),"")</f>
        <v>0</v>
      </c>
    </row>
    <row r="85" spans="1:19" ht="16.5" thickTop="1" thickBot="1" x14ac:dyDescent="0.3">
      <c r="A85" s="96" t="str">
        <f>IF(B85="","",MAX(A$4:A84)+1)</f>
        <v/>
      </c>
      <c r="B85" s="99" t="str">
        <f t="shared" si="3"/>
        <v/>
      </c>
      <c r="C85" s="35"/>
      <c r="D85" s="35"/>
      <c r="E85" s="35"/>
      <c r="F85" s="35"/>
      <c r="G85" s="36"/>
      <c r="H85" s="126" t="str">
        <v>I/O Module, Series C Digital AC Input, 4 Non-Isolated Channel</v>
      </c>
      <c r="I85" t="str">
        <v>1734-IA4</v>
      </c>
      <c r="J85">
        <v>0</v>
      </c>
      <c r="K85" s="3">
        <v>163.14282</v>
      </c>
      <c r="L85" t="str">
        <v>RIO</v>
      </c>
      <c r="M85">
        <v>1</v>
      </c>
      <c r="N85">
        <v>0</v>
      </c>
      <c r="O85" s="19">
        <f t="shared" si="4"/>
        <v>0</v>
      </c>
      <c r="P85" s="3">
        <f t="shared" si="5"/>
        <v>0</v>
      </c>
      <c r="Q85" s="93" cm="1">
        <f t="array" ref="Q85">IF(ISNUMBER(O85),_xlfn._xlws.FILTER(PartsDB[Hrs_ShopAssy]*N85*O85,PartsDB[Catalog]=I85),"")</f>
        <v>0</v>
      </c>
      <c r="R85" s="92" cm="1">
        <f t="array" ref="R85">IF(ISNUMBER(O85),_xlfn._xlws.FILTER(PartsDB[Hrs_Eng]*O85,PartsDB[Catalog]=I85),"")</f>
        <v>0</v>
      </c>
      <c r="S85" s="92" cm="1">
        <f t="array" ref="S85">IF(ISNUMBER(O85),_xlfn._xlws.FILTER(PartsDB[Hrs_PanelAssy]*M85*O85,PartsDB[Catalog]=I85),"")</f>
        <v>0</v>
      </c>
    </row>
    <row r="86" spans="1:19" ht="16.5" thickTop="1" thickBot="1" x14ac:dyDescent="0.3">
      <c r="A86" s="96" t="str">
        <f>IF(B86="","",MAX(A$4:A85)+1)</f>
        <v/>
      </c>
      <c r="B86" s="99" t="str">
        <f t="shared" si="3"/>
        <v/>
      </c>
      <c r="C86" s="35"/>
      <c r="D86" s="35"/>
      <c r="E86" s="35"/>
      <c r="F86" s="35"/>
      <c r="G86" s="36"/>
      <c r="H86" s="126" t="str">
        <v>I/O Module, Digital DC Input, 4 Channel, DIN Rail, 24VDC</v>
      </c>
      <c r="I86" t="str">
        <v>1734-IB4</v>
      </c>
      <c r="J86">
        <v>0</v>
      </c>
      <c r="K86" s="3">
        <v>82.925920000000005</v>
      </c>
      <c r="L86" t="str">
        <v>RIO</v>
      </c>
      <c r="M86">
        <v>1</v>
      </c>
      <c r="N86">
        <v>0</v>
      </c>
      <c r="O86" s="19">
        <f t="shared" si="4"/>
        <v>0</v>
      </c>
      <c r="P86" s="3">
        <f t="shared" si="5"/>
        <v>0</v>
      </c>
      <c r="Q86" s="93" cm="1">
        <f t="array" ref="Q86">IF(ISNUMBER(O86),_xlfn._xlws.FILTER(PartsDB[Hrs_ShopAssy]*N86*O86,PartsDB[Catalog]=I86),"")</f>
        <v>0</v>
      </c>
      <c r="R86" s="92" cm="1">
        <f t="array" ref="R86">IF(ISNUMBER(O86),_xlfn._xlws.FILTER(PartsDB[Hrs_Eng]*O86,PartsDB[Catalog]=I86),"")</f>
        <v>0</v>
      </c>
      <c r="S86" s="92" cm="1">
        <f t="array" ref="S86">IF(ISNUMBER(O86),_xlfn._xlws.FILTER(PartsDB[Hrs_PanelAssy]*M86*O86,PartsDB[Catalog]=I86),"")</f>
        <v>0</v>
      </c>
    </row>
    <row r="87" spans="1:19" ht="16.5" thickTop="1" thickBot="1" x14ac:dyDescent="0.3">
      <c r="A87" s="96" t="str">
        <f>IF(B87="","",MAX(A$4:A86)+1)</f>
        <v/>
      </c>
      <c r="B87" s="99" t="str">
        <f t="shared" si="3"/>
        <v/>
      </c>
      <c r="C87" s="35"/>
      <c r="D87" s="35"/>
      <c r="E87" s="35"/>
      <c r="F87" s="35"/>
      <c r="G87" s="36"/>
      <c r="H87" s="126" t="str">
        <v>I/O Module, Digital DC Input, 8 Channel, DIN Rail, 24VDC</v>
      </c>
      <c r="I87" t="str">
        <v>1734-IB8</v>
      </c>
      <c r="J87">
        <v>0</v>
      </c>
      <c r="K87" s="3">
        <v>138.20987</v>
      </c>
      <c r="L87" t="str">
        <v>RIO</v>
      </c>
      <c r="M87">
        <v>1</v>
      </c>
      <c r="N87">
        <v>0</v>
      </c>
      <c r="O87" s="19">
        <v>5</v>
      </c>
      <c r="P87" s="3">
        <f t="shared" si="5"/>
        <v>691.04935</v>
      </c>
      <c r="Q87" s="93" cm="1">
        <f t="array" ref="Q87">IF(ISNUMBER(O87),_xlfn._xlws.FILTER(PartsDB[Hrs_ShopAssy]*N87*O87,PartsDB[Catalog]=I87),"")</f>
        <v>0</v>
      </c>
      <c r="R87" s="92" cm="1">
        <f t="array" ref="R87">IF(ISNUMBER(O87),_xlfn._xlws.FILTER(PartsDB[Hrs_Eng]*O87,PartsDB[Catalog]=I87),"")</f>
        <v>4</v>
      </c>
      <c r="S87" s="92" cm="1">
        <f t="array" ref="S87">IF(ISNUMBER(O87),_xlfn._xlws.FILTER(PartsDB[Hrs_PanelAssy]*M87*O87,PartsDB[Catalog]=I87),"")</f>
        <v>4</v>
      </c>
    </row>
    <row r="88" spans="1:19" ht="16.5" thickTop="1" thickBot="1" x14ac:dyDescent="0.3">
      <c r="A88" s="96" t="str">
        <f>IF(B88="","",MAX(A$4:A87)+1)</f>
        <v/>
      </c>
      <c r="B88" s="99" t="str">
        <f t="shared" si="3"/>
        <v/>
      </c>
      <c r="C88" s="35"/>
      <c r="D88" s="35"/>
      <c r="E88" s="35"/>
      <c r="F88" s="35"/>
      <c r="G88" s="36"/>
      <c r="H88" s="126" t="str">
        <v>I/O Module, Safety, 8 Point Input</v>
      </c>
      <c r="I88" t="str">
        <v>1734-IB8S</v>
      </c>
      <c r="J88">
        <v>0</v>
      </c>
      <c r="K88" s="3">
        <v>582.92172000000005</v>
      </c>
      <c r="L88" t="str">
        <v>RIO</v>
      </c>
      <c r="M88">
        <v>1</v>
      </c>
      <c r="N88">
        <v>0</v>
      </c>
      <c r="O88" s="19">
        <v>1</v>
      </c>
      <c r="P88" s="3">
        <f t="shared" si="5"/>
        <v>582.92172000000005</v>
      </c>
      <c r="Q88" s="93" cm="1">
        <f t="array" ref="Q88">IF(ISNUMBER(O88),_xlfn._xlws.FILTER(PartsDB[Hrs_ShopAssy]*N88*O88,PartsDB[Catalog]=I88),"")</f>
        <v>0</v>
      </c>
      <c r="R88" s="92" cm="1">
        <f t="array" ref="R88">IF(ISNUMBER(O88),_xlfn._xlws.FILTER(PartsDB[Hrs_Eng]*O88,PartsDB[Catalog]=I88),"")</f>
        <v>0.8</v>
      </c>
      <c r="S88" s="92" cm="1">
        <f t="array" ref="S88">IF(ISNUMBER(O88),_xlfn._xlws.FILTER(PartsDB[Hrs_PanelAssy]*M88*O88,PartsDB[Catalog]=I88),"")</f>
        <v>0.8</v>
      </c>
    </row>
    <row r="89" spans="1:19" ht="16.5" thickTop="1" thickBot="1" x14ac:dyDescent="0.3">
      <c r="A89" s="96" t="str">
        <f>IF(B89="","",MAX(A$4:A88)+1)</f>
        <v/>
      </c>
      <c r="B89" s="99" t="str">
        <f t="shared" si="3"/>
        <v/>
      </c>
      <c r="C89" s="35"/>
      <c r="D89" s="35"/>
      <c r="E89" s="35"/>
      <c r="F89" s="35"/>
      <c r="G89" s="36"/>
      <c r="H89" s="126" t="str">
        <v>I/O Module, Analog, 2 Inputs, Single Ended, 75mA</v>
      </c>
      <c r="I89" t="str">
        <v>1734-IE2C</v>
      </c>
      <c r="J89">
        <v>0</v>
      </c>
      <c r="K89" s="3">
        <v>364.72129000000001</v>
      </c>
      <c r="L89" t="str">
        <v>RIO</v>
      </c>
      <c r="M89">
        <v>1</v>
      </c>
      <c r="N89">
        <v>0</v>
      </c>
      <c r="O89" s="19">
        <f t="shared" si="4"/>
        <v>0</v>
      </c>
      <c r="P89" s="3">
        <f t="shared" si="5"/>
        <v>0</v>
      </c>
      <c r="Q89" s="93" cm="1">
        <f t="array" ref="Q89">IF(ISNUMBER(O89),_xlfn._xlws.FILTER(PartsDB[Hrs_ShopAssy]*N89*O89,PartsDB[Catalog]=I89),"")</f>
        <v>0</v>
      </c>
      <c r="R89" s="92" cm="1">
        <f t="array" ref="R89">IF(ISNUMBER(O89),_xlfn._xlws.FILTER(PartsDB[Hrs_Eng]*O89,PartsDB[Catalog]=I89),"")</f>
        <v>0</v>
      </c>
      <c r="S89" s="92" cm="1">
        <f t="array" ref="S89">IF(ISNUMBER(O89),_xlfn._xlws.FILTER(PartsDB[Hrs_PanelAssy]*M89*O89,PartsDB[Catalog]=I89),"")</f>
        <v>0</v>
      </c>
    </row>
    <row r="90" spans="1:19" ht="16.5" thickTop="1" thickBot="1" x14ac:dyDescent="0.3">
      <c r="A90" s="96" t="str">
        <f>IF(B90="","",MAX(A$4:A89)+1)</f>
        <v/>
      </c>
      <c r="B90" s="99" t="str">
        <f t="shared" si="3"/>
        <v/>
      </c>
      <c r="C90" s="35"/>
      <c r="D90" s="35"/>
      <c r="E90" s="35"/>
      <c r="F90" s="35"/>
      <c r="G90" s="36"/>
      <c r="H90" s="126" t="str">
        <v>I/O Module, Analog, 2 Inputs, Single Ended, 75mA</v>
      </c>
      <c r="I90" t="str">
        <v>1734-IE2V</v>
      </c>
      <c r="J90">
        <v>0</v>
      </c>
      <c r="K90" s="3">
        <v>348.09931999999998</v>
      </c>
      <c r="L90" t="str">
        <v>RIO</v>
      </c>
      <c r="M90">
        <v>1</v>
      </c>
      <c r="N90">
        <v>0</v>
      </c>
      <c r="O90" s="19">
        <f t="shared" si="4"/>
        <v>0</v>
      </c>
      <c r="P90" s="3">
        <f t="shared" si="5"/>
        <v>0</v>
      </c>
      <c r="Q90" s="93" cm="1">
        <f t="array" ref="Q90">IF(ISNUMBER(O90),_xlfn._xlws.FILTER(PartsDB[Hrs_ShopAssy]*N90*O90,PartsDB[Catalog]=I90),"")</f>
        <v>0</v>
      </c>
      <c r="R90" s="92" cm="1">
        <f t="array" ref="R90">IF(ISNUMBER(O90),_xlfn._xlws.FILTER(PartsDB[Hrs_Eng]*O90,PartsDB[Catalog]=I90),"")</f>
        <v>0</v>
      </c>
      <c r="S90" s="92" cm="1">
        <f t="array" ref="S90">IF(ISNUMBER(O90),_xlfn._xlws.FILTER(PartsDB[Hrs_PanelAssy]*M90*O90,PartsDB[Catalog]=I90),"")</f>
        <v>0</v>
      </c>
    </row>
    <row r="91" spans="1:19" ht="16.5" thickTop="1" thickBot="1" x14ac:dyDescent="0.3">
      <c r="A91" s="96" t="str">
        <f>IF(B91="","",MAX(A$4:A90)+1)</f>
        <v/>
      </c>
      <c r="B91" s="99" t="str">
        <f t="shared" si="3"/>
        <v/>
      </c>
      <c r="C91" s="35"/>
      <c r="D91" s="35"/>
      <c r="E91" s="35"/>
      <c r="F91" s="35"/>
      <c r="G91" s="36"/>
      <c r="H91" s="126" t="str">
        <v>I/O Module, Analog, 4 Inputs, Single Ended, 75mA</v>
      </c>
      <c r="I91" t="str">
        <v>1734-IE4C</v>
      </c>
      <c r="J91">
        <v>0</v>
      </c>
      <c r="K91" s="3">
        <v>578.80512999999996</v>
      </c>
      <c r="L91" t="str">
        <v>RIO</v>
      </c>
      <c r="M91">
        <v>1</v>
      </c>
      <c r="N91">
        <v>0</v>
      </c>
      <c r="O91" s="19">
        <f t="shared" si="4"/>
        <v>0</v>
      </c>
      <c r="P91" s="3">
        <f t="shared" si="5"/>
        <v>0</v>
      </c>
      <c r="Q91" s="93" cm="1">
        <f t="array" ref="Q91">IF(ISNUMBER(O91),_xlfn._xlws.FILTER(PartsDB[Hrs_ShopAssy]*N91*O91,PartsDB[Catalog]=I91),"")</f>
        <v>0</v>
      </c>
      <c r="R91" s="92" cm="1">
        <f t="array" ref="R91">IF(ISNUMBER(O91),_xlfn._xlws.FILTER(PartsDB[Hrs_Eng]*O91,PartsDB[Catalog]=I91),"")</f>
        <v>0</v>
      </c>
      <c r="S91" s="92" cm="1">
        <f t="array" ref="S91">IF(ISNUMBER(O91),_xlfn._xlws.FILTER(PartsDB[Hrs_PanelAssy]*M91*O91,PartsDB[Catalog]=I91),"")</f>
        <v>0</v>
      </c>
    </row>
    <row r="92" spans="1:19" ht="16.5" thickTop="1" thickBot="1" x14ac:dyDescent="0.3">
      <c r="A92" s="96" t="str">
        <f>IF(B92="","",MAX(A$4:A91)+1)</f>
        <v/>
      </c>
      <c r="B92" s="99" t="str">
        <f t="shared" si="3"/>
        <v/>
      </c>
      <c r="C92" s="35"/>
      <c r="D92" s="35"/>
      <c r="E92" s="35"/>
      <c r="F92" s="35"/>
      <c r="G92" s="36"/>
      <c r="H92" s="126" t="str">
        <v>I/O Module, Series C Digital AC Output, 4 Non-Isolated Channel</v>
      </c>
      <c r="I92" t="str">
        <v>1734-OA4</v>
      </c>
      <c r="J92">
        <v>0</v>
      </c>
      <c r="K92" s="3">
        <v>207.82408000000001</v>
      </c>
      <c r="L92" t="str">
        <v>RIO</v>
      </c>
      <c r="M92">
        <v>1</v>
      </c>
      <c r="N92">
        <v>0</v>
      </c>
      <c r="O92" s="19">
        <f t="shared" si="4"/>
        <v>0</v>
      </c>
      <c r="P92" s="3">
        <f t="shared" si="5"/>
        <v>0</v>
      </c>
      <c r="Q92" s="93" cm="1">
        <f t="array" ref="Q92">IF(ISNUMBER(O92),_xlfn._xlws.FILTER(PartsDB[Hrs_ShopAssy]*N92*O92,PartsDB[Catalog]=I92),"")</f>
        <v>0</v>
      </c>
      <c r="R92" s="92" cm="1">
        <f t="array" ref="R92">IF(ISNUMBER(O92),_xlfn._xlws.FILTER(PartsDB[Hrs_Eng]*O92,PartsDB[Catalog]=I92),"")</f>
        <v>0</v>
      </c>
      <c r="S92" s="92" cm="1">
        <f t="array" ref="S92">IF(ISNUMBER(O92),_xlfn._xlws.FILTER(PartsDB[Hrs_PanelAssy]*M92*O92,PartsDB[Catalog]=I92),"")</f>
        <v>0</v>
      </c>
    </row>
    <row r="93" spans="1:19" ht="16.5" thickTop="1" thickBot="1" x14ac:dyDescent="0.3">
      <c r="A93" s="96" t="str">
        <f>IF(B93="","",MAX(A$4:A92)+1)</f>
        <v/>
      </c>
      <c r="B93" s="99" t="str">
        <f t="shared" si="3"/>
        <v/>
      </c>
      <c r="C93" s="35"/>
      <c r="D93" s="35"/>
      <c r="E93" s="35"/>
      <c r="F93" s="35"/>
      <c r="G93" s="36"/>
      <c r="H93" s="126" t="str">
        <v>I/O Module, Digital DC Output, 4 Channel, Current Sourcing, 24VDC</v>
      </c>
      <c r="I93" t="str">
        <v>1734-OB4</v>
      </c>
      <c r="J93">
        <v>0</v>
      </c>
      <c r="K93" s="3">
        <v>95.502030000000005</v>
      </c>
      <c r="L93" t="str">
        <v>RIO</v>
      </c>
      <c r="M93">
        <v>1</v>
      </c>
      <c r="N93">
        <v>0</v>
      </c>
      <c r="O93" s="19">
        <f t="shared" si="4"/>
        <v>0</v>
      </c>
      <c r="P93" s="3">
        <f t="shared" si="5"/>
        <v>0</v>
      </c>
      <c r="Q93" s="93" cm="1">
        <f t="array" ref="Q93">IF(ISNUMBER(O93),_xlfn._xlws.FILTER(PartsDB[Hrs_ShopAssy]*N93*O93,PartsDB[Catalog]=I93),"")</f>
        <v>0</v>
      </c>
      <c r="R93" s="92" cm="1">
        <f t="array" ref="R93">IF(ISNUMBER(O93),_xlfn._xlws.FILTER(PartsDB[Hrs_Eng]*O93,PartsDB[Catalog]=I93),"")</f>
        <v>0</v>
      </c>
      <c r="S93" s="92" cm="1">
        <f t="array" ref="S93">IF(ISNUMBER(O93),_xlfn._xlws.FILTER(PartsDB[Hrs_PanelAssy]*M93*O93,PartsDB[Catalog]=I93),"")</f>
        <v>0</v>
      </c>
    </row>
    <row r="94" spans="1:19" ht="16.5" thickTop="1" thickBot="1" x14ac:dyDescent="0.3">
      <c r="A94" s="96" t="str">
        <f>IF(B94="","",MAX(A$4:A93)+1)</f>
        <v/>
      </c>
      <c r="B94" s="99" t="str">
        <f t="shared" si="3"/>
        <v/>
      </c>
      <c r="C94" s="35"/>
      <c r="D94" s="35"/>
      <c r="E94" s="35"/>
      <c r="F94" s="35"/>
      <c r="G94" s="36"/>
      <c r="H94" s="126" t="str">
        <v>I/O Module, 24VDC, 8 Current Sourcing, 75mA, Pointbus Current</v>
      </c>
      <c r="I94" t="str">
        <v>1734-OB8</v>
      </c>
      <c r="J94">
        <v>0</v>
      </c>
      <c r="K94" s="3">
        <v>155.88574</v>
      </c>
      <c r="L94" t="str">
        <v>RIO</v>
      </c>
      <c r="M94">
        <v>1</v>
      </c>
      <c r="N94">
        <v>0</v>
      </c>
      <c r="O94" s="19">
        <v>2</v>
      </c>
      <c r="P94" s="3">
        <f t="shared" si="5"/>
        <v>311.77148</v>
      </c>
      <c r="Q94" s="93" cm="1">
        <f t="array" ref="Q94">IF(ISNUMBER(O94),_xlfn._xlws.FILTER(PartsDB[Hrs_ShopAssy]*N94*O94,PartsDB[Catalog]=I94),"")</f>
        <v>0</v>
      </c>
      <c r="R94" s="92" cm="1">
        <f t="array" ref="R94">IF(ISNUMBER(O94),_xlfn._xlws.FILTER(PartsDB[Hrs_Eng]*O94,PartsDB[Catalog]=I94),"")</f>
        <v>1.6</v>
      </c>
      <c r="S94" s="92" cm="1">
        <f t="array" ref="S94">IF(ISNUMBER(O94),_xlfn._xlws.FILTER(PartsDB[Hrs_PanelAssy]*M94*O94,PartsDB[Catalog]=I94),"")</f>
        <v>1.6</v>
      </c>
    </row>
    <row r="95" spans="1:19" ht="16.5" thickTop="1" thickBot="1" x14ac:dyDescent="0.3">
      <c r="A95" s="96" t="str">
        <f>IF(B95="","",MAX(A$4:A94)+1)</f>
        <v/>
      </c>
      <c r="B95" s="99" t="str">
        <f t="shared" si="3"/>
        <v/>
      </c>
      <c r="C95" s="35"/>
      <c r="D95" s="35"/>
      <c r="E95" s="35"/>
      <c r="F95" s="35"/>
      <c r="G95" s="36"/>
      <c r="H95" s="126" t="str">
        <v>I/O Module, Safety, Digital DC Output, 8 Channel, Current Sourcing</v>
      </c>
      <c r="I95" t="str">
        <v>1734-OB8S</v>
      </c>
      <c r="J95">
        <v>0</v>
      </c>
      <c r="K95" s="3">
        <v>677.61740999999995</v>
      </c>
      <c r="L95" t="str">
        <v>RIO</v>
      </c>
      <c r="M95">
        <v>1</v>
      </c>
      <c r="N95">
        <v>0</v>
      </c>
      <c r="O95" s="19">
        <f t="shared" si="4"/>
        <v>0</v>
      </c>
      <c r="P95" s="3">
        <f t="shared" si="5"/>
        <v>0</v>
      </c>
      <c r="Q95" s="93" cm="1">
        <f t="array" ref="Q95">IF(ISNUMBER(O95),_xlfn._xlws.FILTER(PartsDB[Hrs_ShopAssy]*N95*O95,PartsDB[Catalog]=I95),"")</f>
        <v>0</v>
      </c>
      <c r="R95" s="92" cm="1">
        <f t="array" ref="R95">IF(ISNUMBER(O95),_xlfn._xlws.FILTER(PartsDB[Hrs_Eng]*O95,PartsDB[Catalog]=I95),"")</f>
        <v>0</v>
      </c>
      <c r="S95" s="92" cm="1">
        <f t="array" ref="S95">IF(ISNUMBER(O95),_xlfn._xlws.FILTER(PartsDB[Hrs_PanelAssy]*M95*O95,PartsDB[Catalog]=I95),"")</f>
        <v>0</v>
      </c>
    </row>
    <row r="96" spans="1:19" ht="16.5" thickTop="1" thickBot="1" x14ac:dyDescent="0.3">
      <c r="A96" s="96" t="str">
        <f>IF(B96="","",MAX(A$4:A95)+1)</f>
        <v/>
      </c>
      <c r="B96" s="99" t="str">
        <f t="shared" si="3"/>
        <v/>
      </c>
      <c r="C96" s="35"/>
      <c r="D96" s="35"/>
      <c r="E96" s="35"/>
      <c r="F96" s="35"/>
      <c r="G96" s="36"/>
      <c r="H96" s="126" t="str">
        <v>I/O Module, Analog, 2 Single Ended Outputs, 75mA, Pointbus Current</v>
      </c>
      <c r="I96" t="str">
        <v>1734-OE2C</v>
      </c>
      <c r="J96">
        <v>0</v>
      </c>
      <c r="K96" s="3">
        <v>375.11885999999998</v>
      </c>
      <c r="L96" t="str">
        <v>RIO</v>
      </c>
      <c r="M96">
        <v>1</v>
      </c>
      <c r="N96">
        <v>0</v>
      </c>
      <c r="O96" s="19">
        <f t="shared" si="4"/>
        <v>0</v>
      </c>
      <c r="P96" s="3">
        <f t="shared" si="5"/>
        <v>0</v>
      </c>
      <c r="Q96" s="93" cm="1">
        <f t="array" ref="Q96">IF(ISNUMBER(O96),_xlfn._xlws.FILTER(PartsDB[Hrs_ShopAssy]*N96*O96,PartsDB[Catalog]=I96),"")</f>
        <v>0</v>
      </c>
      <c r="R96" s="92" cm="1">
        <f t="array" ref="R96">IF(ISNUMBER(O96),_xlfn._xlws.FILTER(PartsDB[Hrs_Eng]*O96,PartsDB[Catalog]=I96),"")</f>
        <v>0</v>
      </c>
      <c r="S96" s="92" cm="1">
        <f t="array" ref="S96">IF(ISNUMBER(O96),_xlfn._xlws.FILTER(PartsDB[Hrs_PanelAssy]*M96*O96,PartsDB[Catalog]=I96),"")</f>
        <v>0</v>
      </c>
    </row>
    <row r="97" spans="1:19" ht="16.5" thickTop="1" thickBot="1" x14ac:dyDescent="0.3">
      <c r="A97" s="96" t="str">
        <f>IF(B97="","",MAX(A$4:A96)+1)</f>
        <v/>
      </c>
      <c r="B97" s="99" t="str">
        <f t="shared" si="3"/>
        <v/>
      </c>
      <c r="C97" s="35"/>
      <c r="D97" s="35"/>
      <c r="E97" s="35"/>
      <c r="F97" s="35"/>
      <c r="G97" s="36"/>
      <c r="H97" s="126" t="str">
        <v>I/O Module, Analog, 2 Single Ended Outputs, 75mA, Pointbus Current</v>
      </c>
      <c r="I97" t="str">
        <v>1734-OE2V</v>
      </c>
      <c r="J97">
        <v>0</v>
      </c>
      <c r="K97" s="3">
        <v>362.64884999999998</v>
      </c>
      <c r="L97" t="str">
        <v>RIO</v>
      </c>
      <c r="M97">
        <v>1</v>
      </c>
      <c r="N97">
        <v>0</v>
      </c>
      <c r="O97" s="19">
        <f t="shared" si="4"/>
        <v>0</v>
      </c>
      <c r="P97" s="3">
        <f t="shared" si="5"/>
        <v>0</v>
      </c>
      <c r="Q97" s="93" cm="1">
        <f t="array" ref="Q97">IF(ISNUMBER(O97),_xlfn._xlws.FILTER(PartsDB[Hrs_ShopAssy]*N97*O97,PartsDB[Catalog]=I97),"")</f>
        <v>0</v>
      </c>
      <c r="R97" s="92" cm="1">
        <f t="array" ref="R97">IF(ISNUMBER(O97),_xlfn._xlws.FILTER(PartsDB[Hrs_Eng]*O97,PartsDB[Catalog]=I97),"")</f>
        <v>0</v>
      </c>
      <c r="S97" s="92" cm="1">
        <f t="array" ref="S97">IF(ISNUMBER(O97),_xlfn._xlws.FILTER(PartsDB[Hrs_PanelAssy]*M97*O97,PartsDB[Catalog]=I97),"")</f>
        <v>0</v>
      </c>
    </row>
    <row r="98" spans="1:19" ht="16.5" thickTop="1" thickBot="1" x14ac:dyDescent="0.3">
      <c r="A98" s="96" t="str">
        <f>IF(B98="","",MAX(A$4:A97)+1)</f>
        <v/>
      </c>
      <c r="B98" s="99" t="str">
        <f t="shared" si="3"/>
        <v/>
      </c>
      <c r="C98" s="35"/>
      <c r="D98" s="35"/>
      <c r="E98" s="35"/>
      <c r="F98" s="35"/>
      <c r="G98" s="36"/>
      <c r="H98" s="126" t="str">
        <v>I/O Module, Digital Contact Output, 4 Channel</v>
      </c>
      <c r="I98" t="str">
        <v>1734-OW4</v>
      </c>
      <c r="J98">
        <v>0</v>
      </c>
      <c r="K98" s="3">
        <v>200.55285000000001</v>
      </c>
      <c r="L98" t="str">
        <v>RIO</v>
      </c>
      <c r="M98">
        <v>1</v>
      </c>
      <c r="N98">
        <v>0</v>
      </c>
      <c r="O98" s="19">
        <v>1</v>
      </c>
      <c r="P98" s="3">
        <f t="shared" si="5"/>
        <v>200.55285000000001</v>
      </c>
      <c r="Q98" s="93" cm="1">
        <f t="array" ref="Q98">IF(ISNUMBER(O98),_xlfn._xlws.FILTER(PartsDB[Hrs_ShopAssy]*N98*O98,PartsDB[Catalog]=I98),"")</f>
        <v>0</v>
      </c>
      <c r="R98" s="92" cm="1">
        <f t="array" ref="R98">IF(ISNUMBER(O98),_xlfn._xlws.FILTER(PartsDB[Hrs_Eng]*O98,PartsDB[Catalog]=I98),"")</f>
        <v>0.4</v>
      </c>
      <c r="S98" s="92" cm="1">
        <f t="array" ref="S98">IF(ISNUMBER(O98),_xlfn._xlws.FILTER(PartsDB[Hrs_PanelAssy]*M98*O98,PartsDB[Catalog]=I98),"")</f>
        <v>0.4</v>
      </c>
    </row>
    <row r="99" spans="1:19" ht="16.5" thickTop="1" thickBot="1" x14ac:dyDescent="0.3">
      <c r="A99" s="96" t="str">
        <f>IF(B99="","",MAX(A$4:A98)+1)</f>
        <v/>
      </c>
      <c r="B99" s="99" t="str">
        <f t="shared" si="3"/>
        <v/>
      </c>
      <c r="C99" s="35"/>
      <c r="D99" s="35"/>
      <c r="E99" s="35"/>
      <c r="F99" s="35"/>
      <c r="G99" s="36"/>
      <c r="H99" s="126" t="str">
        <v>Terminal Base, 8 Screw, 10A, 24VDC, 120/240VAC, DIN Rail</v>
      </c>
      <c r="I99" t="str">
        <v>1734-TB</v>
      </c>
      <c r="J99">
        <v>0</v>
      </c>
      <c r="K99" s="3">
        <v>26.913440000000001</v>
      </c>
      <c r="L99" t="str">
        <v>RIO</v>
      </c>
      <c r="M99">
        <v>1</v>
      </c>
      <c r="N99">
        <v>0</v>
      </c>
      <c r="O99" s="19">
        <v>10</v>
      </c>
      <c r="P99" s="3">
        <f t="shared" si="5"/>
        <v>269.13440000000003</v>
      </c>
      <c r="Q99" s="93" cm="1">
        <f t="array" ref="Q99">IF(ISNUMBER(O99),_xlfn._xlws.FILTER(PartsDB[Hrs_ShopAssy]*N99*O99,PartsDB[Catalog]=I99),"")</f>
        <v>0</v>
      </c>
      <c r="R99" s="92" cm="1">
        <f t="array" ref="R99">IF(ISNUMBER(O99),_xlfn._xlws.FILTER(PartsDB[Hrs_Eng]*O99,PartsDB[Catalog]=I99),"")</f>
        <v>0.5</v>
      </c>
      <c r="S99" s="92" cm="1">
        <f t="array" ref="S99">IF(ISNUMBER(O99),_xlfn._xlws.FILTER(PartsDB[Hrs_PanelAssy]*M99*O99,PartsDB[Catalog]=I99),"")</f>
        <v>1</v>
      </c>
    </row>
    <row r="100" spans="1:19" ht="16.5" thickTop="1" thickBot="1" x14ac:dyDescent="0.3">
      <c r="A100" s="96" t="str">
        <f>IF(B100="","",MAX(A$4:A99)+1)</f>
        <v/>
      </c>
      <c r="B100" s="99" t="str">
        <f t="shared" si="3"/>
        <v/>
      </c>
      <c r="C100" s="35"/>
      <c r="D100" s="35"/>
      <c r="E100" s="35"/>
      <c r="F100" s="35"/>
      <c r="G100" s="36"/>
      <c r="H100" s="126" t="str">
        <v>Terminal Module, Voltage, 8 Channel, High Density</v>
      </c>
      <c r="I100" t="str">
        <v>1734-VTM</v>
      </c>
      <c r="J100">
        <v>0</v>
      </c>
      <c r="K100" s="3">
        <v>40.409059999999997</v>
      </c>
      <c r="L100" t="str">
        <v>RIO</v>
      </c>
      <c r="M100">
        <v>1</v>
      </c>
      <c r="N100">
        <v>0</v>
      </c>
      <c r="O100" s="19">
        <f t="shared" si="4"/>
        <v>0</v>
      </c>
      <c r="P100" s="3">
        <f t="shared" si="5"/>
        <v>0</v>
      </c>
      <c r="Q100" s="93" cm="1">
        <f t="array" ref="Q100">IF(ISNUMBER(O100),_xlfn._xlws.FILTER(PartsDB[Hrs_ShopAssy]*N100*O100,PartsDB[Catalog]=I100),"")</f>
        <v>0</v>
      </c>
      <c r="R100" s="92" cm="1">
        <f t="array" ref="R100">IF(ISNUMBER(O100),_xlfn._xlws.FILTER(PartsDB[Hrs_Eng]*O100,PartsDB[Catalog]=I100),"")</f>
        <v>0</v>
      </c>
      <c r="S100" s="92" cm="1">
        <f t="array" ref="S100">IF(ISNUMBER(O100),_xlfn._xlws.FILTER(PartsDB[Hrs_PanelAssy]*M100*O100,PartsDB[Catalog]=I100),"")</f>
        <v>0</v>
      </c>
    </row>
    <row r="101" spans="1:19" ht="16.5" thickTop="1" thickBot="1" x14ac:dyDescent="0.3">
      <c r="A101" s="96" t="str">
        <f>IF(B101="","",MAX(A$4:A100)+1)</f>
        <v/>
      </c>
      <c r="B101" s="99" t="str">
        <f t="shared" si="3"/>
        <v/>
      </c>
      <c r="C101" s="35"/>
      <c r="D101" s="35"/>
      <c r="E101" s="35"/>
      <c r="F101" s="35"/>
      <c r="G101" s="36"/>
      <c r="H101" s="126" t="str">
        <v>Interface Module, POINT 4 Channel, IO-Link Master</v>
      </c>
      <c r="I101" t="str">
        <v>1734-4IOL</v>
      </c>
      <c r="J101">
        <v>0</v>
      </c>
      <c r="K101" s="3">
        <v>385.5</v>
      </c>
      <c r="L101" t="str">
        <v>RIO</v>
      </c>
      <c r="M101">
        <v>1</v>
      </c>
      <c r="N101">
        <v>0</v>
      </c>
      <c r="O101" s="19">
        <f t="shared" si="4"/>
        <v>0</v>
      </c>
      <c r="P101" s="3">
        <f t="shared" si="5"/>
        <v>0</v>
      </c>
      <c r="Q101" s="93" cm="1">
        <f t="array" ref="Q101">IF(ISNUMBER(O101),_xlfn._xlws.FILTER(PartsDB[Hrs_ShopAssy]*N101*O101,PartsDB[Catalog]=I101),"")</f>
        <v>0</v>
      </c>
      <c r="R101" s="92" cm="1">
        <f t="array" ref="R101">IF(ISNUMBER(O101),_xlfn._xlws.FILTER(PartsDB[Hrs_Eng]*O101,PartsDB[Catalog]=I101),"")</f>
        <v>0</v>
      </c>
      <c r="S101" s="92" cm="1">
        <f t="array" ref="S101">IF(ISNUMBER(O101),_xlfn._xlws.FILTER(PartsDB[Hrs_PanelAssy]*M101*O101,PartsDB[Catalog]=I101),"")</f>
        <v>0</v>
      </c>
    </row>
    <row r="102" spans="1:19" ht="16.5" thickTop="1" thickBot="1" x14ac:dyDescent="0.3">
      <c r="A102" s="96">
        <f>IF(B102="","",MAX(A$4:A101)+1)</f>
        <v>16</v>
      </c>
      <c r="B102" s="99" t="str">
        <f t="shared" si="3"/>
        <v>DRV01</v>
      </c>
      <c r="C102" s="35"/>
      <c r="D102" s="35" t="s">
        <v>1528</v>
      </c>
      <c r="E102" s="35" t="s">
        <v>610</v>
      </c>
      <c r="F102" s="35" t="s">
        <v>611</v>
      </c>
      <c r="G102" s="36">
        <v>4</v>
      </c>
      <c r="H102" s="126" t="str" cm="1">
        <f t="array" ref="H102:L102">IF(ISNUMBER(G102),_xlfn.LET(_xlpm.lookupID, F102,_xlpm.masterQty, G102,_xlpm.isAssembly,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Panel Shop Material Per Door Estimated</v>
      </c>
      <c r="I102" t="str">
        <v>MtlVFD</v>
      </c>
      <c r="J102">
        <v>4</v>
      </c>
      <c r="K102" s="3">
        <v>1000</v>
      </c>
      <c r="L102" t="str">
        <v>Assy-Mtl</v>
      </c>
      <c r="M102">
        <v>1</v>
      </c>
      <c r="N102">
        <v>1</v>
      </c>
      <c r="O102" s="19">
        <f t="shared" si="4"/>
        <v>4</v>
      </c>
      <c r="P102" s="3">
        <f t="shared" si="5"/>
        <v>4000</v>
      </c>
      <c r="Q102" s="93" cm="1">
        <f t="array" ref="Q102">IF(ISNUMBER(O102),_xlfn._xlws.FILTER(PartsDB[Hrs_ShopAssy]*N102*O102,PartsDB[Catalog]=I102),"")</f>
        <v>0</v>
      </c>
      <c r="R102" s="92" cm="1">
        <f t="array" ref="R102">IF(ISNUMBER(O102),_xlfn._xlws.FILTER(PartsDB[Hrs_Eng]*O102,PartsDB[Catalog]=I102),"")</f>
        <v>16</v>
      </c>
      <c r="S102" s="92" cm="1">
        <f t="array" ref="S102">IF(ISNUMBER(O102),_xlfn._xlws.FILTER(PartsDB[Hrs_PanelAssy]*M102*O102,PartsDB[Catalog]=I102),"")</f>
        <v>4</v>
      </c>
    </row>
    <row r="103" spans="1:19" ht="16.5" thickTop="1" thickBot="1" x14ac:dyDescent="0.3">
      <c r="A103" s="96">
        <f>IF(B103="","",MAX(A$4:A102)+1)</f>
        <v>17</v>
      </c>
      <c r="B103" s="99" t="str">
        <f t="shared" si="3"/>
        <v>DRV01</v>
      </c>
      <c r="C103" s="35"/>
      <c r="D103" s="35" t="s">
        <v>1525</v>
      </c>
      <c r="E103" s="35" t="s">
        <v>223</v>
      </c>
      <c r="F103" s="35" t="s">
        <v>920</v>
      </c>
      <c r="G103" s="36">
        <v>1</v>
      </c>
      <c r="H103" s="126" t="str" cm="1">
        <f t="array" ref="H103:L109">IF(ISNUMBER(G103),_xlfn.LET(_xlpm.lookupID, F103,_xlpm.masterQty, G103,_xlpm.isAssembly,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Breaker, Molded Case, 250 Amp, 3-Pole, 600 Volt AC, 65 kAIC, J Frame</v>
      </c>
      <c r="I103" t="str">
        <v>140G-J6H3-D25</v>
      </c>
      <c r="J103">
        <v>1</v>
      </c>
      <c r="K103" s="3">
        <v>1822.05</v>
      </c>
      <c r="L103" t="str">
        <v>MCCB</v>
      </c>
      <c r="M103" cm="1">
        <f t="array" ref="M103:N109">_xlfn._xlws.FILTER(AssembliesDB[PanelAssy]:AssembliesDB[ShopAssy],AssembliesDB[Assembly_ID]=F103,"")</f>
        <v>1</v>
      </c>
      <c r="N103">
        <v>0</v>
      </c>
      <c r="O103" s="19">
        <f t="shared" si="4"/>
        <v>1</v>
      </c>
      <c r="P103" s="3">
        <f t="shared" si="5"/>
        <v>1822.05</v>
      </c>
      <c r="Q103" s="93" cm="1">
        <f t="array" ref="Q103">IF(ISNUMBER(O103),_xlfn._xlws.FILTER(PartsDB[Hrs_ShopAssy]*N103*O103,PartsDB[Catalog]=I103),"")</f>
        <v>0</v>
      </c>
      <c r="R103" s="92" cm="1">
        <f t="array" ref="R103">IF(ISNUMBER(O103),_xlfn._xlws.FILTER(PartsDB[Hrs_Eng]*O103,PartsDB[Catalog]=I103),"")</f>
        <v>0</v>
      </c>
      <c r="S103" s="92" cm="1">
        <f t="array" ref="S103">IF(ISNUMBER(O103),_xlfn._xlws.FILTER(PartsDB[Hrs_PanelAssy]*M103*O103,PartsDB[Catalog]=I103),"")</f>
        <v>0.5</v>
      </c>
    </row>
    <row r="104" spans="1:19" ht="31.5" thickTop="1" thickBot="1" x14ac:dyDescent="0.3">
      <c r="A104" s="96" t="str">
        <f>IF(B104="","",MAX(A$4:A103)+1)</f>
        <v/>
      </c>
      <c r="B104" s="99" t="str">
        <f t="shared" si="3"/>
        <v/>
      </c>
      <c r="C104" s="35"/>
      <c r="D104" s="35"/>
      <c r="E104" s="35"/>
      <c r="F104" s="35"/>
      <c r="G104" s="36"/>
      <c r="H104" s="126" t="str">
        <v>Contactor, AC, Size 4, 100-250V 50-60 Hz/100-250V DC, 3 NO Poles, 1 N.O, 1 N.C. Auxiliary Contact, Screw Terminals</v>
      </c>
      <c r="I104" t="str">
        <v>300-EOD9311</v>
      </c>
      <c r="J104">
        <v>1</v>
      </c>
      <c r="K104" s="3">
        <v>2580.63</v>
      </c>
      <c r="L104" t="str">
        <v>CONTACTOR</v>
      </c>
      <c r="M104">
        <v>1</v>
      </c>
      <c r="N104">
        <v>0</v>
      </c>
      <c r="O104" s="19">
        <f t="shared" si="4"/>
        <v>1</v>
      </c>
      <c r="P104" s="3">
        <f t="shared" si="5"/>
        <v>2580.63</v>
      </c>
      <c r="Q104" s="93" cm="1">
        <f t="array" ref="Q104">IF(ISNUMBER(O104),_xlfn._xlws.FILTER(PartsDB[Hrs_ShopAssy]*N104*O104,PartsDB[Catalog]=I104),"")</f>
        <v>0</v>
      </c>
      <c r="R104" s="92" cm="1">
        <f t="array" ref="R104">IF(ISNUMBER(O104),_xlfn._xlws.FILTER(PartsDB[Hrs_Eng]*O104,PartsDB[Catalog]=I104),"")</f>
        <v>0.1</v>
      </c>
      <c r="S104" s="92" cm="1">
        <f t="array" ref="S104">IF(ISNUMBER(O104),_xlfn._xlws.FILTER(PartsDB[Hrs_PanelAssy]*M104*O104,PartsDB[Catalog]=I104),"")</f>
        <v>0.5</v>
      </c>
    </row>
    <row r="105" spans="1:19" ht="31.5" thickTop="1" thickBot="1" x14ac:dyDescent="0.3">
      <c r="A105" s="96" t="str">
        <f>IF(B105="","",MAX(A$4:A104)+1)</f>
        <v/>
      </c>
      <c r="B105" s="99" t="str">
        <f t="shared" si="3"/>
        <v/>
      </c>
      <c r="C105" s="35"/>
      <c r="D105" s="35"/>
      <c r="E105" s="35"/>
      <c r="F105" s="35"/>
      <c r="G105" s="36"/>
      <c r="H105" s="126" t="str">
        <v>SENSING MODULE CURRENT 20-200 AMP MOUNTS TO 100-D115 - 100-D180 CONTACTOR</v>
      </c>
      <c r="I105" t="str">
        <v>193-ESM-I-200A-D180</v>
      </c>
      <c r="J105">
        <v>1</v>
      </c>
      <c r="K105" s="3">
        <v>366.3</v>
      </c>
      <c r="L105" t="str">
        <v>OL</v>
      </c>
      <c r="M105">
        <v>1</v>
      </c>
      <c r="N105">
        <v>0</v>
      </c>
      <c r="O105" s="19">
        <f t="shared" si="4"/>
        <v>1</v>
      </c>
      <c r="P105" s="3">
        <f t="shared" si="5"/>
        <v>366.3</v>
      </c>
      <c r="Q105" s="93" cm="1">
        <f t="array" ref="Q105">IF(ISNUMBER(O105),_xlfn._xlws.FILTER(PartsDB[Hrs_ShopAssy]*N105*O105,PartsDB[Catalog]=I105),"")</f>
        <v>0</v>
      </c>
      <c r="R105" s="92" cm="1">
        <f t="array" ref="R105">IF(ISNUMBER(O105),_xlfn._xlws.FILTER(PartsDB[Hrs_Eng]*O105,PartsDB[Catalog]=I105),"")</f>
        <v>0.25</v>
      </c>
      <c r="S105" s="92" cm="1">
        <f t="array" ref="S105">IF(ISNUMBER(O105),_xlfn._xlws.FILTER(PartsDB[Hrs_PanelAssy]*M105*O105,PartsDB[Catalog]=I105),"")</f>
        <v>1</v>
      </c>
    </row>
    <row r="106" spans="1:19" ht="31.5" thickTop="1" thickBot="1" x14ac:dyDescent="0.3">
      <c r="A106" s="96" t="str">
        <f>IF(B106="","",MAX(A$4:A105)+1)</f>
        <v/>
      </c>
      <c r="B106" s="99" t="str">
        <f t="shared" si="3"/>
        <v/>
      </c>
      <c r="C106" s="35"/>
      <c r="D106" s="35"/>
      <c r="E106" s="35"/>
      <c r="F106" s="35"/>
      <c r="G106" s="36"/>
      <c r="H106" s="126" t="str">
        <v>E300 Overload Relays (193/592 IEC/NEMA), 2 IN / 2 Out Control Module, 120 Volt AC</v>
      </c>
      <c r="I106" t="str">
        <v>193-EIO-22-120</v>
      </c>
      <c r="J106">
        <v>1</v>
      </c>
      <c r="K106" s="3">
        <v>162.5</v>
      </c>
      <c r="L106" t="str">
        <v>OL</v>
      </c>
      <c r="M106">
        <v>1</v>
      </c>
      <c r="N106">
        <v>0</v>
      </c>
      <c r="O106" s="19">
        <f t="shared" si="4"/>
        <v>1</v>
      </c>
      <c r="P106" s="3">
        <f t="shared" si="5"/>
        <v>162.5</v>
      </c>
      <c r="Q106" s="93" cm="1">
        <f t="array" ref="Q106">IF(ISNUMBER(O106),_xlfn._xlws.FILTER(PartsDB[Hrs_ShopAssy]*N106*O106,PartsDB[Catalog]=I106),"")</f>
        <v>0</v>
      </c>
      <c r="R106" s="92" cm="1">
        <f t="array" ref="R106">IF(ISNUMBER(O106),_xlfn._xlws.FILTER(PartsDB[Hrs_Eng]*O106,PartsDB[Catalog]=I106),"")</f>
        <v>0.25</v>
      </c>
      <c r="S106" s="92" cm="1">
        <f t="array" ref="S106">IF(ISNUMBER(O106),_xlfn._xlws.FILTER(PartsDB[Hrs_PanelAssy]*M106*O106,PartsDB[Catalog]=I106),"")</f>
        <v>1</v>
      </c>
    </row>
    <row r="107" spans="1:19" ht="16.5" thickTop="1" thickBot="1" x14ac:dyDescent="0.3">
      <c r="A107" s="96" t="str">
        <f>IF(B107="","",MAX(A$4:A106)+1)</f>
        <v/>
      </c>
      <c r="B107" s="99" t="str">
        <f t="shared" si="3"/>
        <v/>
      </c>
      <c r="C107" s="35"/>
      <c r="D107" s="35"/>
      <c r="E107" s="35"/>
      <c r="F107" s="35"/>
      <c r="G107" s="36"/>
      <c r="H107" s="126" t="str">
        <v>Overload Relay, Electronic, Communications Module, EtherNet/IP</v>
      </c>
      <c r="I107" t="str">
        <v>193-ECM-ETR</v>
      </c>
      <c r="J107">
        <v>1</v>
      </c>
      <c r="K107" s="3">
        <v>234.52</v>
      </c>
      <c r="L107" t="str">
        <v>OL</v>
      </c>
      <c r="M107">
        <v>1</v>
      </c>
      <c r="N107">
        <v>0</v>
      </c>
      <c r="O107" s="19">
        <f t="shared" si="4"/>
        <v>1</v>
      </c>
      <c r="P107" s="3">
        <f t="shared" si="5"/>
        <v>234.52</v>
      </c>
      <c r="Q107" s="93" cm="1">
        <f t="array" ref="Q107">IF(ISNUMBER(O107),_xlfn._xlws.FILTER(PartsDB[Hrs_ShopAssy]*N107*O107,PartsDB[Catalog]=I107),"")</f>
        <v>0</v>
      </c>
      <c r="R107" s="92" cm="1">
        <f t="array" ref="R107">IF(ISNUMBER(O107),_xlfn._xlws.FILTER(PartsDB[Hrs_Eng]*O107,PartsDB[Catalog]=I107),"")</f>
        <v>0.25</v>
      </c>
      <c r="S107" s="92" cm="1">
        <f t="array" ref="S107">IF(ISNUMBER(O107),_xlfn._xlws.FILTER(PartsDB[Hrs_PanelAssy]*M107*O107,PartsDB[Catalog]=I107),"")</f>
        <v>0</v>
      </c>
    </row>
    <row r="108" spans="1:19" ht="16.5" thickTop="1" thickBot="1" x14ac:dyDescent="0.3">
      <c r="A108" s="96" t="str">
        <f>IF(B108="","",MAX(A$4:A107)+1)</f>
        <v/>
      </c>
      <c r="B108" s="99" t="str">
        <f t="shared" si="3"/>
        <v/>
      </c>
      <c r="C108" s="35"/>
      <c r="D108" s="35"/>
      <c r="E108" s="35"/>
      <c r="F108" s="35"/>
      <c r="G108" s="36"/>
      <c r="H108" s="126" t="str">
        <v>TX6A, Category 6A UTP Field Terminal RJ45 Plug</v>
      </c>
      <c r="I108" t="str">
        <v>FP6X88MTG</v>
      </c>
      <c r="J108">
        <v>2</v>
      </c>
      <c r="K108" s="3">
        <v>21.2</v>
      </c>
      <c r="L108" t="str">
        <v>COMM</v>
      </c>
      <c r="M108">
        <v>1</v>
      </c>
      <c r="N108">
        <v>0</v>
      </c>
      <c r="O108" s="19">
        <f t="shared" si="4"/>
        <v>2</v>
      </c>
      <c r="P108" s="3">
        <f t="shared" si="5"/>
        <v>42.4</v>
      </c>
      <c r="Q108" s="93" cm="1">
        <f t="array" ref="Q108">IF(ISNUMBER(O108),_xlfn._xlws.FILTER(PartsDB[Hrs_ShopAssy]*N108*O108,PartsDB[Catalog]=I108),"")</f>
        <v>0</v>
      </c>
      <c r="R108" s="92" cm="1">
        <f t="array" ref="R108">IF(ISNUMBER(O108),_xlfn._xlws.FILTER(PartsDB[Hrs_Eng]*O108,PartsDB[Catalog]=I108),"")</f>
        <v>0.2</v>
      </c>
      <c r="S108" s="92" cm="1">
        <f t="array" ref="S108">IF(ISNUMBER(O108),_xlfn._xlws.FILTER(PartsDB[Hrs_PanelAssy]*M108*O108,PartsDB[Catalog]=I108),"")</f>
        <v>0.5</v>
      </c>
    </row>
    <row r="109" spans="1:19" ht="16.5" thickTop="1" thickBot="1" x14ac:dyDescent="0.3">
      <c r="A109" s="96" t="str">
        <f>IF(B109="","",MAX(A$4:A108)+1)</f>
        <v/>
      </c>
      <c r="B109" s="99" t="str">
        <f t="shared" si="3"/>
        <v/>
      </c>
      <c r="C109" s="35"/>
      <c r="D109" s="35"/>
      <c r="E109" s="35"/>
      <c r="F109" s="35"/>
      <c r="G109" s="36"/>
      <c r="H109" s="126" t="str">
        <v>Ft. of Generic CAT6 Cable</v>
      </c>
      <c r="I109" t="str">
        <v>CAT6</v>
      </c>
      <c r="J109">
        <v>50</v>
      </c>
      <c r="K109" s="3">
        <v>1</v>
      </c>
      <c r="L109" t="str">
        <v>COMM</v>
      </c>
      <c r="M109">
        <v>1</v>
      </c>
      <c r="N109">
        <v>0</v>
      </c>
      <c r="O109" s="19">
        <f t="shared" si="4"/>
        <v>50</v>
      </c>
      <c r="P109" s="3">
        <f t="shared" si="5"/>
        <v>50</v>
      </c>
      <c r="Q109" s="93" cm="1">
        <f t="array" ref="Q109">IF(ISNUMBER(O109),_xlfn._xlws.FILTER(PartsDB[Hrs_ShopAssy]*N109*O109,PartsDB[Catalog]=I109),"")</f>
        <v>0</v>
      </c>
      <c r="R109" s="92" cm="1">
        <f t="array" ref="R109">IF(ISNUMBER(O109),_xlfn._xlws.FILTER(PartsDB[Hrs_Eng]*O109,PartsDB[Catalog]=I109),"")</f>
        <v>0</v>
      </c>
      <c r="S109" s="92" cm="1">
        <f t="array" ref="S109">IF(ISNUMBER(O109),_xlfn._xlws.FILTER(PartsDB[Hrs_PanelAssy]*M109*O109,PartsDB[Catalog]=I109),"")</f>
        <v>0</v>
      </c>
    </row>
    <row r="110" spans="1:19" ht="16.5" thickTop="1" thickBot="1" x14ac:dyDescent="0.3">
      <c r="A110" s="96" t="str">
        <f>IF(B110="","",MAX(A$4:A109)+1)</f>
        <v/>
      </c>
      <c r="B110" s="99" t="str">
        <f t="shared" si="3"/>
        <v/>
      </c>
      <c r="C110" s="35"/>
      <c r="D110" s="35"/>
      <c r="E110" s="35"/>
      <c r="F110" s="35"/>
      <c r="G110" s="36"/>
      <c r="O110" s="19" t="str">
        <f t="shared" si="4"/>
        <v/>
      </c>
      <c r="P110" s="3" t="str">
        <f t="shared" si="5"/>
        <v/>
      </c>
      <c r="Q110" s="93" t="str" cm="1">
        <f t="array" ref="Q110">IF(ISNUMBER(O110),_xlfn._xlws.FILTER(PartsDB[Hrs_ShopAssy]*N110*O110,PartsDB[Catalog]=I110),"")</f>
        <v/>
      </c>
      <c r="R110" s="92" t="str" cm="1">
        <f t="array" ref="R110">IF(ISNUMBER(O110),_xlfn._xlws.FILTER(PartsDB[Hrs_Eng]*O110,PartsDB[Catalog]=I110),"")</f>
        <v/>
      </c>
      <c r="S110" s="92" t="str" cm="1">
        <f t="array" ref="S110">IF(ISNUMBER(O110),_xlfn._xlws.FILTER(PartsDB[Hrs_PanelAssy]*M110*O110,PartsDB[Catalog]=I110),"")</f>
        <v/>
      </c>
    </row>
    <row r="111" spans="1:19" ht="16.5" thickTop="1" thickBot="1" x14ac:dyDescent="0.3">
      <c r="A111" s="96" t="str">
        <f>IF(B111="","",MAX(A$4:A110)+1)</f>
        <v/>
      </c>
      <c r="B111" s="99" t="str">
        <f t="shared" si="3"/>
        <v/>
      </c>
      <c r="C111" s="35"/>
      <c r="D111" s="35"/>
      <c r="E111" s="35"/>
      <c r="F111" s="35"/>
      <c r="G111" s="36"/>
      <c r="O111" s="19" t="str">
        <f t="shared" si="4"/>
        <v/>
      </c>
      <c r="P111" s="3" t="str">
        <f t="shared" si="5"/>
        <v/>
      </c>
      <c r="Q111" s="93" t="str" cm="1">
        <f t="array" ref="Q111">IF(ISNUMBER(O111),_xlfn._xlws.FILTER(PartsDB[Hrs_ShopAssy]*N111*O111,PartsDB[Catalog]=I111),"")</f>
        <v/>
      </c>
      <c r="R111" s="92" t="str" cm="1">
        <f t="array" ref="R111">IF(ISNUMBER(O111),_xlfn._xlws.FILTER(PartsDB[Hrs_Eng]*O111,PartsDB[Catalog]=I111),"")</f>
        <v/>
      </c>
      <c r="S111" s="92" t="str" cm="1">
        <f t="array" ref="S111">IF(ISNUMBER(O111),_xlfn._xlws.FILTER(PartsDB[Hrs_PanelAssy]*M111*O111,PartsDB[Catalog]=I111),"")</f>
        <v/>
      </c>
    </row>
    <row r="112" spans="1:19" ht="16.5" thickTop="1" thickBot="1" x14ac:dyDescent="0.3">
      <c r="A112" s="96" t="str">
        <f>IF(B112="","",MAX(A$4:A111)+1)</f>
        <v/>
      </c>
      <c r="B112" s="99" t="str">
        <f t="shared" si="3"/>
        <v/>
      </c>
      <c r="C112" s="35"/>
      <c r="D112" s="35"/>
      <c r="E112" s="35"/>
      <c r="F112" s="35"/>
      <c r="G112" s="36"/>
      <c r="O112" s="19" t="str">
        <f t="shared" si="4"/>
        <v/>
      </c>
      <c r="P112" s="3" t="str">
        <f t="shared" si="5"/>
        <v/>
      </c>
      <c r="Q112" s="93" t="str" cm="1">
        <f t="array" ref="Q112">IF(ISNUMBER(O112),_xlfn._xlws.FILTER(PartsDB[Hrs_ShopAssy]*N112*O112,PartsDB[Catalog]=I112),"")</f>
        <v/>
      </c>
      <c r="R112" s="92" t="str" cm="1">
        <f t="array" ref="R112">IF(ISNUMBER(O112),_xlfn._xlws.FILTER(PartsDB[Hrs_Eng]*O112,PartsDB[Catalog]=I112),"")</f>
        <v/>
      </c>
      <c r="S112" s="92" t="str" cm="1">
        <f t="array" ref="S112">IF(ISNUMBER(O112),_xlfn._xlws.FILTER(PartsDB[Hrs_PanelAssy]*M112*O112,PartsDB[Catalog]=I112),"")</f>
        <v/>
      </c>
    </row>
    <row r="113" spans="1:19" ht="16.5" thickTop="1" thickBot="1" x14ac:dyDescent="0.3">
      <c r="A113" s="96" t="str">
        <f>IF(B113="","",MAX(A$4:A112)+1)</f>
        <v/>
      </c>
      <c r="B113" s="99" t="str">
        <f t="shared" si="3"/>
        <v/>
      </c>
      <c r="C113" s="35"/>
      <c r="D113" s="35"/>
      <c r="E113" s="35"/>
      <c r="F113" s="35"/>
      <c r="G113" s="36"/>
      <c r="O113" s="19" t="str">
        <f t="shared" si="4"/>
        <v/>
      </c>
      <c r="P113" s="3" t="str">
        <f t="shared" si="5"/>
        <v/>
      </c>
      <c r="Q113" s="93" t="str" cm="1">
        <f t="array" ref="Q113">IF(ISNUMBER(O113),_xlfn._xlws.FILTER(PartsDB[Hrs_ShopAssy]*N113*O113,PartsDB[Catalog]=I113),"")</f>
        <v/>
      </c>
      <c r="R113" s="92" t="str" cm="1">
        <f t="array" ref="R113">IF(ISNUMBER(O113),_xlfn._xlws.FILTER(PartsDB[Hrs_Eng]*O113,PartsDB[Catalog]=I113),"")</f>
        <v/>
      </c>
      <c r="S113" s="92" t="str" cm="1">
        <f t="array" ref="S113">IF(ISNUMBER(O113),_xlfn._xlws.FILTER(PartsDB[Hrs_PanelAssy]*M113*O113,PartsDB[Catalog]=I113),"")</f>
        <v/>
      </c>
    </row>
    <row r="114" spans="1:19" ht="16.5" thickTop="1" thickBot="1" x14ac:dyDescent="0.3">
      <c r="A114" s="96" t="str">
        <f>IF(B114="","",MAX(A$4:A113)+1)</f>
        <v/>
      </c>
      <c r="B114" s="99" t="str">
        <f t="shared" si="3"/>
        <v/>
      </c>
      <c r="C114" s="35"/>
      <c r="D114" s="35"/>
      <c r="E114" s="35"/>
      <c r="F114" s="35"/>
      <c r="G114" s="36"/>
      <c r="O114" s="19" t="str">
        <f t="shared" si="4"/>
        <v/>
      </c>
      <c r="P114" s="3" t="str">
        <f t="shared" si="5"/>
        <v/>
      </c>
      <c r="Q114" s="93" t="str" cm="1">
        <f t="array" ref="Q114">IF(ISNUMBER(O114),_xlfn._xlws.FILTER(PartsDB[Hrs_ShopAssy]*N114*O114,PartsDB[Catalog]=I114),"")</f>
        <v/>
      </c>
      <c r="R114" s="92" t="str" cm="1">
        <f t="array" ref="R114">IF(ISNUMBER(O114),_xlfn._xlws.FILTER(PartsDB[Hrs_Eng]*O114,PartsDB[Catalog]=I114),"")</f>
        <v/>
      </c>
      <c r="S114" s="92" t="str" cm="1">
        <f t="array" ref="S114">IF(ISNUMBER(O114),_xlfn._xlws.FILTER(PartsDB[Hrs_PanelAssy]*M114*O114,PartsDB[Catalog]=I114),"")</f>
        <v/>
      </c>
    </row>
    <row r="115" spans="1:19" ht="16.5" thickTop="1" thickBot="1" x14ac:dyDescent="0.3">
      <c r="A115" s="96" t="str">
        <f>IF(B115="","",MAX(A$4:A114)+1)</f>
        <v/>
      </c>
      <c r="B115" s="99" t="str">
        <f t="shared" si="3"/>
        <v/>
      </c>
      <c r="C115" s="35"/>
      <c r="D115" s="35"/>
      <c r="E115" s="35"/>
      <c r="F115" s="35"/>
      <c r="G115" s="36"/>
      <c r="O115" s="19" t="str">
        <f t="shared" si="4"/>
        <v/>
      </c>
      <c r="P115" s="3" t="str">
        <f t="shared" si="5"/>
        <v/>
      </c>
      <c r="Q115" s="93" t="str" cm="1">
        <f t="array" ref="Q115">IF(ISNUMBER(O115),_xlfn._xlws.FILTER(PartsDB[Hrs_ShopAssy]*N115*O115,PartsDB[Catalog]=I115),"")</f>
        <v/>
      </c>
      <c r="R115" s="92" t="str" cm="1">
        <f t="array" ref="R115">IF(ISNUMBER(O115),_xlfn._xlws.FILTER(PartsDB[Hrs_Eng]*O115,PartsDB[Catalog]=I115),"")</f>
        <v/>
      </c>
      <c r="S115" s="92" t="str" cm="1">
        <f t="array" ref="S115">IF(ISNUMBER(O115),_xlfn._xlws.FILTER(PartsDB[Hrs_PanelAssy]*M115*O115,PartsDB[Catalog]=I115),"")</f>
        <v/>
      </c>
    </row>
    <row r="116" spans="1:19" ht="16.5" thickTop="1" thickBot="1" x14ac:dyDescent="0.3">
      <c r="A116" s="96" t="str">
        <f>IF(B116="","",MAX(A$4:A115)+1)</f>
        <v/>
      </c>
      <c r="B116" s="99" t="str">
        <f t="shared" si="3"/>
        <v/>
      </c>
      <c r="C116" s="35"/>
      <c r="D116" s="35"/>
      <c r="E116" s="35"/>
      <c r="F116" s="35"/>
      <c r="G116" s="36"/>
      <c r="O116" s="19" t="str">
        <f t="shared" si="4"/>
        <v/>
      </c>
      <c r="P116" s="3" t="str">
        <f t="shared" si="5"/>
        <v/>
      </c>
      <c r="Q116" s="93" t="str" cm="1">
        <f t="array" ref="Q116">IF(ISNUMBER(O116),_xlfn._xlws.FILTER(PartsDB[Hrs_ShopAssy]*N116*O116,PartsDB[Catalog]=I116),"")</f>
        <v/>
      </c>
      <c r="R116" s="92" t="str" cm="1">
        <f t="array" ref="R116">IF(ISNUMBER(O116),_xlfn._xlws.FILTER(PartsDB[Hrs_Eng]*O116,PartsDB[Catalog]=I116),"")</f>
        <v/>
      </c>
      <c r="S116" s="92" t="str" cm="1">
        <f t="array" ref="S116">IF(ISNUMBER(O116),_xlfn._xlws.FILTER(PartsDB[Hrs_PanelAssy]*M116*O116,PartsDB[Catalog]=I116),"")</f>
        <v/>
      </c>
    </row>
    <row r="117" spans="1:19" ht="16.5" thickTop="1" thickBot="1" x14ac:dyDescent="0.3">
      <c r="A117" s="96" t="str">
        <f>IF(B117="","",MAX(A$4:A116)+1)</f>
        <v/>
      </c>
      <c r="B117" s="99" t="str">
        <f t="shared" si="3"/>
        <v/>
      </c>
      <c r="C117" s="35"/>
      <c r="D117" s="35"/>
      <c r="E117" s="35"/>
      <c r="F117" s="35"/>
      <c r="G117" s="36"/>
      <c r="O117" s="19" t="str">
        <f t="shared" si="4"/>
        <v/>
      </c>
      <c r="P117" s="3" t="str">
        <f t="shared" si="5"/>
        <v/>
      </c>
      <c r="Q117" s="93" t="str" cm="1">
        <f t="array" ref="Q117">IF(ISNUMBER(O117),_xlfn._xlws.FILTER(PartsDB[Hrs_ShopAssy]*N117*O117,PartsDB[Catalog]=I117),"")</f>
        <v/>
      </c>
      <c r="R117" s="92" t="str" cm="1">
        <f t="array" ref="R117">IF(ISNUMBER(O117),_xlfn._xlws.FILTER(PartsDB[Hrs_Eng]*O117,PartsDB[Catalog]=I117),"")</f>
        <v/>
      </c>
      <c r="S117" s="92" t="str" cm="1">
        <f t="array" ref="S117">IF(ISNUMBER(O117),_xlfn._xlws.FILTER(PartsDB[Hrs_PanelAssy]*M117*O117,PartsDB[Catalog]=I117),"")</f>
        <v/>
      </c>
    </row>
    <row r="118" spans="1:19" ht="16.5" thickTop="1" thickBot="1" x14ac:dyDescent="0.3">
      <c r="A118" s="96" t="str">
        <f>IF(B118="","",MAX(A$4:A117)+1)</f>
        <v/>
      </c>
      <c r="B118" s="99" t="str">
        <f t="shared" si="3"/>
        <v/>
      </c>
      <c r="C118" s="35"/>
      <c r="D118" s="35"/>
      <c r="E118" s="35"/>
      <c r="F118" s="35"/>
      <c r="G118" s="36"/>
      <c r="O118" s="19" t="str">
        <f t="shared" si="4"/>
        <v/>
      </c>
      <c r="P118" s="3" t="str">
        <f t="shared" si="5"/>
        <v/>
      </c>
      <c r="Q118" s="93" t="str" cm="1">
        <f t="array" ref="Q118">IF(ISNUMBER(O118),_xlfn._xlws.FILTER(PartsDB[Hrs_ShopAssy]*N118*O118,PartsDB[Catalog]=I118),"")</f>
        <v/>
      </c>
      <c r="R118" s="92" t="str" cm="1">
        <f t="array" ref="R118">IF(ISNUMBER(O118),_xlfn._xlws.FILTER(PartsDB[Hrs_Eng]*O118,PartsDB[Catalog]=I118),"")</f>
        <v/>
      </c>
      <c r="S118" s="92" t="str" cm="1">
        <f t="array" ref="S118">IF(ISNUMBER(O118),_xlfn._xlws.FILTER(PartsDB[Hrs_PanelAssy]*M118*O118,PartsDB[Catalog]=I118),"")</f>
        <v/>
      </c>
    </row>
    <row r="119" spans="1:19" ht="16.5" thickTop="1" thickBot="1" x14ac:dyDescent="0.3">
      <c r="A119" s="96" t="str">
        <f>IF(B119="","",MAX(A$4:A118)+1)</f>
        <v/>
      </c>
      <c r="B119" s="99" t="str">
        <f t="shared" si="3"/>
        <v/>
      </c>
      <c r="C119" s="35"/>
      <c r="D119" s="35"/>
      <c r="E119" s="35"/>
      <c r="F119" s="35"/>
      <c r="G119" s="36"/>
      <c r="O119" s="19" t="str">
        <f t="shared" si="4"/>
        <v/>
      </c>
      <c r="P119" s="3" t="str">
        <f t="shared" si="5"/>
        <v/>
      </c>
      <c r="Q119" s="93" t="str" cm="1">
        <f t="array" ref="Q119">IF(ISNUMBER(O119),_xlfn._xlws.FILTER(PartsDB[Hrs_ShopAssy]*N119*O119,PartsDB[Catalog]=I119),"")</f>
        <v/>
      </c>
      <c r="R119" s="92" t="str" cm="1">
        <f t="array" ref="R119">IF(ISNUMBER(O119),_xlfn._xlws.FILTER(PartsDB[Hrs_Eng]*O119,PartsDB[Catalog]=I119),"")</f>
        <v/>
      </c>
      <c r="S119" s="92" t="str" cm="1">
        <f t="array" ref="S119">IF(ISNUMBER(O119),_xlfn._xlws.FILTER(PartsDB[Hrs_PanelAssy]*M119*O119,PartsDB[Catalog]=I119),"")</f>
        <v/>
      </c>
    </row>
    <row r="120" spans="1:19" ht="16.5" thickTop="1" thickBot="1" x14ac:dyDescent="0.3">
      <c r="A120" s="96" t="str">
        <f>IF(B120="","",MAX(A$4:A119)+1)</f>
        <v/>
      </c>
      <c r="B120" s="99" t="str">
        <f t="shared" si="3"/>
        <v/>
      </c>
      <c r="C120" s="35"/>
      <c r="D120" s="35"/>
      <c r="E120" s="35"/>
      <c r="F120" s="35"/>
      <c r="G120" s="36"/>
      <c r="O120" s="19" t="str">
        <f t="shared" si="4"/>
        <v/>
      </c>
      <c r="P120" s="3" t="str">
        <f t="shared" si="5"/>
        <v/>
      </c>
      <c r="Q120" s="93" t="str" cm="1">
        <f t="array" ref="Q120">IF(ISNUMBER(O120),_xlfn._xlws.FILTER(PartsDB[Hrs_ShopAssy]*N120*O120,PartsDB[Catalog]=I120),"")</f>
        <v/>
      </c>
      <c r="R120" s="92" t="str" cm="1">
        <f t="array" ref="R120">IF(ISNUMBER(O120),_xlfn._xlws.FILTER(PartsDB[Hrs_Eng]*O120,PartsDB[Catalog]=I120),"")</f>
        <v/>
      </c>
      <c r="S120" s="92" t="str" cm="1">
        <f t="array" ref="S120">IF(ISNUMBER(O120),_xlfn._xlws.FILTER(PartsDB[Hrs_PanelAssy]*M120*O120,PartsDB[Catalog]=I120),"")</f>
        <v/>
      </c>
    </row>
    <row r="121" spans="1:19" ht="16.5" thickTop="1" thickBot="1" x14ac:dyDescent="0.3">
      <c r="A121" s="96" t="str">
        <f>IF(B121="","",MAX(A$4:A120)+1)</f>
        <v/>
      </c>
      <c r="B121" s="99" t="str">
        <f t="shared" si="3"/>
        <v/>
      </c>
      <c r="C121" s="35"/>
      <c r="D121" s="35"/>
      <c r="E121" s="35"/>
      <c r="F121" s="35"/>
      <c r="G121" s="36"/>
      <c r="O121" s="19" t="str">
        <f t="shared" si="4"/>
        <v/>
      </c>
      <c r="P121" s="3" t="str">
        <f t="shared" si="5"/>
        <v/>
      </c>
      <c r="Q121" s="93" t="str" cm="1">
        <f t="array" ref="Q121">IF(ISNUMBER(O121),_xlfn._xlws.FILTER(PartsDB[Hrs_ShopAssy]*N121*O121,PartsDB[Catalog]=I121),"")</f>
        <v/>
      </c>
      <c r="R121" s="92" t="str" cm="1">
        <f t="array" ref="R121">IF(ISNUMBER(O121),_xlfn._xlws.FILTER(PartsDB[Hrs_Eng]*O121,PartsDB[Catalog]=I121),"")</f>
        <v/>
      </c>
      <c r="S121" s="92" t="str" cm="1">
        <f t="array" ref="S121">IF(ISNUMBER(O121),_xlfn._xlws.FILTER(PartsDB[Hrs_PanelAssy]*M121*O121,PartsDB[Catalog]=I121),"")</f>
        <v/>
      </c>
    </row>
    <row r="122" spans="1:19" ht="16.5" thickTop="1" thickBot="1" x14ac:dyDescent="0.3">
      <c r="A122" s="96" t="str">
        <f>IF(B122="","",MAX(A$4:A121)+1)</f>
        <v/>
      </c>
      <c r="B122" s="99" t="str">
        <f t="shared" si="3"/>
        <v/>
      </c>
      <c r="C122" s="35"/>
      <c r="D122" s="35"/>
      <c r="E122" s="35"/>
      <c r="F122" s="35"/>
      <c r="G122" s="36"/>
      <c r="O122" s="19" t="str">
        <f t="shared" si="4"/>
        <v/>
      </c>
      <c r="P122" s="3" t="str">
        <f t="shared" si="5"/>
        <v/>
      </c>
      <c r="Q122" s="93" t="str" cm="1">
        <f t="array" ref="Q122">IF(ISNUMBER(O122),_xlfn._xlws.FILTER(PartsDB[Hrs_ShopAssy]*N122*O122,PartsDB[Catalog]=I122),"")</f>
        <v/>
      </c>
      <c r="R122" s="92" t="str" cm="1">
        <f t="array" ref="R122">IF(ISNUMBER(O122),_xlfn._xlws.FILTER(PartsDB[Hrs_Eng]*O122,PartsDB[Catalog]=I122),"")</f>
        <v/>
      </c>
      <c r="S122" s="92" t="str" cm="1">
        <f t="array" ref="S122">IF(ISNUMBER(O122),_xlfn._xlws.FILTER(PartsDB[Hrs_PanelAssy]*M122*O122,PartsDB[Catalog]=I122),"")</f>
        <v/>
      </c>
    </row>
    <row r="123" spans="1:19" ht="16.5" thickTop="1" thickBot="1" x14ac:dyDescent="0.3">
      <c r="A123" s="96" t="str">
        <f>IF(B123="","",MAX(A$4:A122)+1)</f>
        <v/>
      </c>
      <c r="B123" s="99" t="str">
        <f t="shared" si="3"/>
        <v/>
      </c>
      <c r="C123" s="35"/>
      <c r="D123" s="35"/>
      <c r="E123" s="35"/>
      <c r="F123" s="35"/>
      <c r="G123" s="36"/>
      <c r="O123" s="19" t="str">
        <f t="shared" si="4"/>
        <v/>
      </c>
      <c r="P123" s="3" t="str">
        <f t="shared" si="5"/>
        <v/>
      </c>
      <c r="Q123" s="93" t="str" cm="1">
        <f t="array" ref="Q123">IF(ISNUMBER(O123),_xlfn._xlws.FILTER(PartsDB[Hrs_ShopAssy]*N123*O123,PartsDB[Catalog]=I123),"")</f>
        <v/>
      </c>
      <c r="R123" s="92" t="str" cm="1">
        <f t="array" ref="R123">IF(ISNUMBER(O123),_xlfn._xlws.FILTER(PartsDB[Hrs_Eng]*O123,PartsDB[Catalog]=I123),"")</f>
        <v/>
      </c>
      <c r="S123" s="92" t="str" cm="1">
        <f t="array" ref="S123">IF(ISNUMBER(O123),_xlfn._xlws.FILTER(PartsDB[Hrs_PanelAssy]*M123*O123,PartsDB[Catalog]=I123),"")</f>
        <v/>
      </c>
    </row>
    <row r="124" spans="1:19" ht="16.5" thickTop="1" thickBot="1" x14ac:dyDescent="0.3">
      <c r="A124" s="96" t="str">
        <f>IF(B124="","",MAX(A$4:A123)+1)</f>
        <v/>
      </c>
      <c r="B124" s="99" t="str">
        <f t="shared" si="3"/>
        <v/>
      </c>
      <c r="C124" s="35"/>
      <c r="D124" s="35"/>
      <c r="E124" s="35"/>
      <c r="F124" s="35"/>
      <c r="G124" s="36"/>
      <c r="O124" s="19" t="str">
        <f t="shared" si="4"/>
        <v/>
      </c>
      <c r="P124" s="3" t="str">
        <f t="shared" si="5"/>
        <v/>
      </c>
      <c r="Q124" s="93" t="str" cm="1">
        <f t="array" ref="Q124">IF(ISNUMBER(O124),_xlfn._xlws.FILTER(PartsDB[Hrs_ShopAssy]*N124*O124,PartsDB[Catalog]=I124),"")</f>
        <v/>
      </c>
      <c r="R124" s="92" t="str" cm="1">
        <f t="array" ref="R124">IF(ISNUMBER(O124),_xlfn._xlws.FILTER(PartsDB[Hrs_Eng]*O124,PartsDB[Catalog]=I124),"")</f>
        <v/>
      </c>
      <c r="S124" s="92" t="str" cm="1">
        <f t="array" ref="S124">IF(ISNUMBER(O124),_xlfn._xlws.FILTER(PartsDB[Hrs_PanelAssy]*M124*O124,PartsDB[Catalog]=I124),"")</f>
        <v/>
      </c>
    </row>
    <row r="125" spans="1:19" ht="16.5" thickTop="1" thickBot="1" x14ac:dyDescent="0.3">
      <c r="A125" s="96" t="str">
        <f>IF(B125="","",MAX(A$4:A124)+1)</f>
        <v/>
      </c>
      <c r="B125" s="99" t="str">
        <f t="shared" si="3"/>
        <v/>
      </c>
      <c r="C125" s="35"/>
      <c r="D125" s="35"/>
      <c r="E125" s="35"/>
      <c r="F125" s="35"/>
      <c r="G125" s="36"/>
      <c r="O125" s="19" t="str">
        <f t="shared" si="4"/>
        <v/>
      </c>
      <c r="P125" s="3" t="str">
        <f t="shared" si="5"/>
        <v/>
      </c>
      <c r="Q125" s="93" t="str" cm="1">
        <f t="array" ref="Q125">IF(ISNUMBER(O125),_xlfn._xlws.FILTER(PartsDB[Hrs_ShopAssy]*N125*O125,PartsDB[Catalog]=I125),"")</f>
        <v/>
      </c>
      <c r="R125" s="92" t="str" cm="1">
        <f t="array" ref="R125">IF(ISNUMBER(O125),_xlfn._xlws.FILTER(PartsDB[Hrs_Eng]*O125,PartsDB[Catalog]=I125),"")</f>
        <v/>
      </c>
      <c r="S125" s="92" t="str" cm="1">
        <f t="array" ref="S125">IF(ISNUMBER(O125),_xlfn._xlws.FILTER(PartsDB[Hrs_PanelAssy]*M125*O125,PartsDB[Catalog]=I125),"")</f>
        <v/>
      </c>
    </row>
    <row r="126" spans="1:19" ht="16.5" thickTop="1" thickBot="1" x14ac:dyDescent="0.3">
      <c r="A126" s="96" t="str">
        <f>IF(B126="","",MAX(A$4:A125)+1)</f>
        <v/>
      </c>
      <c r="B126" s="99" t="str">
        <f t="shared" si="3"/>
        <v/>
      </c>
      <c r="C126" s="35"/>
      <c r="D126" s="35"/>
      <c r="E126" s="35"/>
      <c r="F126" s="35"/>
      <c r="G126" s="36"/>
      <c r="O126" s="19" t="str">
        <f t="shared" si="4"/>
        <v/>
      </c>
      <c r="P126" s="3" t="str">
        <f t="shared" si="5"/>
        <v/>
      </c>
      <c r="Q126" s="93" t="str" cm="1">
        <f t="array" ref="Q126">IF(ISNUMBER(O126),_xlfn._xlws.FILTER(PartsDB[Hrs_ShopAssy]*N126*O126,PartsDB[Catalog]=I126),"")</f>
        <v/>
      </c>
      <c r="R126" s="92" t="str" cm="1">
        <f t="array" ref="R126">IF(ISNUMBER(O126),_xlfn._xlws.FILTER(PartsDB[Hrs_Eng]*O126,PartsDB[Catalog]=I126),"")</f>
        <v/>
      </c>
      <c r="S126" s="92" t="str" cm="1">
        <f t="array" ref="S126">IF(ISNUMBER(O126),_xlfn._xlws.FILTER(PartsDB[Hrs_PanelAssy]*M126*O126,PartsDB[Catalog]=I126),"")</f>
        <v/>
      </c>
    </row>
    <row r="127" spans="1:19" ht="16.5" thickTop="1" thickBot="1" x14ac:dyDescent="0.3">
      <c r="A127" s="96" t="str">
        <f>IF(B127="","",MAX(A$4:A126)+1)</f>
        <v/>
      </c>
      <c r="B127" s="99" t="str">
        <f t="shared" si="3"/>
        <v/>
      </c>
      <c r="C127" s="35"/>
      <c r="D127" s="35"/>
      <c r="E127" s="35"/>
      <c r="F127" s="35"/>
      <c r="G127" s="36"/>
      <c r="O127" s="19" t="str">
        <f t="shared" si="4"/>
        <v/>
      </c>
      <c r="P127" s="3" t="str">
        <f t="shared" si="5"/>
        <v/>
      </c>
      <c r="Q127" s="93" t="str" cm="1">
        <f t="array" ref="Q127">IF(ISNUMBER(O127),_xlfn._xlws.FILTER(PartsDB[Hrs_ShopAssy]*N127*O127,PartsDB[Catalog]=I127),"")</f>
        <v/>
      </c>
      <c r="R127" s="92" t="str" cm="1">
        <f t="array" ref="R127">IF(ISNUMBER(O127),_xlfn._xlws.FILTER(PartsDB[Hrs_Eng]*O127,PartsDB[Catalog]=I127),"")</f>
        <v/>
      </c>
      <c r="S127" s="92" t="str" cm="1">
        <f t="array" ref="S127">IF(ISNUMBER(O127),_xlfn._xlws.FILTER(PartsDB[Hrs_PanelAssy]*M127*O127,PartsDB[Catalog]=I127),"")</f>
        <v/>
      </c>
    </row>
    <row r="128" spans="1:19" ht="16.5" thickTop="1" thickBot="1" x14ac:dyDescent="0.3">
      <c r="A128" s="96" t="str">
        <f>IF(B128="","",MAX(A$4:A127)+1)</f>
        <v/>
      </c>
      <c r="B128" s="99" t="str">
        <f t="shared" si="3"/>
        <v/>
      </c>
      <c r="C128" s="35"/>
      <c r="D128" s="35"/>
      <c r="E128" s="35"/>
      <c r="F128" s="35"/>
      <c r="G128" s="36"/>
      <c r="O128" s="19" t="str">
        <f t="shared" si="4"/>
        <v/>
      </c>
      <c r="P128" s="3" t="str">
        <f t="shared" si="5"/>
        <v/>
      </c>
      <c r="Q128" s="93" t="str" cm="1">
        <f t="array" ref="Q128">IF(ISNUMBER(O128),_xlfn._xlws.FILTER(PartsDB[Hrs_ShopAssy]*N128*O128,PartsDB[Catalog]=I128),"")</f>
        <v/>
      </c>
      <c r="R128" s="92" t="str" cm="1">
        <f t="array" ref="R128">IF(ISNUMBER(O128),_xlfn._xlws.FILTER(PartsDB[Hrs_Eng]*O128,PartsDB[Catalog]=I128),"")</f>
        <v/>
      </c>
      <c r="S128" s="92" t="str" cm="1">
        <f t="array" ref="S128">IF(ISNUMBER(O128),_xlfn._xlws.FILTER(PartsDB[Hrs_PanelAssy]*M128*O128,PartsDB[Catalog]=I128),"")</f>
        <v/>
      </c>
    </row>
    <row r="129" spans="1:19" ht="16.5" thickTop="1" thickBot="1" x14ac:dyDescent="0.3">
      <c r="A129" s="96" t="str">
        <f>IF(B129="","",MAX(A$4:A128)+1)</f>
        <v/>
      </c>
      <c r="B129" s="99" t="str">
        <f t="shared" si="3"/>
        <v/>
      </c>
      <c r="C129" s="35"/>
      <c r="D129" s="35"/>
      <c r="E129" s="35"/>
      <c r="F129" s="35"/>
      <c r="G129" s="36"/>
      <c r="O129" s="19" t="str">
        <f t="shared" si="4"/>
        <v/>
      </c>
      <c r="P129" s="3" t="str">
        <f t="shared" si="5"/>
        <v/>
      </c>
      <c r="Q129" s="93" t="str" cm="1">
        <f t="array" ref="Q129">IF(ISNUMBER(O129),_xlfn._xlws.FILTER(PartsDB[Hrs_ShopAssy]*N129*O129,PartsDB[Catalog]=I129),"")</f>
        <v/>
      </c>
      <c r="R129" s="92" t="str" cm="1">
        <f t="array" ref="R129">IF(ISNUMBER(O129),_xlfn._xlws.FILTER(PartsDB[Hrs_Eng]*O129,PartsDB[Catalog]=I129),"")</f>
        <v/>
      </c>
      <c r="S129" s="92" t="str" cm="1">
        <f t="array" ref="S129">IF(ISNUMBER(O129),_xlfn._xlws.FILTER(PartsDB[Hrs_PanelAssy]*M129*O129,PartsDB[Catalog]=I129),"")</f>
        <v/>
      </c>
    </row>
    <row r="130" spans="1:19" ht="16.5" thickTop="1" thickBot="1" x14ac:dyDescent="0.3">
      <c r="A130" s="96" t="str">
        <f>IF(B130="","",MAX(A$4:A129)+1)</f>
        <v/>
      </c>
      <c r="B130" s="99" t="str">
        <f t="shared" si="3"/>
        <v/>
      </c>
      <c r="C130" s="35"/>
      <c r="D130" s="35"/>
      <c r="E130" s="35"/>
      <c r="F130" s="35"/>
      <c r="G130" s="36"/>
      <c r="O130" s="19" t="str">
        <f t="shared" si="4"/>
        <v/>
      </c>
      <c r="P130" s="3" t="str">
        <f t="shared" si="5"/>
        <v/>
      </c>
      <c r="Q130" s="93" t="str" cm="1">
        <f t="array" ref="Q130">IF(ISNUMBER(O130),_xlfn._xlws.FILTER(PartsDB[Hrs_ShopAssy]*N130*O130,PartsDB[Catalog]=I130),"")</f>
        <v/>
      </c>
      <c r="R130" s="92" t="str" cm="1">
        <f t="array" ref="R130">IF(ISNUMBER(O130),_xlfn._xlws.FILTER(PartsDB[Hrs_Eng]*O130,PartsDB[Catalog]=I130),"")</f>
        <v/>
      </c>
      <c r="S130" s="92" t="str" cm="1">
        <f t="array" ref="S130">IF(ISNUMBER(O130),_xlfn._xlws.FILTER(PartsDB[Hrs_PanelAssy]*M130*O130,PartsDB[Catalog]=I130),"")</f>
        <v/>
      </c>
    </row>
    <row r="131" spans="1:19" ht="16.5" thickTop="1" thickBot="1" x14ac:dyDescent="0.3">
      <c r="A131" s="96" t="str">
        <f>IF(B131="","",MAX(A$4:A130)+1)</f>
        <v/>
      </c>
      <c r="B131" s="99" t="str">
        <f t="shared" si="3"/>
        <v/>
      </c>
      <c r="C131" s="35"/>
      <c r="D131" s="35"/>
      <c r="E131" s="35"/>
      <c r="F131" s="35"/>
      <c r="G131" s="36"/>
      <c r="O131" s="19" t="str">
        <f t="shared" si="4"/>
        <v/>
      </c>
      <c r="P131" s="3" t="str">
        <f t="shared" si="5"/>
        <v/>
      </c>
      <c r="Q131" s="93" t="str" cm="1">
        <f t="array" ref="Q131">IF(ISNUMBER(O131),_xlfn._xlws.FILTER(PartsDB[Hrs_ShopAssy]*N131*O131,PartsDB[Catalog]=I131),"")</f>
        <v/>
      </c>
      <c r="R131" s="92" t="str" cm="1">
        <f t="array" ref="R131">IF(ISNUMBER(O131),_xlfn._xlws.FILTER(PartsDB[Hrs_Eng]*O131,PartsDB[Catalog]=I131),"")</f>
        <v/>
      </c>
      <c r="S131" s="92" t="str" cm="1">
        <f t="array" ref="S131">IF(ISNUMBER(O131),_xlfn._xlws.FILTER(PartsDB[Hrs_PanelAssy]*M131*O131,PartsDB[Catalog]=I131),"")</f>
        <v/>
      </c>
    </row>
    <row r="132" spans="1:19" ht="16.5" thickTop="1" thickBot="1" x14ac:dyDescent="0.3">
      <c r="A132" s="96" t="str">
        <f>IF(B132="","",MAX(A$4:A131)+1)</f>
        <v/>
      </c>
      <c r="B132" s="99" t="str">
        <f t="shared" si="3"/>
        <v/>
      </c>
      <c r="C132" s="35"/>
      <c r="D132" s="35"/>
      <c r="E132" s="35"/>
      <c r="F132" s="35"/>
      <c r="G132" s="36"/>
      <c r="O132" s="19" t="str">
        <f t="shared" si="4"/>
        <v/>
      </c>
      <c r="P132" s="3" t="str">
        <f t="shared" si="5"/>
        <v/>
      </c>
      <c r="Q132" s="93" t="str" cm="1">
        <f t="array" ref="Q132">IF(ISNUMBER(O132),_xlfn._xlws.FILTER(PartsDB[Hrs_ShopAssy]*N132*O132,PartsDB[Catalog]=I132),"")</f>
        <v/>
      </c>
      <c r="R132" s="92" t="str" cm="1">
        <f t="array" ref="R132">IF(ISNUMBER(O132),_xlfn._xlws.FILTER(PartsDB[Hrs_Eng]*O132,PartsDB[Catalog]=I132),"")</f>
        <v/>
      </c>
      <c r="S132" s="92" t="str" cm="1">
        <f t="array" ref="S132">IF(ISNUMBER(O132),_xlfn._xlws.FILTER(PartsDB[Hrs_PanelAssy]*M132*O132,PartsDB[Catalog]=I132),"")</f>
        <v/>
      </c>
    </row>
    <row r="133" spans="1:19" ht="16.5" thickTop="1" thickBot="1" x14ac:dyDescent="0.3">
      <c r="A133" s="96" t="str">
        <f>IF(B133="","",MAX(A$4:A132)+1)</f>
        <v/>
      </c>
      <c r="B133" s="99" t="str">
        <f t="shared" ref="B133:B196" si="6">IF(OR(ISBLANK($B$2),ISBLANK(D133)),"",$B$2)</f>
        <v/>
      </c>
      <c r="C133" s="35"/>
      <c r="D133" s="35"/>
      <c r="E133" s="35"/>
      <c r="F133" s="35"/>
      <c r="G133" s="36"/>
      <c r="O133" s="19" t="str">
        <f t="shared" ref="O133:O158" si="7">IF(ISNUMBER(J133),J133,"")</f>
        <v/>
      </c>
      <c r="P133" s="3" t="str">
        <f t="shared" ref="P133:P158" si="8">IF(ISNUMBER(O133),O133*K133,"")</f>
        <v/>
      </c>
      <c r="Q133" s="93" t="str" cm="1">
        <f t="array" ref="Q133">IF(ISNUMBER(O133),_xlfn._xlws.FILTER(PartsDB[Hrs_ShopAssy]*N133*O133,PartsDB[Catalog]=I133),"")</f>
        <v/>
      </c>
      <c r="R133" s="92" t="str" cm="1">
        <f t="array" ref="R133">IF(ISNUMBER(O133),_xlfn._xlws.FILTER(PartsDB[Hrs_Eng]*O133,PartsDB[Catalog]=I133),"")</f>
        <v/>
      </c>
      <c r="S133" s="92" t="str" cm="1">
        <f t="array" ref="S133">IF(ISNUMBER(O133),_xlfn._xlws.FILTER(PartsDB[Hrs_PanelAssy]*M133*O133,PartsDB[Catalog]=I133),"")</f>
        <v/>
      </c>
    </row>
    <row r="134" spans="1:19" ht="16.5" thickTop="1" thickBot="1" x14ac:dyDescent="0.3">
      <c r="A134" s="96" t="str">
        <f>IF(B134="","",MAX(A$4:A133)+1)</f>
        <v/>
      </c>
      <c r="B134" s="99" t="str">
        <f t="shared" si="6"/>
        <v/>
      </c>
      <c r="C134" s="35"/>
      <c r="D134" s="35"/>
      <c r="E134" s="35"/>
      <c r="F134" s="35"/>
      <c r="G134" s="36"/>
      <c r="O134" s="19" t="str">
        <f t="shared" si="7"/>
        <v/>
      </c>
      <c r="P134" s="3" t="str">
        <f t="shared" si="8"/>
        <v/>
      </c>
      <c r="Q134" s="93" t="str" cm="1">
        <f t="array" ref="Q134">IF(ISNUMBER(O134),_xlfn._xlws.FILTER(PartsDB[Hrs_ShopAssy]*N134*O134,PartsDB[Catalog]=I134),"")</f>
        <v/>
      </c>
      <c r="R134" s="92" t="str" cm="1">
        <f t="array" ref="R134">IF(ISNUMBER(O134),_xlfn._xlws.FILTER(PartsDB[Hrs_Eng]*O134,PartsDB[Catalog]=I134),"")</f>
        <v/>
      </c>
      <c r="S134" s="92" t="str" cm="1">
        <f t="array" ref="S134">IF(ISNUMBER(O134),_xlfn._xlws.FILTER(PartsDB[Hrs_PanelAssy]*M134*O134,PartsDB[Catalog]=I134),"")</f>
        <v/>
      </c>
    </row>
    <row r="135" spans="1:19" ht="16.5" thickTop="1" thickBot="1" x14ac:dyDescent="0.3">
      <c r="A135" s="96" t="str">
        <f>IF(B135="","",MAX(A$4:A134)+1)</f>
        <v/>
      </c>
      <c r="B135" s="99" t="str">
        <f t="shared" si="6"/>
        <v/>
      </c>
      <c r="C135" s="35"/>
      <c r="D135" s="35"/>
      <c r="E135" s="35"/>
      <c r="F135" s="35"/>
      <c r="G135" s="36"/>
      <c r="O135" s="19" t="str">
        <f t="shared" si="7"/>
        <v/>
      </c>
      <c r="P135" s="3" t="str">
        <f t="shared" si="8"/>
        <v/>
      </c>
      <c r="Q135" s="93" t="str" cm="1">
        <f t="array" ref="Q135">IF(ISNUMBER(O135),_xlfn._xlws.FILTER(PartsDB[Hrs_ShopAssy]*N135*O135,PartsDB[Catalog]=I135),"")</f>
        <v/>
      </c>
      <c r="R135" s="92" t="str" cm="1">
        <f t="array" ref="R135">IF(ISNUMBER(O135),_xlfn._xlws.FILTER(PartsDB[Hrs_Eng]*O135,PartsDB[Catalog]=I135),"")</f>
        <v/>
      </c>
      <c r="S135" s="92" t="str" cm="1">
        <f t="array" ref="S135">IF(ISNUMBER(O135),_xlfn._xlws.FILTER(PartsDB[Hrs_PanelAssy]*M135*O135,PartsDB[Catalog]=I135),"")</f>
        <v/>
      </c>
    </row>
    <row r="136" spans="1:19" ht="16.5" thickTop="1" thickBot="1" x14ac:dyDescent="0.3">
      <c r="A136" s="96" t="str">
        <f>IF(B136="","",MAX(A$4:A135)+1)</f>
        <v/>
      </c>
      <c r="B136" s="99" t="str">
        <f t="shared" si="6"/>
        <v/>
      </c>
      <c r="C136" s="35"/>
      <c r="D136" s="35"/>
      <c r="E136" s="35"/>
      <c r="F136" s="35"/>
      <c r="G136" s="36"/>
      <c r="O136" s="19" t="str">
        <f t="shared" si="7"/>
        <v/>
      </c>
      <c r="P136" s="3" t="str">
        <f t="shared" si="8"/>
        <v/>
      </c>
      <c r="Q136" s="93" t="str" cm="1">
        <f t="array" ref="Q136">IF(ISNUMBER(O136),_xlfn._xlws.FILTER(PartsDB[Hrs_ShopAssy]*N136*O136,PartsDB[Catalog]=I136),"")</f>
        <v/>
      </c>
      <c r="R136" s="92" t="str" cm="1">
        <f t="array" ref="R136">IF(ISNUMBER(O136),_xlfn._xlws.FILTER(PartsDB[Hrs_Eng]*O136,PartsDB[Catalog]=I136),"")</f>
        <v/>
      </c>
      <c r="S136" s="92" t="str" cm="1">
        <f t="array" ref="S136">IF(ISNUMBER(O136),_xlfn._xlws.FILTER(PartsDB[Hrs_PanelAssy]*M136*O136,PartsDB[Catalog]=I136),"")</f>
        <v/>
      </c>
    </row>
    <row r="137" spans="1:19" ht="16.5" thickTop="1" thickBot="1" x14ac:dyDescent="0.3">
      <c r="A137" s="96" t="str">
        <f>IF(B137="","",MAX(A$4:A136)+1)</f>
        <v/>
      </c>
      <c r="B137" s="99" t="str">
        <f t="shared" si="6"/>
        <v/>
      </c>
      <c r="C137" s="35"/>
      <c r="D137" s="35"/>
      <c r="E137" s="35"/>
      <c r="F137" s="35"/>
      <c r="G137" s="36"/>
      <c r="O137" s="19" t="str">
        <f t="shared" si="7"/>
        <v/>
      </c>
      <c r="P137" s="3" t="str">
        <f t="shared" si="8"/>
        <v/>
      </c>
      <c r="Q137" s="93" t="str" cm="1">
        <f t="array" ref="Q137">IF(ISNUMBER(O137),_xlfn._xlws.FILTER(PartsDB[Hrs_ShopAssy]*N137*O137,PartsDB[Catalog]=I137),"")</f>
        <v/>
      </c>
      <c r="R137" s="92" t="str" cm="1">
        <f t="array" ref="R137">IF(ISNUMBER(O137),_xlfn._xlws.FILTER(PartsDB[Hrs_Eng]*O137,PartsDB[Catalog]=I137),"")</f>
        <v/>
      </c>
      <c r="S137" s="92" t="str" cm="1">
        <f t="array" ref="S137">IF(ISNUMBER(O137),_xlfn._xlws.FILTER(PartsDB[Hrs_PanelAssy]*M137*O137,PartsDB[Catalog]=I137),"")</f>
        <v/>
      </c>
    </row>
    <row r="138" spans="1:19" ht="16.5" thickTop="1" thickBot="1" x14ac:dyDescent="0.3">
      <c r="A138" s="96" t="str">
        <f>IF(B138="","",MAX(A$4:A137)+1)</f>
        <v/>
      </c>
      <c r="B138" s="99" t="str">
        <f t="shared" si="6"/>
        <v/>
      </c>
      <c r="C138" s="35"/>
      <c r="D138" s="35"/>
      <c r="E138" s="35"/>
      <c r="F138" s="35"/>
      <c r="G138" s="36"/>
      <c r="O138" s="19" t="str">
        <f t="shared" si="7"/>
        <v/>
      </c>
      <c r="P138" s="3" t="str">
        <f t="shared" si="8"/>
        <v/>
      </c>
      <c r="Q138" s="93" t="str" cm="1">
        <f t="array" ref="Q138">IF(ISNUMBER(O138),_xlfn._xlws.FILTER(PartsDB[Hrs_ShopAssy]*N138*O138,PartsDB[Catalog]=I138),"")</f>
        <v/>
      </c>
      <c r="R138" s="92" t="str" cm="1">
        <f t="array" ref="R138">IF(ISNUMBER(O138),_xlfn._xlws.FILTER(PartsDB[Hrs_Eng]*O138,PartsDB[Catalog]=I138),"")</f>
        <v/>
      </c>
      <c r="S138" s="92" t="str" cm="1">
        <f t="array" ref="S138">IF(ISNUMBER(O138),_xlfn._xlws.FILTER(PartsDB[Hrs_PanelAssy]*M138*O138,PartsDB[Catalog]=I138),"")</f>
        <v/>
      </c>
    </row>
    <row r="139" spans="1:19" ht="16.5" thickTop="1" thickBot="1" x14ac:dyDescent="0.3">
      <c r="A139" s="96" t="str">
        <f>IF(B139="","",MAX(A$4:A138)+1)</f>
        <v/>
      </c>
      <c r="B139" s="99" t="str">
        <f t="shared" si="6"/>
        <v/>
      </c>
      <c r="C139" s="35"/>
      <c r="D139" s="35"/>
      <c r="E139" s="35"/>
      <c r="F139" s="35"/>
      <c r="G139" s="36"/>
      <c r="O139" s="19" t="str">
        <f t="shared" si="7"/>
        <v/>
      </c>
      <c r="P139" s="3" t="str">
        <f t="shared" si="8"/>
        <v/>
      </c>
      <c r="Q139" s="93" t="str" cm="1">
        <f t="array" ref="Q139">IF(ISNUMBER(O139),_xlfn._xlws.FILTER(PartsDB[Hrs_ShopAssy]*N139*O139,PartsDB[Catalog]=I139),"")</f>
        <v/>
      </c>
      <c r="R139" s="92" t="str" cm="1">
        <f t="array" ref="R139">IF(ISNUMBER(O139),_xlfn._xlws.FILTER(PartsDB[Hrs_Eng]*O139,PartsDB[Catalog]=I139),"")</f>
        <v/>
      </c>
      <c r="S139" s="92" t="str" cm="1">
        <f t="array" ref="S139">IF(ISNUMBER(O139),_xlfn._xlws.FILTER(PartsDB[Hrs_PanelAssy]*M139*O139,PartsDB[Catalog]=I139),"")</f>
        <v/>
      </c>
    </row>
    <row r="140" spans="1:19" ht="16.5" thickTop="1" thickBot="1" x14ac:dyDescent="0.3">
      <c r="A140" s="96" t="str">
        <f>IF(B140="","",MAX(A$4:A139)+1)</f>
        <v/>
      </c>
      <c r="B140" s="99" t="str">
        <f t="shared" si="6"/>
        <v/>
      </c>
      <c r="C140" s="35"/>
      <c r="D140" s="35"/>
      <c r="E140" s="35"/>
      <c r="F140" s="35"/>
      <c r="G140" s="36"/>
      <c r="O140" s="19" t="str">
        <f t="shared" si="7"/>
        <v/>
      </c>
      <c r="P140" s="3" t="str">
        <f t="shared" si="8"/>
        <v/>
      </c>
      <c r="Q140" s="93" t="str" cm="1">
        <f t="array" ref="Q140">IF(ISNUMBER(O140),_xlfn._xlws.FILTER(PartsDB[Hrs_ShopAssy]*N140*O140,PartsDB[Catalog]=I140),"")</f>
        <v/>
      </c>
      <c r="R140" s="92" t="str" cm="1">
        <f t="array" ref="R140">IF(ISNUMBER(O140),_xlfn._xlws.FILTER(PartsDB[Hrs_Eng]*O140,PartsDB[Catalog]=I140),"")</f>
        <v/>
      </c>
      <c r="S140" s="92" t="str" cm="1">
        <f t="array" ref="S140">IF(ISNUMBER(O140),_xlfn._xlws.FILTER(PartsDB[Hrs_PanelAssy]*M140*O140,PartsDB[Catalog]=I140),"")</f>
        <v/>
      </c>
    </row>
    <row r="141" spans="1:19" ht="16.5" thickTop="1" thickBot="1" x14ac:dyDescent="0.3">
      <c r="A141" s="96" t="str">
        <f>IF(B141="","",MAX(A$4:A140)+1)</f>
        <v/>
      </c>
      <c r="B141" s="99" t="str">
        <f t="shared" si="6"/>
        <v/>
      </c>
      <c r="C141" s="35"/>
      <c r="D141" s="35"/>
      <c r="E141" s="35"/>
      <c r="F141" s="35"/>
      <c r="G141" s="36"/>
      <c r="O141" s="19" t="str">
        <f t="shared" si="7"/>
        <v/>
      </c>
      <c r="P141" s="3" t="str">
        <f t="shared" si="8"/>
        <v/>
      </c>
      <c r="Q141" s="93" t="str" cm="1">
        <f t="array" ref="Q141">IF(ISNUMBER(O141),_xlfn._xlws.FILTER(PartsDB[Hrs_ShopAssy]*N141*O141,PartsDB[Catalog]=I141),"")</f>
        <v/>
      </c>
      <c r="R141" s="92" t="str" cm="1">
        <f t="array" ref="R141">IF(ISNUMBER(O141),_xlfn._xlws.FILTER(PartsDB[Hrs_Eng]*O141,PartsDB[Catalog]=I141),"")</f>
        <v/>
      </c>
      <c r="S141" s="92" t="str" cm="1">
        <f t="array" ref="S141">IF(ISNUMBER(O141),_xlfn._xlws.FILTER(PartsDB[Hrs_PanelAssy]*M141*O141,PartsDB[Catalog]=I141),"")</f>
        <v/>
      </c>
    </row>
    <row r="142" spans="1:19" ht="16.5" thickTop="1" thickBot="1" x14ac:dyDescent="0.3">
      <c r="A142" s="96" t="str">
        <f>IF(B142="","",MAX(A$4:A141)+1)</f>
        <v/>
      </c>
      <c r="B142" s="99" t="str">
        <f t="shared" si="6"/>
        <v/>
      </c>
      <c r="C142" s="35"/>
      <c r="D142" s="35"/>
      <c r="E142" s="35"/>
      <c r="F142" s="35"/>
      <c r="G142" s="36"/>
      <c r="O142" s="19" t="str">
        <f t="shared" si="7"/>
        <v/>
      </c>
      <c r="P142" s="3" t="str">
        <f t="shared" si="8"/>
        <v/>
      </c>
      <c r="Q142" s="93" t="str" cm="1">
        <f t="array" ref="Q142">IF(ISNUMBER(O142),_xlfn._xlws.FILTER(PartsDB[Hrs_ShopAssy]*N142*O142,PartsDB[Catalog]=I142),"")</f>
        <v/>
      </c>
      <c r="R142" s="92" t="str" cm="1">
        <f t="array" ref="R142">IF(ISNUMBER(O142),_xlfn._xlws.FILTER(PartsDB[Hrs_Eng]*O142,PartsDB[Catalog]=I142),"")</f>
        <v/>
      </c>
      <c r="S142" s="92" t="str" cm="1">
        <f t="array" ref="S142">IF(ISNUMBER(O142),_xlfn._xlws.FILTER(PartsDB[Hrs_PanelAssy]*M142*O142,PartsDB[Catalog]=I142),"")</f>
        <v/>
      </c>
    </row>
    <row r="143" spans="1:19" ht="16.5" thickTop="1" thickBot="1" x14ac:dyDescent="0.3">
      <c r="A143" s="96" t="str">
        <f>IF(B143="","",MAX(A$4:A142)+1)</f>
        <v/>
      </c>
      <c r="B143" s="99" t="str">
        <f t="shared" si="6"/>
        <v/>
      </c>
      <c r="C143" s="35"/>
      <c r="D143" s="35"/>
      <c r="E143" s="35"/>
      <c r="F143" s="35"/>
      <c r="G143" s="36"/>
      <c r="O143" s="19" t="str">
        <f t="shared" si="7"/>
        <v/>
      </c>
      <c r="P143" s="3" t="str">
        <f t="shared" si="8"/>
        <v/>
      </c>
      <c r="Q143" s="93" t="str" cm="1">
        <f t="array" ref="Q143">IF(ISNUMBER(O143),_xlfn._xlws.FILTER(PartsDB[Hrs_ShopAssy]*N143*O143,PartsDB[Catalog]=I143),"")</f>
        <v/>
      </c>
      <c r="R143" s="92" t="str" cm="1">
        <f t="array" ref="R143">IF(ISNUMBER(O143),_xlfn._xlws.FILTER(PartsDB[Hrs_Eng]*O143,PartsDB[Catalog]=I143),"")</f>
        <v/>
      </c>
      <c r="S143" s="92" t="str" cm="1">
        <f t="array" ref="S143">IF(ISNUMBER(O143),_xlfn._xlws.FILTER(PartsDB[Hrs_PanelAssy]*M143*O143,PartsDB[Catalog]=I143),"")</f>
        <v/>
      </c>
    </row>
    <row r="144" spans="1:19" ht="16.5" thickTop="1" thickBot="1" x14ac:dyDescent="0.3">
      <c r="A144" s="96" t="str">
        <f>IF(B144="","",MAX(A$4:A143)+1)</f>
        <v/>
      </c>
      <c r="B144" s="99" t="str">
        <f t="shared" si="6"/>
        <v/>
      </c>
      <c r="C144" s="35"/>
      <c r="D144" s="35"/>
      <c r="E144" s="35"/>
      <c r="F144" s="35"/>
      <c r="G144" s="36"/>
      <c r="O144" s="19" t="str">
        <f t="shared" si="7"/>
        <v/>
      </c>
      <c r="P144" s="3" t="str">
        <f t="shared" si="8"/>
        <v/>
      </c>
      <c r="Q144" s="93" t="str" cm="1">
        <f t="array" ref="Q144">IF(ISNUMBER(O144),_xlfn._xlws.FILTER(PartsDB[Hrs_ShopAssy]*N144*O144,PartsDB[Catalog]=I144),"")</f>
        <v/>
      </c>
      <c r="R144" s="92" t="str" cm="1">
        <f t="array" ref="R144">IF(ISNUMBER(O144),_xlfn._xlws.FILTER(PartsDB[Hrs_Eng]*O144,PartsDB[Catalog]=I144),"")</f>
        <v/>
      </c>
      <c r="S144" s="92" t="str" cm="1">
        <f t="array" ref="S144">IF(ISNUMBER(O144),_xlfn._xlws.FILTER(PartsDB[Hrs_PanelAssy]*M144*O144,PartsDB[Catalog]=I144),"")</f>
        <v/>
      </c>
    </row>
    <row r="145" spans="1:19" ht="16.5" thickTop="1" thickBot="1" x14ac:dyDescent="0.3">
      <c r="A145" s="96" t="str">
        <f>IF(B145="","",MAX(A$4:A144)+1)</f>
        <v/>
      </c>
      <c r="B145" s="99" t="str">
        <f t="shared" si="6"/>
        <v/>
      </c>
      <c r="C145" s="35"/>
      <c r="D145" s="35"/>
      <c r="E145" s="35"/>
      <c r="F145" s="35"/>
      <c r="G145" s="36"/>
      <c r="O145" s="19" t="str">
        <f t="shared" si="7"/>
        <v/>
      </c>
      <c r="P145" s="3" t="str">
        <f t="shared" si="8"/>
        <v/>
      </c>
      <c r="Q145" s="93" t="str" cm="1">
        <f t="array" ref="Q145">IF(ISNUMBER(O145),_xlfn._xlws.FILTER(PartsDB[Hrs_ShopAssy]*N145*O145,PartsDB[Catalog]=I145),"")</f>
        <v/>
      </c>
      <c r="R145" s="92" t="str" cm="1">
        <f t="array" ref="R145">IF(ISNUMBER(O145),_xlfn._xlws.FILTER(PartsDB[Hrs_Eng]*O145,PartsDB[Catalog]=I145),"")</f>
        <v/>
      </c>
      <c r="S145" s="92" t="str" cm="1">
        <f t="array" ref="S145">IF(ISNUMBER(O145),_xlfn._xlws.FILTER(PartsDB[Hrs_PanelAssy]*M145*O145,PartsDB[Catalog]=I145),"")</f>
        <v/>
      </c>
    </row>
    <row r="146" spans="1:19" ht="16.5" thickTop="1" thickBot="1" x14ac:dyDescent="0.3">
      <c r="A146" s="96" t="str">
        <f>IF(B146="","",MAX(A$4:A145)+1)</f>
        <v/>
      </c>
      <c r="B146" s="99" t="str">
        <f t="shared" si="6"/>
        <v/>
      </c>
      <c r="C146" s="35"/>
      <c r="D146" s="35"/>
      <c r="E146" s="35"/>
      <c r="F146" s="35"/>
      <c r="G146" s="36"/>
      <c r="O146" s="19" t="str">
        <f t="shared" si="7"/>
        <v/>
      </c>
      <c r="P146" s="3" t="str">
        <f t="shared" si="8"/>
        <v/>
      </c>
      <c r="Q146" s="93" t="str" cm="1">
        <f t="array" ref="Q146">IF(ISNUMBER(O146),_xlfn._xlws.FILTER(PartsDB[Hrs_ShopAssy]*N146*O146,PartsDB[Catalog]=I146),"")</f>
        <v/>
      </c>
      <c r="R146" s="92" t="str" cm="1">
        <f t="array" ref="R146">IF(ISNUMBER(O146),_xlfn._xlws.FILTER(PartsDB[Hrs_Eng]*O146,PartsDB[Catalog]=I146),"")</f>
        <v/>
      </c>
      <c r="S146" s="92" t="str" cm="1">
        <f t="array" ref="S146">IF(ISNUMBER(O146),_xlfn._xlws.FILTER(PartsDB[Hrs_PanelAssy]*M146*O146,PartsDB[Catalog]=I146),"")</f>
        <v/>
      </c>
    </row>
    <row r="147" spans="1:19" ht="16.5" thickTop="1" thickBot="1" x14ac:dyDescent="0.3">
      <c r="A147" s="96" t="str">
        <f>IF(B147="","",MAX(A$4:A146)+1)</f>
        <v/>
      </c>
      <c r="B147" s="99" t="str">
        <f t="shared" si="6"/>
        <v/>
      </c>
      <c r="C147" s="35"/>
      <c r="D147" s="35"/>
      <c r="E147" s="35"/>
      <c r="F147" s="35"/>
      <c r="G147" s="36"/>
      <c r="O147" s="19" t="str">
        <f t="shared" si="7"/>
        <v/>
      </c>
      <c r="P147" s="3" t="str">
        <f t="shared" si="8"/>
        <v/>
      </c>
      <c r="Q147" s="93" t="str" cm="1">
        <f t="array" ref="Q147">IF(ISNUMBER(O147),_xlfn._xlws.FILTER(PartsDB[Hrs_ShopAssy]*N147*O147,PartsDB[Catalog]=I147),"")</f>
        <v/>
      </c>
      <c r="R147" s="92" t="str" cm="1">
        <f t="array" ref="R147">IF(ISNUMBER(O147),_xlfn._xlws.FILTER(PartsDB[Hrs_Eng]*O147,PartsDB[Catalog]=I147),"")</f>
        <v/>
      </c>
      <c r="S147" s="92" t="str" cm="1">
        <f t="array" ref="S147">IF(ISNUMBER(O147),_xlfn._xlws.FILTER(PartsDB[Hrs_PanelAssy]*M147*O147,PartsDB[Catalog]=I147),"")</f>
        <v/>
      </c>
    </row>
    <row r="148" spans="1:19" ht="16.5" thickTop="1" thickBot="1" x14ac:dyDescent="0.3">
      <c r="A148" s="96" t="str">
        <f>IF(B148="","",MAX(A$4:A147)+1)</f>
        <v/>
      </c>
      <c r="B148" s="99" t="str">
        <f t="shared" si="6"/>
        <v/>
      </c>
      <c r="C148" s="35"/>
      <c r="D148" s="35"/>
      <c r="E148" s="35"/>
      <c r="F148" s="35"/>
      <c r="G148" s="36"/>
      <c r="O148" s="19" t="str">
        <f t="shared" si="7"/>
        <v/>
      </c>
      <c r="P148" s="3" t="str">
        <f t="shared" si="8"/>
        <v/>
      </c>
      <c r="Q148" s="93" t="str" cm="1">
        <f t="array" ref="Q148">IF(ISNUMBER(O148),_xlfn._xlws.FILTER(PartsDB[Hrs_ShopAssy]*N148*O148,PartsDB[Catalog]=I148),"")</f>
        <v/>
      </c>
      <c r="R148" s="92" t="str" cm="1">
        <f t="array" ref="R148">IF(ISNUMBER(O148),_xlfn._xlws.FILTER(PartsDB[Hrs_Eng]*O148,PartsDB[Catalog]=I148),"")</f>
        <v/>
      </c>
      <c r="S148" s="92" t="str" cm="1">
        <f t="array" ref="S148">IF(ISNUMBER(O148),_xlfn._xlws.FILTER(PartsDB[Hrs_PanelAssy]*M148*O148,PartsDB[Catalog]=I148),"")</f>
        <v/>
      </c>
    </row>
    <row r="149" spans="1:19" ht="16.5" thickTop="1" thickBot="1" x14ac:dyDescent="0.3">
      <c r="A149" s="96" t="str">
        <f>IF(B149="","",MAX(A$4:A148)+1)</f>
        <v/>
      </c>
      <c r="B149" s="99" t="str">
        <f t="shared" si="6"/>
        <v/>
      </c>
      <c r="C149" s="35"/>
      <c r="D149" s="35"/>
      <c r="E149" s="35"/>
      <c r="F149" s="35"/>
      <c r="G149" s="36"/>
      <c r="O149" s="19" t="str">
        <f t="shared" si="7"/>
        <v/>
      </c>
      <c r="P149" s="3" t="str">
        <f t="shared" si="8"/>
        <v/>
      </c>
      <c r="Q149" s="93" t="str" cm="1">
        <f t="array" ref="Q149">IF(ISNUMBER(O149),_xlfn._xlws.FILTER(PartsDB[Hrs_ShopAssy]*N149*O149,PartsDB[Catalog]=I149),"")</f>
        <v/>
      </c>
      <c r="R149" s="92" t="str" cm="1">
        <f t="array" ref="R149">IF(ISNUMBER(O149),_xlfn._xlws.FILTER(PartsDB[Hrs_Eng]*O149,PartsDB[Catalog]=I149),"")</f>
        <v/>
      </c>
      <c r="S149" s="92" t="str" cm="1">
        <f t="array" ref="S149">IF(ISNUMBER(O149),_xlfn._xlws.FILTER(PartsDB[Hrs_PanelAssy]*M149*O149,PartsDB[Catalog]=I149),"")</f>
        <v/>
      </c>
    </row>
    <row r="150" spans="1:19" ht="16.5" thickTop="1" thickBot="1" x14ac:dyDescent="0.3">
      <c r="A150" s="96" t="str">
        <f>IF(B150="","",MAX(A$4:A149)+1)</f>
        <v/>
      </c>
      <c r="B150" s="99" t="str">
        <f t="shared" si="6"/>
        <v/>
      </c>
      <c r="C150" s="35"/>
      <c r="D150" s="35"/>
      <c r="E150" s="35"/>
      <c r="F150" s="35"/>
      <c r="G150" s="36"/>
      <c r="O150" s="19" t="str">
        <f t="shared" si="7"/>
        <v/>
      </c>
      <c r="P150" s="3" t="str">
        <f t="shared" si="8"/>
        <v/>
      </c>
      <c r="Q150" s="93" t="str" cm="1">
        <f t="array" ref="Q150">IF(ISNUMBER(O150),_xlfn._xlws.FILTER(PartsDB[Hrs_ShopAssy]*N150*O150,PartsDB[Catalog]=I150),"")</f>
        <v/>
      </c>
      <c r="R150" s="92" t="str" cm="1">
        <f t="array" ref="R150">IF(ISNUMBER(O150),_xlfn._xlws.FILTER(PartsDB[Hrs_Eng]*O150,PartsDB[Catalog]=I150),"")</f>
        <v/>
      </c>
      <c r="S150" s="92" t="str" cm="1">
        <f t="array" ref="S150">IF(ISNUMBER(O150),_xlfn._xlws.FILTER(PartsDB[Hrs_PanelAssy]*M150*O150,PartsDB[Catalog]=I150),"")</f>
        <v/>
      </c>
    </row>
    <row r="151" spans="1:19" ht="16.5" thickTop="1" thickBot="1" x14ac:dyDescent="0.3">
      <c r="A151" s="96" t="str">
        <f>IF(B151="","",MAX(A$4:A150)+1)</f>
        <v/>
      </c>
      <c r="B151" s="99" t="str">
        <f t="shared" si="6"/>
        <v/>
      </c>
      <c r="C151" s="35"/>
      <c r="D151" s="35"/>
      <c r="E151" s="35"/>
      <c r="F151" s="35"/>
      <c r="G151" s="36"/>
      <c r="O151" s="19" t="str">
        <f t="shared" si="7"/>
        <v/>
      </c>
      <c r="P151" s="3" t="str">
        <f t="shared" si="8"/>
        <v/>
      </c>
      <c r="Q151" s="93" t="str" cm="1">
        <f t="array" ref="Q151">IF(ISNUMBER(O151),_xlfn._xlws.FILTER(PartsDB[Hrs_ShopAssy]*N151*O151,PartsDB[Catalog]=I151),"")</f>
        <v/>
      </c>
      <c r="R151" s="92" t="str" cm="1">
        <f t="array" ref="R151">IF(ISNUMBER(O151),_xlfn._xlws.FILTER(PartsDB[Hrs_Eng]*O151,PartsDB[Catalog]=I151),"")</f>
        <v/>
      </c>
      <c r="S151" s="92" t="str" cm="1">
        <f t="array" ref="S151">IF(ISNUMBER(O151),_xlfn._xlws.FILTER(PartsDB[Hrs_PanelAssy]*M151*O151,PartsDB[Catalog]=I151),"")</f>
        <v/>
      </c>
    </row>
    <row r="152" spans="1:19" ht="16.5" thickTop="1" thickBot="1" x14ac:dyDescent="0.3">
      <c r="A152" s="96" t="str">
        <f>IF(B152="","",MAX(A$4:A151)+1)</f>
        <v/>
      </c>
      <c r="B152" s="99" t="str">
        <f t="shared" si="6"/>
        <v/>
      </c>
      <c r="C152" s="35"/>
      <c r="D152" s="35"/>
      <c r="E152" s="35"/>
      <c r="F152" s="35"/>
      <c r="G152" s="36"/>
      <c r="O152" s="19" t="str">
        <f t="shared" si="7"/>
        <v/>
      </c>
      <c r="P152" s="3" t="str">
        <f t="shared" si="8"/>
        <v/>
      </c>
      <c r="Q152" s="93" t="str" cm="1">
        <f t="array" ref="Q152">IF(ISNUMBER(O152),_xlfn._xlws.FILTER(PartsDB[Hrs_ShopAssy]*N152*O152,PartsDB[Catalog]=I152),"")</f>
        <v/>
      </c>
      <c r="R152" s="92" t="str" cm="1">
        <f t="array" ref="R152">IF(ISNUMBER(O152),_xlfn._xlws.FILTER(PartsDB[Hrs_Eng]*O152,PartsDB[Catalog]=I152),"")</f>
        <v/>
      </c>
      <c r="S152" s="92" t="str" cm="1">
        <f t="array" ref="S152">IF(ISNUMBER(O152),_xlfn._xlws.FILTER(PartsDB[Hrs_PanelAssy]*M152*O152,PartsDB[Catalog]=I152),"")</f>
        <v/>
      </c>
    </row>
    <row r="153" spans="1:19" ht="16.5" thickTop="1" thickBot="1" x14ac:dyDescent="0.3">
      <c r="A153" s="96" t="str">
        <f>IF(B153="","",MAX(A$4:A152)+1)</f>
        <v/>
      </c>
      <c r="B153" s="99" t="str">
        <f t="shared" si="6"/>
        <v/>
      </c>
      <c r="C153" s="35"/>
      <c r="D153" s="35"/>
      <c r="E153" s="35"/>
      <c r="F153" s="35"/>
      <c r="G153" s="36"/>
      <c r="O153" s="19" t="str">
        <f t="shared" si="7"/>
        <v/>
      </c>
      <c r="P153" s="3" t="str">
        <f t="shared" si="8"/>
        <v/>
      </c>
      <c r="Q153" s="93" t="str" cm="1">
        <f t="array" ref="Q153">IF(ISNUMBER(O153),_xlfn._xlws.FILTER(PartsDB[Hrs_ShopAssy]*N153*O153,PartsDB[Catalog]=I153),"")</f>
        <v/>
      </c>
      <c r="R153" s="92" t="str" cm="1">
        <f t="array" ref="R153">IF(ISNUMBER(O153),_xlfn._xlws.FILTER(PartsDB[Hrs_Eng]*O153,PartsDB[Catalog]=I153),"")</f>
        <v/>
      </c>
      <c r="S153" s="92" t="str" cm="1">
        <f t="array" ref="S153">IF(ISNUMBER(O153),_xlfn._xlws.FILTER(PartsDB[Hrs_PanelAssy]*M153*O153,PartsDB[Catalog]=I153),"")</f>
        <v/>
      </c>
    </row>
    <row r="154" spans="1:19" ht="16.5" thickTop="1" thickBot="1" x14ac:dyDescent="0.3">
      <c r="A154" s="96" t="str">
        <f>IF(B154="","",MAX(A$4:A153)+1)</f>
        <v/>
      </c>
      <c r="B154" s="99" t="str">
        <f t="shared" si="6"/>
        <v/>
      </c>
      <c r="C154" s="35"/>
      <c r="D154" s="35"/>
      <c r="E154" s="35"/>
      <c r="F154" s="35"/>
      <c r="G154" s="36"/>
      <c r="O154" s="19" t="str">
        <f t="shared" si="7"/>
        <v/>
      </c>
      <c r="P154" s="3" t="str">
        <f t="shared" si="8"/>
        <v/>
      </c>
      <c r="Q154" s="93" t="str" cm="1">
        <f t="array" ref="Q154">IF(ISNUMBER(O154),_xlfn._xlws.FILTER(PartsDB[Hrs_ShopAssy]*N154*O154,PartsDB[Catalog]=I154),"")</f>
        <v/>
      </c>
      <c r="R154" s="92" t="str" cm="1">
        <f t="array" ref="R154">IF(ISNUMBER(O154),_xlfn._xlws.FILTER(PartsDB[Hrs_Eng]*O154,PartsDB[Catalog]=I154),"")</f>
        <v/>
      </c>
      <c r="S154" s="92" t="str" cm="1">
        <f t="array" ref="S154">IF(ISNUMBER(O154),_xlfn._xlws.FILTER(PartsDB[Hrs_PanelAssy]*M154*O154,PartsDB[Catalog]=I154),"")</f>
        <v/>
      </c>
    </row>
    <row r="155" spans="1:19" ht="16.5" thickTop="1" thickBot="1" x14ac:dyDescent="0.3">
      <c r="A155" s="96" t="str">
        <f>IF(B155="","",MAX(A$4:A154)+1)</f>
        <v/>
      </c>
      <c r="B155" s="99" t="str">
        <f t="shared" si="6"/>
        <v/>
      </c>
      <c r="C155" s="35"/>
      <c r="D155" s="35"/>
      <c r="E155" s="35"/>
      <c r="F155" s="35"/>
      <c r="G155" s="36"/>
      <c r="O155" s="19" t="str">
        <f t="shared" si="7"/>
        <v/>
      </c>
      <c r="P155" s="3" t="str">
        <f t="shared" si="8"/>
        <v/>
      </c>
      <c r="Q155" s="93" t="str" cm="1">
        <f t="array" ref="Q155">IF(ISNUMBER(O155),_xlfn._xlws.FILTER(PartsDB[Hrs_ShopAssy]*N155*O155,PartsDB[Catalog]=I155),"")</f>
        <v/>
      </c>
      <c r="R155" s="92" t="str" cm="1">
        <f t="array" ref="R155">IF(ISNUMBER(O155),_xlfn._xlws.FILTER(PartsDB[Hrs_Eng]*O155,PartsDB[Catalog]=I155),"")</f>
        <v/>
      </c>
      <c r="S155" s="92" t="str" cm="1">
        <f t="array" ref="S155">IF(ISNUMBER(O155),_xlfn._xlws.FILTER(PartsDB[Hrs_PanelAssy]*M155*O155,PartsDB[Catalog]=I155),"")</f>
        <v/>
      </c>
    </row>
    <row r="156" spans="1:19" ht="16.5" thickTop="1" thickBot="1" x14ac:dyDescent="0.3">
      <c r="A156" s="96" t="str">
        <f>IF(B156="","",MAX(A$4:A155)+1)</f>
        <v/>
      </c>
      <c r="B156" s="99" t="str">
        <f t="shared" si="6"/>
        <v/>
      </c>
      <c r="C156" s="35"/>
      <c r="D156" s="35"/>
      <c r="E156" s="35"/>
      <c r="F156" s="35"/>
      <c r="G156" s="36"/>
      <c r="O156" s="19" t="str">
        <f t="shared" si="7"/>
        <v/>
      </c>
      <c r="P156" s="3" t="str">
        <f t="shared" si="8"/>
        <v/>
      </c>
      <c r="Q156" s="93" t="str" cm="1">
        <f t="array" ref="Q156">IF(ISNUMBER(O156),_xlfn._xlws.FILTER(PartsDB[Hrs_ShopAssy]*N156*O156,PartsDB[Catalog]=I156),"")</f>
        <v/>
      </c>
      <c r="R156" s="92" t="str" cm="1">
        <f t="array" ref="R156">IF(ISNUMBER(O156),_xlfn._xlws.FILTER(PartsDB[Hrs_Eng]*O156,PartsDB[Catalog]=I156),"")</f>
        <v/>
      </c>
      <c r="S156" s="92" t="str" cm="1">
        <f t="array" ref="S156">IF(ISNUMBER(O156),_xlfn._xlws.FILTER(PartsDB[Hrs_PanelAssy]*M156*O156,PartsDB[Catalog]=I156),"")</f>
        <v/>
      </c>
    </row>
    <row r="157" spans="1:19" ht="16.5" thickTop="1" thickBot="1" x14ac:dyDescent="0.3">
      <c r="A157" s="96" t="str">
        <f>IF(B157="","",MAX(A$4:A156)+1)</f>
        <v/>
      </c>
      <c r="B157" s="99" t="str">
        <f t="shared" si="6"/>
        <v/>
      </c>
      <c r="C157" s="35"/>
      <c r="D157" s="35"/>
      <c r="E157" s="35"/>
      <c r="F157" s="35"/>
      <c r="G157" s="36"/>
      <c r="O157" s="19" t="str">
        <f t="shared" si="7"/>
        <v/>
      </c>
      <c r="P157" s="3" t="str">
        <f t="shared" si="8"/>
        <v/>
      </c>
      <c r="Q157" s="93" t="str" cm="1">
        <f t="array" ref="Q157">IF(ISNUMBER(O157),_xlfn._xlws.FILTER(PartsDB[Hrs_ShopAssy]*N157*O157,PartsDB[Catalog]=I157),"")</f>
        <v/>
      </c>
      <c r="R157" s="92" t="str" cm="1">
        <f t="array" ref="R157">IF(ISNUMBER(O157),_xlfn._xlws.FILTER(PartsDB[Hrs_Eng]*O157,PartsDB[Catalog]=I157),"")</f>
        <v/>
      </c>
      <c r="S157" s="92" t="str" cm="1">
        <f t="array" ref="S157">IF(ISNUMBER(O157),_xlfn._xlws.FILTER(PartsDB[Hrs_PanelAssy]*M157*O157,PartsDB[Catalog]=I157),"")</f>
        <v/>
      </c>
    </row>
    <row r="158" spans="1:19" ht="16.5" thickTop="1" thickBot="1" x14ac:dyDescent="0.3">
      <c r="A158" s="96" t="str">
        <f>IF(B158="","",MAX(A$4:A157)+1)</f>
        <v/>
      </c>
      <c r="B158" s="99" t="str">
        <f t="shared" si="6"/>
        <v/>
      </c>
      <c r="C158" s="35"/>
      <c r="D158" s="35"/>
      <c r="E158" s="35"/>
      <c r="F158" s="35"/>
      <c r="G158" s="36"/>
      <c r="O158" s="19" t="str">
        <f t="shared" si="7"/>
        <v/>
      </c>
      <c r="P158" s="3" t="str">
        <f t="shared" si="8"/>
        <v/>
      </c>
      <c r="Q158" s="93" t="str" cm="1">
        <f t="array" ref="Q158">IF(ISNUMBER(O158),_xlfn._xlws.FILTER(PartsDB[Hrs_ShopAssy]*N158*O158,PartsDB[Catalog]=I158),"")</f>
        <v/>
      </c>
      <c r="R158" s="92" t="str" cm="1">
        <f t="array" ref="R158">IF(ISNUMBER(O158),_xlfn._xlws.FILTER(PartsDB[Hrs_Eng]*O158,PartsDB[Catalog]=I158),"")</f>
        <v/>
      </c>
      <c r="S158" s="92" t="str" cm="1">
        <f t="array" ref="S158">IF(ISNUMBER(O158),_xlfn._xlws.FILTER(PartsDB[Hrs_PanelAssy]*M158*O158,PartsDB[Catalog]=I158),"")</f>
        <v/>
      </c>
    </row>
    <row r="159" spans="1:19" ht="16.5" thickTop="1" thickBot="1" x14ac:dyDescent="0.3">
      <c r="A159" s="96" t="str">
        <f>IF(B159="","",MAX(A$4:A158)+1)</f>
        <v/>
      </c>
      <c r="B159" s="99" t="str">
        <f t="shared" si="6"/>
        <v/>
      </c>
      <c r="C159" s="35"/>
      <c r="D159" s="35"/>
      <c r="E159" s="35"/>
      <c r="F159" s="35"/>
      <c r="G159" s="36"/>
      <c r="O159" s="19"/>
      <c r="P159" s="3"/>
      <c r="Q159" s="93" t="str" cm="1">
        <f t="array" ref="Q159">IF(ISNUMBER(O159),_xlfn._xlws.FILTER(PartsDB[Hrs_ShopAssy]*N159*O159,PartsDB[Catalog]=I159),"")</f>
        <v/>
      </c>
      <c r="R159" s="92" t="str" cm="1">
        <f t="array" ref="R159">IF(ISNUMBER(O159),_xlfn._xlws.FILTER(PartsDB[Hrs_Eng]*O159,PartsDB[Catalog]=I159),"")</f>
        <v/>
      </c>
      <c r="S159" s="92" t="str" cm="1">
        <f t="array" ref="S159">IF(ISNUMBER(O159),_xlfn._xlws.FILTER(PartsDB[Hrs_PanelAssy]*M159*O159,PartsDB[Catalog]=I159),"")</f>
        <v/>
      </c>
    </row>
    <row r="160" spans="1:19" ht="16.5" thickTop="1" thickBot="1" x14ac:dyDescent="0.3">
      <c r="A160" s="96" t="str">
        <f>IF(B160="","",MAX(A$4:A159)+1)</f>
        <v/>
      </c>
      <c r="B160" s="99" t="str">
        <f t="shared" si="6"/>
        <v/>
      </c>
      <c r="C160" s="35"/>
      <c r="D160" s="35"/>
      <c r="E160" s="35"/>
      <c r="F160" s="35"/>
      <c r="G160" s="36"/>
      <c r="O160" s="19"/>
      <c r="P160" s="3"/>
      <c r="Q160" s="93" t="str" cm="1">
        <f t="array" ref="Q160">IF(ISNUMBER(O160),_xlfn._xlws.FILTER(PartsDB[Hrs_ShopAssy]*N160*O160,PartsDB[Catalog]=I160),"")</f>
        <v/>
      </c>
      <c r="R160" s="92" t="str" cm="1">
        <f t="array" ref="R160">IF(ISNUMBER(O160),_xlfn._xlws.FILTER(PartsDB[Hrs_Eng]*O160,PartsDB[Catalog]=I160),"")</f>
        <v/>
      </c>
      <c r="S160" s="92" t="str" cm="1">
        <f t="array" ref="S160">IF(ISNUMBER(O160),_xlfn._xlws.FILTER(PartsDB[Hrs_PanelAssy]*M160*O160,PartsDB[Catalog]=I160),"")</f>
        <v/>
      </c>
    </row>
    <row r="161" spans="1:19" ht="16.5" thickTop="1" thickBot="1" x14ac:dyDescent="0.3">
      <c r="A161" s="96" t="str">
        <f>IF(B161="","",MAX(A$4:A160)+1)</f>
        <v/>
      </c>
      <c r="B161" s="99" t="str">
        <f t="shared" si="6"/>
        <v/>
      </c>
      <c r="C161" s="35"/>
      <c r="D161" s="35"/>
      <c r="E161" s="35"/>
      <c r="F161" s="35"/>
      <c r="G161" s="36"/>
      <c r="O161" s="19"/>
      <c r="P161" s="3"/>
      <c r="Q161" s="93" t="str" cm="1">
        <f t="array" ref="Q161">IF(ISNUMBER(O161),_xlfn._xlws.FILTER(PartsDB[Hrs_ShopAssy]*N161*O161,PartsDB[Catalog]=I161),"")</f>
        <v/>
      </c>
      <c r="R161" s="92" t="str" cm="1">
        <f t="array" ref="R161">IF(ISNUMBER(O161),_xlfn._xlws.FILTER(PartsDB[Hrs_Eng]*O161,PartsDB[Catalog]=I161),"")</f>
        <v/>
      </c>
      <c r="S161" s="92" t="str" cm="1">
        <f t="array" ref="S161">IF(ISNUMBER(O161),_xlfn._xlws.FILTER(PartsDB[Hrs_PanelAssy]*M161*O161,PartsDB[Catalog]=I161),"")</f>
        <v/>
      </c>
    </row>
    <row r="162" spans="1:19" ht="16.5" thickTop="1" thickBot="1" x14ac:dyDescent="0.3">
      <c r="A162" s="96" t="str">
        <f>IF(B162="","",MAX(A$4:A161)+1)</f>
        <v/>
      </c>
      <c r="B162" s="99" t="str">
        <f t="shared" si="6"/>
        <v/>
      </c>
      <c r="C162" s="35"/>
      <c r="D162" s="35"/>
      <c r="E162" s="35"/>
      <c r="F162" s="35"/>
      <c r="G162" s="36"/>
      <c r="O162" s="19"/>
      <c r="P162" s="3"/>
      <c r="Q162" s="93" t="str" cm="1">
        <f t="array" ref="Q162">IF(ISNUMBER(O162),_xlfn._xlws.FILTER(PartsDB[Hrs_ShopAssy]*N162*O162,PartsDB[Catalog]=I162),"")</f>
        <v/>
      </c>
      <c r="R162" s="92" t="str" cm="1">
        <f t="array" ref="R162">IF(ISNUMBER(O162),_xlfn._xlws.FILTER(PartsDB[Hrs_Eng]*O162,PartsDB[Catalog]=I162),"")</f>
        <v/>
      </c>
      <c r="S162" s="92" t="str" cm="1">
        <f t="array" ref="S162">IF(ISNUMBER(O162),_xlfn._xlws.FILTER(PartsDB[Hrs_PanelAssy]*M162*O162,PartsDB[Catalog]=I162),"")</f>
        <v/>
      </c>
    </row>
    <row r="163" spans="1:19" ht="16.5" thickTop="1" thickBot="1" x14ac:dyDescent="0.3">
      <c r="A163" s="96" t="str">
        <f>IF(B163="","",MAX(A$4:A162)+1)</f>
        <v/>
      </c>
      <c r="B163" s="99" t="str">
        <f t="shared" si="6"/>
        <v/>
      </c>
      <c r="C163" s="35"/>
      <c r="D163" s="35"/>
      <c r="E163" s="35"/>
      <c r="F163" s="35"/>
      <c r="G163" s="36"/>
      <c r="O163" s="19"/>
      <c r="P163" s="3"/>
      <c r="Q163" s="93" t="str" cm="1">
        <f t="array" ref="Q163">IF(ISNUMBER(O163),_xlfn._xlws.FILTER(PartsDB[Hrs_ShopAssy]*N163*O163,PartsDB[Catalog]=I163),"")</f>
        <v/>
      </c>
      <c r="R163" s="92" t="str" cm="1">
        <f t="array" ref="R163">IF(ISNUMBER(O163),_xlfn._xlws.FILTER(PartsDB[Hrs_Eng]*O163,PartsDB[Catalog]=I163),"")</f>
        <v/>
      </c>
      <c r="S163" s="92" t="str" cm="1">
        <f t="array" ref="S163">IF(ISNUMBER(O163),_xlfn._xlws.FILTER(PartsDB[Hrs_PanelAssy]*M163*O163,PartsDB[Catalog]=I163),"")</f>
        <v/>
      </c>
    </row>
    <row r="164" spans="1:19" ht="16.5" thickTop="1" thickBot="1" x14ac:dyDescent="0.3">
      <c r="A164" s="96" t="str">
        <f>IF(B164="","",MAX(A$4:A163)+1)</f>
        <v/>
      </c>
      <c r="B164" s="99" t="str">
        <f t="shared" si="6"/>
        <v/>
      </c>
      <c r="C164" s="35"/>
      <c r="D164" s="35"/>
      <c r="E164" s="35"/>
      <c r="F164" s="35"/>
      <c r="G164" s="36"/>
      <c r="O164" s="19"/>
      <c r="P164" s="3"/>
      <c r="Q164" s="93" t="str" cm="1">
        <f t="array" ref="Q164">IF(ISNUMBER(O164),_xlfn._xlws.FILTER(PartsDB[Hrs_ShopAssy]*N164*O164,PartsDB[Catalog]=I164),"")</f>
        <v/>
      </c>
      <c r="R164" s="92" t="str" cm="1">
        <f t="array" ref="R164">IF(ISNUMBER(O164),_xlfn._xlws.FILTER(PartsDB[Hrs_Eng]*O164,PartsDB[Catalog]=I164),"")</f>
        <v/>
      </c>
      <c r="S164" s="92" t="str" cm="1">
        <f t="array" ref="S164">IF(ISNUMBER(O164),_xlfn._xlws.FILTER(PartsDB[Hrs_PanelAssy]*M164*O164,PartsDB[Catalog]=I164),"")</f>
        <v/>
      </c>
    </row>
    <row r="165" spans="1:19" ht="16.5" thickTop="1" thickBot="1" x14ac:dyDescent="0.3">
      <c r="A165" s="96" t="str">
        <f>IF(B165="","",MAX(A$4:A164)+1)</f>
        <v/>
      </c>
      <c r="B165" s="99" t="str">
        <f t="shared" si="6"/>
        <v/>
      </c>
      <c r="C165" s="35"/>
      <c r="D165" s="35"/>
      <c r="E165" s="35"/>
      <c r="F165" s="35"/>
      <c r="G165" s="36"/>
      <c r="O165" s="19"/>
      <c r="P165" s="3"/>
      <c r="Q165" s="93" t="str" cm="1">
        <f t="array" ref="Q165">IF(ISNUMBER(O165),_xlfn._xlws.FILTER(PartsDB[Hrs_ShopAssy]*N165*O165,PartsDB[Catalog]=I165),"")</f>
        <v/>
      </c>
      <c r="R165" s="92" t="str" cm="1">
        <f t="array" ref="R165">IF(ISNUMBER(O165),_xlfn._xlws.FILTER(PartsDB[Hrs_Eng]*O165,PartsDB[Catalog]=I165),"")</f>
        <v/>
      </c>
      <c r="S165" s="92" t="str" cm="1">
        <f t="array" ref="S165">IF(ISNUMBER(O165),_xlfn._xlws.FILTER(PartsDB[Hrs_PanelAssy]*M165*O165,PartsDB[Catalog]=I165),"")</f>
        <v/>
      </c>
    </row>
    <row r="166" spans="1:19" ht="16.5" thickTop="1" thickBot="1" x14ac:dyDescent="0.3">
      <c r="A166" s="96" t="str">
        <f>IF(B166="","",MAX(A$4:A165)+1)</f>
        <v/>
      </c>
      <c r="B166" s="99" t="str">
        <f t="shared" si="6"/>
        <v/>
      </c>
      <c r="C166" s="35"/>
      <c r="D166" s="35"/>
      <c r="E166" s="35"/>
      <c r="F166" s="35"/>
      <c r="G166" s="36"/>
      <c r="O166" s="19"/>
      <c r="P166" s="3"/>
      <c r="Q166" s="93" t="str" cm="1">
        <f t="array" ref="Q166">IF(ISNUMBER(O166),_xlfn._xlws.FILTER(PartsDB[Hrs_ShopAssy]*N166*O166,PartsDB[Catalog]=I166),"")</f>
        <v/>
      </c>
      <c r="R166" s="92" t="str" cm="1">
        <f t="array" ref="R166">IF(ISNUMBER(O166),_xlfn._xlws.FILTER(PartsDB[Hrs_Eng]*O166,PartsDB[Catalog]=I166),"")</f>
        <v/>
      </c>
      <c r="S166" s="92" t="str" cm="1">
        <f t="array" ref="S166">IF(ISNUMBER(O166),_xlfn._xlws.FILTER(PartsDB[Hrs_PanelAssy]*M166*O166,PartsDB[Catalog]=I166),"")</f>
        <v/>
      </c>
    </row>
    <row r="167" spans="1:19" ht="16.5" thickTop="1" thickBot="1" x14ac:dyDescent="0.3">
      <c r="A167" s="96" t="str">
        <f>IF(B167="","",MAX(A$4:A166)+1)</f>
        <v/>
      </c>
      <c r="B167" s="99" t="str">
        <f t="shared" si="6"/>
        <v/>
      </c>
      <c r="C167" s="35"/>
      <c r="D167" s="35"/>
      <c r="E167" s="35"/>
      <c r="F167" s="35"/>
      <c r="G167" s="36"/>
      <c r="O167" s="19"/>
      <c r="P167" s="3"/>
      <c r="Q167" s="93" t="str" cm="1">
        <f t="array" ref="Q167">IF(ISNUMBER(O167),_xlfn._xlws.FILTER(PartsDB[Hrs_ShopAssy]*N167*O167,PartsDB[Catalog]=I167),"")</f>
        <v/>
      </c>
      <c r="R167" s="92" t="str" cm="1">
        <f t="array" ref="R167">IF(ISNUMBER(O167),_xlfn._xlws.FILTER(PartsDB[Hrs_Eng]*O167,PartsDB[Catalog]=I167),"")</f>
        <v/>
      </c>
      <c r="S167" s="92" t="str" cm="1">
        <f t="array" ref="S167">IF(ISNUMBER(O167),_xlfn._xlws.FILTER(PartsDB[Hrs_PanelAssy]*M167*O167,PartsDB[Catalog]=I167),"")</f>
        <v/>
      </c>
    </row>
    <row r="168" spans="1:19" ht="16.5" thickTop="1" thickBot="1" x14ac:dyDescent="0.3">
      <c r="A168" s="96" t="str">
        <f>IF(B168="","",MAX(A$4:A167)+1)</f>
        <v/>
      </c>
      <c r="B168" s="99" t="str">
        <f t="shared" si="6"/>
        <v/>
      </c>
      <c r="C168" s="35"/>
      <c r="D168" s="35"/>
      <c r="E168" s="35"/>
      <c r="F168" s="35"/>
      <c r="G168" s="36"/>
      <c r="O168" s="19"/>
      <c r="P168" s="3"/>
      <c r="Q168" s="93" t="str" cm="1">
        <f t="array" ref="Q168">IF(ISNUMBER(O168),_xlfn._xlws.FILTER(PartsDB[Hrs_ShopAssy]*N168*O168,PartsDB[Catalog]=I168),"")</f>
        <v/>
      </c>
      <c r="R168" s="92" t="str" cm="1">
        <f t="array" ref="R168">IF(ISNUMBER(O168),_xlfn._xlws.FILTER(PartsDB[Hrs_Eng]*O168,PartsDB[Catalog]=I168),"")</f>
        <v/>
      </c>
      <c r="S168" s="92" t="str" cm="1">
        <f t="array" ref="S168">IF(ISNUMBER(O168),_xlfn._xlws.FILTER(PartsDB[Hrs_PanelAssy]*M168*O168,PartsDB[Catalog]=I168),"")</f>
        <v/>
      </c>
    </row>
    <row r="169" spans="1:19" ht="16.5" thickTop="1" thickBot="1" x14ac:dyDescent="0.3">
      <c r="A169" s="96" t="str">
        <f>IF(B169="","",MAX(A$4:A168)+1)</f>
        <v/>
      </c>
      <c r="B169" s="99" t="str">
        <f t="shared" si="6"/>
        <v/>
      </c>
      <c r="C169" s="35"/>
      <c r="D169" s="35"/>
      <c r="E169" s="35"/>
      <c r="F169" s="35"/>
      <c r="G169" s="36"/>
      <c r="O169" s="19"/>
      <c r="P169" s="3"/>
      <c r="Q169" s="93" t="str" cm="1">
        <f t="array" ref="Q169">IF(ISNUMBER(O169),_xlfn._xlws.FILTER(PartsDB[Hrs_ShopAssy]*N169*O169,PartsDB[Catalog]=I169),"")</f>
        <v/>
      </c>
      <c r="R169" s="92" t="str" cm="1">
        <f t="array" ref="R169">IF(ISNUMBER(O169),_xlfn._xlws.FILTER(PartsDB[Hrs_Eng]*O169,PartsDB[Catalog]=I169),"")</f>
        <v/>
      </c>
      <c r="S169" s="92" t="str" cm="1">
        <f t="array" ref="S169">IF(ISNUMBER(O169),_xlfn._xlws.FILTER(PartsDB[Hrs_PanelAssy]*M169*O169,PartsDB[Catalog]=I169),"")</f>
        <v/>
      </c>
    </row>
    <row r="170" spans="1:19" ht="16.5" thickTop="1" thickBot="1" x14ac:dyDescent="0.3">
      <c r="A170" s="96" t="str">
        <f>IF(B170="","",MAX(A$4:A169)+1)</f>
        <v/>
      </c>
      <c r="B170" s="99" t="str">
        <f t="shared" si="6"/>
        <v/>
      </c>
      <c r="C170" s="35"/>
      <c r="D170" s="35"/>
      <c r="E170" s="35"/>
      <c r="F170" s="35"/>
      <c r="G170" s="36"/>
      <c r="O170" s="19"/>
      <c r="P170" s="3"/>
      <c r="Q170" s="93" t="str" cm="1">
        <f t="array" ref="Q170">IF(ISNUMBER(O170),_xlfn._xlws.FILTER(PartsDB[Hrs_ShopAssy]*N170*O170,PartsDB[Catalog]=I170),"")</f>
        <v/>
      </c>
      <c r="R170" s="92" t="str" cm="1">
        <f t="array" ref="R170">IF(ISNUMBER(O170),_xlfn._xlws.FILTER(PartsDB[Hrs_Eng]*O170,PartsDB[Catalog]=I170),"")</f>
        <v/>
      </c>
      <c r="S170" s="92" t="str" cm="1">
        <f t="array" ref="S170">IF(ISNUMBER(O170),_xlfn._xlws.FILTER(PartsDB[Hrs_PanelAssy]*M170*O170,PartsDB[Catalog]=I170),"")</f>
        <v/>
      </c>
    </row>
    <row r="171" spans="1:19" ht="16.5" thickTop="1" thickBot="1" x14ac:dyDescent="0.3">
      <c r="A171" s="96" t="str">
        <f>IF(B171="","",MAX(A$4:A170)+1)</f>
        <v/>
      </c>
      <c r="B171" s="99" t="str">
        <f t="shared" si="6"/>
        <v/>
      </c>
      <c r="C171" s="35"/>
      <c r="D171" s="35"/>
      <c r="E171" s="35"/>
      <c r="F171" s="35"/>
      <c r="G171" s="36"/>
      <c r="O171" s="19"/>
      <c r="P171" s="3"/>
      <c r="Q171" s="93" t="str" cm="1">
        <f t="array" ref="Q171">IF(ISNUMBER(O171),_xlfn._xlws.FILTER(PartsDB[Hrs_ShopAssy]*N171*O171,PartsDB[Catalog]=I171),"")</f>
        <v/>
      </c>
      <c r="R171" s="92" t="str" cm="1">
        <f t="array" ref="R171">IF(ISNUMBER(O171),_xlfn._xlws.FILTER(PartsDB[Hrs_Eng]*O171,PartsDB[Catalog]=I171),"")</f>
        <v/>
      </c>
      <c r="S171" s="92" t="str" cm="1">
        <f t="array" ref="S171">IF(ISNUMBER(O171),_xlfn._xlws.FILTER(PartsDB[Hrs_PanelAssy]*M171*O171,PartsDB[Catalog]=I171),"")</f>
        <v/>
      </c>
    </row>
    <row r="172" spans="1:19" ht="16.5" thickTop="1" thickBot="1" x14ac:dyDescent="0.3">
      <c r="A172" s="96" t="str">
        <f>IF(B172="","",MAX(A$4:A171)+1)</f>
        <v/>
      </c>
      <c r="B172" s="99" t="str">
        <f t="shared" si="6"/>
        <v/>
      </c>
      <c r="C172" s="35"/>
      <c r="D172" s="35"/>
      <c r="E172" s="35"/>
      <c r="F172" s="35"/>
      <c r="G172" s="36"/>
      <c r="O172" s="19"/>
      <c r="P172" s="3"/>
      <c r="Q172" s="93" t="str" cm="1">
        <f t="array" ref="Q172">IF(ISNUMBER(O172),_xlfn._xlws.FILTER(PartsDB[Hrs_ShopAssy]*N172*O172,PartsDB[Catalog]=I172),"")</f>
        <v/>
      </c>
      <c r="R172" s="92" t="str" cm="1">
        <f t="array" ref="R172">IF(ISNUMBER(O172),_xlfn._xlws.FILTER(PartsDB[Hrs_Eng]*O172,PartsDB[Catalog]=I172),"")</f>
        <v/>
      </c>
      <c r="S172" s="92" t="str" cm="1">
        <f t="array" ref="S172">IF(ISNUMBER(O172),_xlfn._xlws.FILTER(PartsDB[Hrs_PanelAssy]*M172*O172,PartsDB[Catalog]=I172),"")</f>
        <v/>
      </c>
    </row>
    <row r="173" spans="1:19" ht="16.5" thickTop="1" thickBot="1" x14ac:dyDescent="0.3">
      <c r="A173" s="96" t="str">
        <f>IF(B173="","",MAX(A$4:A172)+1)</f>
        <v/>
      </c>
      <c r="B173" s="99" t="str">
        <f t="shared" si="6"/>
        <v/>
      </c>
      <c r="C173" s="35"/>
      <c r="D173" s="35"/>
      <c r="E173" s="35"/>
      <c r="F173" s="35"/>
      <c r="G173" s="36"/>
      <c r="O173" s="19"/>
      <c r="P173" s="3"/>
      <c r="Q173" s="93" t="str" cm="1">
        <f t="array" ref="Q173">IF(ISNUMBER(O173),_xlfn._xlws.FILTER(PartsDB[Hrs_ShopAssy]*N173*O173,PartsDB[Catalog]=I173),"")</f>
        <v/>
      </c>
      <c r="R173" s="92" t="str" cm="1">
        <f t="array" ref="R173">IF(ISNUMBER(O173),_xlfn._xlws.FILTER(PartsDB[Hrs_Eng]*O173,PartsDB[Catalog]=I173),"")</f>
        <v/>
      </c>
      <c r="S173" s="92" t="str" cm="1">
        <f t="array" ref="S173">IF(ISNUMBER(O173),_xlfn._xlws.FILTER(PartsDB[Hrs_PanelAssy]*M173*O173,PartsDB[Catalog]=I173),"")</f>
        <v/>
      </c>
    </row>
    <row r="174" spans="1:19" ht="16.5" thickTop="1" thickBot="1" x14ac:dyDescent="0.3">
      <c r="A174" s="96" t="str">
        <f>IF(B174="","",MAX(A$4:A173)+1)</f>
        <v/>
      </c>
      <c r="B174" s="99" t="str">
        <f t="shared" si="6"/>
        <v/>
      </c>
      <c r="C174" s="35"/>
      <c r="D174" s="35"/>
      <c r="E174" s="35"/>
      <c r="F174" s="35"/>
      <c r="G174" s="36"/>
      <c r="O174" s="19"/>
      <c r="P174" s="3"/>
      <c r="Q174" s="93" t="str" cm="1">
        <f t="array" ref="Q174">IF(ISNUMBER(O174),_xlfn._xlws.FILTER(PartsDB[Hrs_ShopAssy]*N174*O174,PartsDB[Catalog]=I174),"")</f>
        <v/>
      </c>
      <c r="R174" s="92" t="str" cm="1">
        <f t="array" ref="R174">IF(ISNUMBER(O174),_xlfn._xlws.FILTER(PartsDB[Hrs_Eng]*O174,PartsDB[Catalog]=I174),"")</f>
        <v/>
      </c>
      <c r="S174" s="92" t="str" cm="1">
        <f t="array" ref="S174">IF(ISNUMBER(O174),_xlfn._xlws.FILTER(PartsDB[Hrs_PanelAssy]*M174*O174,PartsDB[Catalog]=I174),"")</f>
        <v/>
      </c>
    </row>
    <row r="175" spans="1:19" ht="16.5" thickTop="1" thickBot="1" x14ac:dyDescent="0.3">
      <c r="A175" s="96" t="str">
        <f>IF(B175="","",MAX(A$4:A174)+1)</f>
        <v/>
      </c>
      <c r="B175" s="99" t="str">
        <f t="shared" si="6"/>
        <v/>
      </c>
      <c r="C175" s="35"/>
      <c r="D175" s="35"/>
      <c r="E175" s="35"/>
      <c r="F175" s="35"/>
      <c r="G175" s="36"/>
      <c r="O175" s="19"/>
      <c r="P175" s="3"/>
      <c r="Q175" s="93" t="str" cm="1">
        <f t="array" ref="Q175">IF(ISNUMBER(O175),_xlfn._xlws.FILTER(PartsDB[Hrs_ShopAssy]*N175*O175,PartsDB[Catalog]=I175),"")</f>
        <v/>
      </c>
      <c r="R175" s="92" t="str" cm="1">
        <f t="array" ref="R175">IF(ISNUMBER(O175),_xlfn._xlws.FILTER(PartsDB[Hrs_Eng]*O175,PartsDB[Catalog]=I175),"")</f>
        <v/>
      </c>
      <c r="S175" s="92" t="str" cm="1">
        <f t="array" ref="S175">IF(ISNUMBER(O175),_xlfn._xlws.FILTER(PartsDB[Hrs_PanelAssy]*M175*O175,PartsDB[Catalog]=I175),"")</f>
        <v/>
      </c>
    </row>
    <row r="176" spans="1:19" ht="16.5" thickTop="1" thickBot="1" x14ac:dyDescent="0.3">
      <c r="A176" s="96" t="str">
        <f>IF(B176="","",MAX(A$4:A175)+1)</f>
        <v/>
      </c>
      <c r="B176" s="99" t="str">
        <f t="shared" si="6"/>
        <v/>
      </c>
      <c r="C176" s="35"/>
      <c r="D176" s="35"/>
      <c r="E176" s="35"/>
      <c r="F176" s="35"/>
      <c r="G176" s="36"/>
      <c r="O176" s="19"/>
      <c r="P176" s="3"/>
      <c r="Q176" s="93" t="str" cm="1">
        <f t="array" ref="Q176">IF(ISNUMBER(O176),_xlfn._xlws.FILTER(PartsDB[Hrs_ShopAssy]*N176*O176,PartsDB[Catalog]=I176),"")</f>
        <v/>
      </c>
      <c r="R176" s="92" t="str" cm="1">
        <f t="array" ref="R176">IF(ISNUMBER(O176),_xlfn._xlws.FILTER(PartsDB[Hrs_Eng]*O176,PartsDB[Catalog]=I176),"")</f>
        <v/>
      </c>
      <c r="S176" s="92" t="str" cm="1">
        <f t="array" ref="S176">IF(ISNUMBER(O176),_xlfn._xlws.FILTER(PartsDB[Hrs_PanelAssy]*M176*O176,PartsDB[Catalog]=I176),"")</f>
        <v/>
      </c>
    </row>
    <row r="177" spans="1:19" ht="16.5" thickTop="1" thickBot="1" x14ac:dyDescent="0.3">
      <c r="A177" s="96" t="str">
        <f>IF(B177="","",MAX(A$4:A176)+1)</f>
        <v/>
      </c>
      <c r="B177" s="99" t="str">
        <f t="shared" si="6"/>
        <v/>
      </c>
      <c r="C177" s="35"/>
      <c r="D177" s="35"/>
      <c r="E177" s="35"/>
      <c r="F177" s="35"/>
      <c r="G177" s="36"/>
      <c r="O177" s="19"/>
      <c r="P177" s="3"/>
      <c r="Q177" s="93" t="str" cm="1">
        <f t="array" ref="Q177">IF(ISNUMBER(O177),_xlfn._xlws.FILTER(PartsDB[Hrs_ShopAssy]*N177*O177,PartsDB[Catalog]=I177),"")</f>
        <v/>
      </c>
      <c r="R177" s="92" t="str" cm="1">
        <f t="array" ref="R177">IF(ISNUMBER(O177),_xlfn._xlws.FILTER(PartsDB[Hrs_Eng]*O177,PartsDB[Catalog]=I177),"")</f>
        <v/>
      </c>
      <c r="S177" s="92" t="str" cm="1">
        <f t="array" ref="S177">IF(ISNUMBER(O177),_xlfn._xlws.FILTER(PartsDB[Hrs_PanelAssy]*M177*O177,PartsDB[Catalog]=I177),"")</f>
        <v/>
      </c>
    </row>
    <row r="178" spans="1:19" ht="16.5" thickTop="1" thickBot="1" x14ac:dyDescent="0.3">
      <c r="A178" s="96" t="str">
        <f>IF(B178="","",MAX(A$4:A177)+1)</f>
        <v/>
      </c>
      <c r="B178" s="99" t="str">
        <f t="shared" si="6"/>
        <v/>
      </c>
      <c r="C178" s="35"/>
      <c r="D178" s="35"/>
      <c r="E178" s="35"/>
      <c r="F178" s="35"/>
      <c r="G178" s="36"/>
      <c r="O178" s="19"/>
      <c r="P178" s="3"/>
      <c r="Q178" s="93" t="str" cm="1">
        <f t="array" ref="Q178">IF(ISNUMBER(O178),_xlfn._xlws.FILTER(PartsDB[Hrs_ShopAssy]*N178*O178,PartsDB[Catalog]=I178),"")</f>
        <v/>
      </c>
      <c r="R178" s="92" t="str" cm="1">
        <f t="array" ref="R178">IF(ISNUMBER(O178),_xlfn._xlws.FILTER(PartsDB[Hrs_Eng]*O178,PartsDB[Catalog]=I178),"")</f>
        <v/>
      </c>
      <c r="S178" s="92" t="str" cm="1">
        <f t="array" ref="S178">IF(ISNUMBER(O178),_xlfn._xlws.FILTER(PartsDB[Hrs_PanelAssy]*M178*O178,PartsDB[Catalog]=I178),"")</f>
        <v/>
      </c>
    </row>
    <row r="179" spans="1:19" ht="16.5" thickTop="1" thickBot="1" x14ac:dyDescent="0.3">
      <c r="A179" s="96" t="str">
        <f>IF(B179="","",MAX(A$4:A178)+1)</f>
        <v/>
      </c>
      <c r="B179" s="99" t="str">
        <f t="shared" si="6"/>
        <v/>
      </c>
      <c r="C179" s="35"/>
      <c r="D179" s="35"/>
      <c r="E179" s="35"/>
      <c r="F179" s="35"/>
      <c r="G179" s="36"/>
      <c r="O179" s="19"/>
      <c r="P179" s="3"/>
      <c r="Q179" s="93" t="str" cm="1">
        <f t="array" ref="Q179">IF(ISNUMBER(O179),_xlfn._xlws.FILTER(PartsDB[Hrs_ShopAssy]*N179*O179,PartsDB[Catalog]=I179),"")</f>
        <v/>
      </c>
      <c r="R179" s="92" t="str" cm="1">
        <f t="array" ref="R179">IF(ISNUMBER(O179),_xlfn._xlws.FILTER(PartsDB[Hrs_Eng]*O179,PartsDB[Catalog]=I179),"")</f>
        <v/>
      </c>
      <c r="S179" s="92" t="str" cm="1">
        <f t="array" ref="S179">IF(ISNUMBER(O179),_xlfn._xlws.FILTER(PartsDB[Hrs_PanelAssy]*M179*O179,PartsDB[Catalog]=I179),"")</f>
        <v/>
      </c>
    </row>
    <row r="180" spans="1:19" ht="16.5" thickTop="1" thickBot="1" x14ac:dyDescent="0.3">
      <c r="A180" s="96" t="str">
        <f>IF(B180="","",MAX(A$4:A179)+1)</f>
        <v/>
      </c>
      <c r="B180" s="99" t="str">
        <f t="shared" si="6"/>
        <v/>
      </c>
      <c r="C180" s="35"/>
      <c r="D180" s="35"/>
      <c r="E180" s="35"/>
      <c r="F180" s="35"/>
      <c r="G180" s="36"/>
      <c r="O180" s="19"/>
      <c r="P180" s="3"/>
      <c r="Q180" s="93" t="str" cm="1">
        <f t="array" ref="Q180">IF(ISNUMBER(O180),_xlfn._xlws.FILTER(PartsDB[Hrs_ShopAssy]*N180*O180,PartsDB[Catalog]=I180),"")</f>
        <v/>
      </c>
      <c r="R180" s="92" t="str" cm="1">
        <f t="array" ref="R180">IF(ISNUMBER(O180),_xlfn._xlws.FILTER(PartsDB[Hrs_Eng]*O180,PartsDB[Catalog]=I180),"")</f>
        <v/>
      </c>
      <c r="S180" s="92" t="str" cm="1">
        <f t="array" ref="S180">IF(ISNUMBER(O180),_xlfn._xlws.FILTER(PartsDB[Hrs_PanelAssy]*M180*O180,PartsDB[Catalog]=I180),"")</f>
        <v/>
      </c>
    </row>
    <row r="181" spans="1:19" ht="16.5" thickTop="1" thickBot="1" x14ac:dyDescent="0.3">
      <c r="A181" s="96" t="str">
        <f>IF(B181="","",MAX(A$4:A180)+1)</f>
        <v/>
      </c>
      <c r="B181" s="99" t="str">
        <f t="shared" si="6"/>
        <v/>
      </c>
      <c r="C181" s="35"/>
      <c r="D181" s="35"/>
      <c r="E181" s="35"/>
      <c r="F181" s="35"/>
      <c r="G181" s="36"/>
      <c r="O181" s="19" t="str">
        <f t="shared" ref="O181:O201" si="9">IF(ISNUMBER(J181),J181,"")</f>
        <v/>
      </c>
      <c r="P181" s="3" t="str">
        <f t="shared" ref="P181:P199" si="10">IF(ISNUMBER(O181),O181*K181,"")</f>
        <v/>
      </c>
      <c r="Q181" s="93" t="str" cm="1">
        <f t="array" ref="Q181">IF(ISNUMBER(O181),_xlfn._xlws.FILTER(PartsDB[Hrs_ShopAssy]*N181*O181,PartsDB[Catalog]=I181),"")</f>
        <v/>
      </c>
      <c r="R181" s="92" t="str" cm="1">
        <f t="array" ref="R181">IF(ISNUMBER(O181),_xlfn._xlws.FILTER(PartsDB[Hrs_Eng]*O181,PartsDB[Catalog]=I181),"")</f>
        <v/>
      </c>
      <c r="S181" s="92" t="str" cm="1">
        <f t="array" ref="S181">IF(ISNUMBER(O181),_xlfn._xlws.FILTER(PartsDB[Hrs_PanelAssy]*M181*O181,PartsDB[Catalog]=I181),"")</f>
        <v/>
      </c>
    </row>
    <row r="182" spans="1:19" ht="16.5" thickTop="1" thickBot="1" x14ac:dyDescent="0.3">
      <c r="A182" s="96" t="str">
        <f>IF(B182="","",MAX(A$4:A181)+1)</f>
        <v/>
      </c>
      <c r="B182" s="99" t="str">
        <f t="shared" si="6"/>
        <v/>
      </c>
      <c r="C182" s="35"/>
      <c r="D182" s="35"/>
      <c r="E182" s="35"/>
      <c r="F182" s="35"/>
      <c r="G182" s="36"/>
      <c r="O182" s="19" t="str">
        <f t="shared" si="9"/>
        <v/>
      </c>
      <c r="P182" s="3" t="str">
        <f t="shared" si="10"/>
        <v/>
      </c>
      <c r="Q182" s="93" t="str" cm="1">
        <f t="array" ref="Q182">IF(ISNUMBER(O182),_xlfn._xlws.FILTER(PartsDB[Hrs_ShopAssy]*N182*O182,PartsDB[Catalog]=I182),"")</f>
        <v/>
      </c>
      <c r="R182" s="92" t="str" cm="1">
        <f t="array" ref="R182">IF(ISNUMBER(O182),_xlfn._xlws.FILTER(PartsDB[Hrs_Eng]*O182,PartsDB[Catalog]=I182),"")</f>
        <v/>
      </c>
      <c r="S182" s="92" t="str" cm="1">
        <f t="array" ref="S182">IF(ISNUMBER(O182),_xlfn._xlws.FILTER(PartsDB[Hrs_PanelAssy]*M182*O182,PartsDB[Catalog]=I182),"")</f>
        <v/>
      </c>
    </row>
    <row r="183" spans="1:19" ht="16.5" thickTop="1" thickBot="1" x14ac:dyDescent="0.3">
      <c r="A183" s="96" t="str">
        <f>IF(B183="","",MAX(A$4:A182)+1)</f>
        <v/>
      </c>
      <c r="B183" s="99" t="str">
        <f t="shared" si="6"/>
        <v/>
      </c>
      <c r="C183" s="35"/>
      <c r="D183" s="35"/>
      <c r="E183" s="35"/>
      <c r="F183" s="35"/>
      <c r="G183" s="36"/>
      <c r="O183" s="19" t="str">
        <f t="shared" si="9"/>
        <v/>
      </c>
      <c r="P183" s="3" t="str">
        <f t="shared" si="10"/>
        <v/>
      </c>
      <c r="Q183" s="93" t="str" cm="1">
        <f t="array" ref="Q183">IF(ISNUMBER(O183),_xlfn._xlws.FILTER(PartsDB[Hrs_ShopAssy]*N183*O183,PartsDB[Catalog]=I183),"")</f>
        <v/>
      </c>
      <c r="R183" s="92" t="str" cm="1">
        <f t="array" ref="R183">IF(ISNUMBER(O183),_xlfn._xlws.FILTER(PartsDB[Hrs_Eng]*O183,PartsDB[Catalog]=I183),"")</f>
        <v/>
      </c>
      <c r="S183" s="92" t="str" cm="1">
        <f t="array" ref="S183">IF(ISNUMBER(O183),_xlfn._xlws.FILTER(PartsDB[Hrs_PanelAssy]*M183*O183,PartsDB[Catalog]=I183),"")</f>
        <v/>
      </c>
    </row>
    <row r="184" spans="1:19" ht="16.5" thickTop="1" thickBot="1" x14ac:dyDescent="0.3">
      <c r="A184" s="96" t="str">
        <f>IF(B184="","",MAX(A$4:A183)+1)</f>
        <v/>
      </c>
      <c r="B184" s="99" t="str">
        <f t="shared" si="6"/>
        <v/>
      </c>
      <c r="C184" s="35"/>
      <c r="D184" s="35"/>
      <c r="E184" s="35"/>
      <c r="F184" s="35"/>
      <c r="G184" s="36"/>
      <c r="O184" s="19" t="str">
        <f t="shared" si="9"/>
        <v/>
      </c>
      <c r="P184" s="3" t="str">
        <f t="shared" si="10"/>
        <v/>
      </c>
      <c r="Q184" s="93" t="str" cm="1">
        <f t="array" ref="Q184">IF(ISNUMBER(O184),_xlfn._xlws.FILTER(PartsDB[Hrs_ShopAssy]*N184*O184,PartsDB[Catalog]=I184),"")</f>
        <v/>
      </c>
      <c r="R184" s="92" t="str" cm="1">
        <f t="array" ref="R184">IF(ISNUMBER(O184),_xlfn._xlws.FILTER(PartsDB[Hrs_Eng]*O184,PartsDB[Catalog]=I184),"")</f>
        <v/>
      </c>
      <c r="S184" s="92" t="str" cm="1">
        <f t="array" ref="S184">IF(ISNUMBER(O184),_xlfn._xlws.FILTER(PartsDB[Hrs_PanelAssy]*M184*O184,PartsDB[Catalog]=I184),"")</f>
        <v/>
      </c>
    </row>
    <row r="185" spans="1:19" ht="16.5" thickTop="1" thickBot="1" x14ac:dyDescent="0.3">
      <c r="A185" s="96" t="str">
        <f>IF(B185="","",MAX(A$4:A184)+1)</f>
        <v/>
      </c>
      <c r="B185" s="99" t="str">
        <f t="shared" si="6"/>
        <v/>
      </c>
      <c r="C185" s="35"/>
      <c r="D185" s="35"/>
      <c r="E185" s="35"/>
      <c r="F185" s="35"/>
      <c r="G185" s="36"/>
      <c r="O185" s="19" t="str">
        <f t="shared" si="9"/>
        <v/>
      </c>
      <c r="P185" s="3" t="str">
        <f t="shared" si="10"/>
        <v/>
      </c>
      <c r="Q185" s="93" t="str" cm="1">
        <f t="array" ref="Q185">IF(ISNUMBER(O185),_xlfn._xlws.FILTER(PartsDB[Hrs_ShopAssy]*N185*O185,PartsDB[Catalog]=I185),"")</f>
        <v/>
      </c>
      <c r="R185" s="92" t="str" cm="1">
        <f t="array" ref="R185">IF(ISNUMBER(O185),_xlfn._xlws.FILTER(PartsDB[Hrs_Eng]*O185,PartsDB[Catalog]=I185),"")</f>
        <v/>
      </c>
      <c r="S185" s="92" t="str" cm="1">
        <f t="array" ref="S185">IF(ISNUMBER(O185),_xlfn._xlws.FILTER(PartsDB[Hrs_PanelAssy]*M185*O185,PartsDB[Catalog]=I185),"")</f>
        <v/>
      </c>
    </row>
    <row r="186" spans="1:19" ht="16.5" thickTop="1" thickBot="1" x14ac:dyDescent="0.3">
      <c r="A186" s="96" t="str">
        <f>IF(B186="","",MAX(A$4:A185)+1)</f>
        <v/>
      </c>
      <c r="B186" s="99" t="str">
        <f t="shared" si="6"/>
        <v/>
      </c>
      <c r="C186" s="35"/>
      <c r="D186" s="35"/>
      <c r="E186" s="35"/>
      <c r="F186" s="35"/>
      <c r="G186" s="36"/>
      <c r="O186" s="19" t="str">
        <f t="shared" si="9"/>
        <v/>
      </c>
      <c r="P186" s="3" t="str">
        <f t="shared" si="10"/>
        <v/>
      </c>
      <c r="Q186" s="93" t="str" cm="1">
        <f t="array" ref="Q186">IF(ISNUMBER(O186),_xlfn._xlws.FILTER(PartsDB[Hrs_ShopAssy]*N186*O186,PartsDB[Catalog]=I186),"")</f>
        <v/>
      </c>
      <c r="R186" s="92" t="str" cm="1">
        <f t="array" ref="R186">IF(ISNUMBER(O186),_xlfn._xlws.FILTER(PartsDB[Hrs_Eng]*O186,PartsDB[Catalog]=I186),"")</f>
        <v/>
      </c>
      <c r="S186" s="92" t="str" cm="1">
        <f t="array" ref="S186">IF(ISNUMBER(O186),_xlfn._xlws.FILTER(PartsDB[Hrs_PanelAssy]*M186*O186,PartsDB[Catalog]=I186),"")</f>
        <v/>
      </c>
    </row>
    <row r="187" spans="1:19" ht="16.5" thickTop="1" thickBot="1" x14ac:dyDescent="0.3">
      <c r="A187" s="96" t="str">
        <f>IF(B187="","",MAX(A$4:A186)+1)</f>
        <v/>
      </c>
      <c r="B187" s="99" t="str">
        <f t="shared" si="6"/>
        <v/>
      </c>
      <c r="C187" s="35"/>
      <c r="D187" s="35"/>
      <c r="E187" s="35"/>
      <c r="F187" s="35"/>
      <c r="G187" s="36"/>
      <c r="O187" s="19" t="str">
        <f t="shared" si="9"/>
        <v/>
      </c>
      <c r="P187" s="3" t="str">
        <f t="shared" si="10"/>
        <v/>
      </c>
      <c r="Q187" s="93" t="str" cm="1">
        <f t="array" ref="Q187">IF(ISNUMBER(O187),_xlfn._xlws.FILTER(PartsDB[Hrs_ShopAssy]*N187*O187,PartsDB[Catalog]=I187),"")</f>
        <v/>
      </c>
      <c r="R187" s="92" t="str" cm="1">
        <f t="array" ref="R187">IF(ISNUMBER(O187),_xlfn._xlws.FILTER(PartsDB[Hrs_Eng]*O187,PartsDB[Catalog]=I187),"")</f>
        <v/>
      </c>
      <c r="S187" s="92" t="str" cm="1">
        <f t="array" ref="S187">IF(ISNUMBER(O187),_xlfn._xlws.FILTER(PartsDB[Hrs_PanelAssy]*M187*O187,PartsDB[Catalog]=I187),"")</f>
        <v/>
      </c>
    </row>
    <row r="188" spans="1:19" ht="16.5" thickTop="1" thickBot="1" x14ac:dyDescent="0.3">
      <c r="A188" s="96" t="str">
        <f>IF(B188="","",MAX(A$4:A187)+1)</f>
        <v/>
      </c>
      <c r="B188" s="99" t="str">
        <f t="shared" si="6"/>
        <v/>
      </c>
      <c r="C188" s="35"/>
      <c r="D188" s="35"/>
      <c r="E188" s="35"/>
      <c r="F188" s="35"/>
      <c r="G188" s="36"/>
      <c r="O188" s="19" t="str">
        <f t="shared" si="9"/>
        <v/>
      </c>
      <c r="P188" s="3" t="str">
        <f t="shared" si="10"/>
        <v/>
      </c>
      <c r="Q188" s="93" t="str" cm="1">
        <f t="array" ref="Q188">IF(ISNUMBER(O188),_xlfn._xlws.FILTER(PartsDB[Hrs_ShopAssy]*N188*O188,PartsDB[Catalog]=I188),"")</f>
        <v/>
      </c>
      <c r="R188" s="92" t="str" cm="1">
        <f t="array" ref="R188">IF(ISNUMBER(O188),_xlfn._xlws.FILTER(PartsDB[Hrs_Eng]*O188,PartsDB[Catalog]=I188),"")</f>
        <v/>
      </c>
      <c r="S188" s="92" t="str" cm="1">
        <f t="array" ref="S188">IF(ISNUMBER(O188),_xlfn._xlws.FILTER(PartsDB[Hrs_PanelAssy]*M188*O188,PartsDB[Catalog]=I188),"")</f>
        <v/>
      </c>
    </row>
    <row r="189" spans="1:19" ht="16.5" thickTop="1" thickBot="1" x14ac:dyDescent="0.3">
      <c r="A189" s="96" t="str">
        <f>IF(B189="","",MAX(A$4:A188)+1)</f>
        <v/>
      </c>
      <c r="B189" s="99" t="str">
        <f t="shared" si="6"/>
        <v/>
      </c>
      <c r="C189" s="35"/>
      <c r="D189" s="35"/>
      <c r="E189" s="35"/>
      <c r="F189" s="35"/>
      <c r="G189" s="36"/>
      <c r="O189" s="19" t="str">
        <f t="shared" si="9"/>
        <v/>
      </c>
      <c r="P189" s="3" t="str">
        <f t="shared" si="10"/>
        <v/>
      </c>
      <c r="Q189" s="93" t="str" cm="1">
        <f t="array" ref="Q189">IF(ISNUMBER(O189),_xlfn._xlws.FILTER(PartsDB[Hrs_ShopAssy]*N189*O189,PartsDB[Catalog]=I189),"")</f>
        <v/>
      </c>
      <c r="R189" s="92" t="str" cm="1">
        <f t="array" ref="R189">IF(ISNUMBER(O189),_xlfn._xlws.FILTER(PartsDB[Hrs_Eng]*O189,PartsDB[Catalog]=I189),"")</f>
        <v/>
      </c>
      <c r="S189" s="92" t="str" cm="1">
        <f t="array" ref="S189">IF(ISNUMBER(O189),_xlfn._xlws.FILTER(PartsDB[Hrs_PanelAssy]*M189*O189,PartsDB[Catalog]=I189),"")</f>
        <v/>
      </c>
    </row>
    <row r="190" spans="1:19" ht="16.5" thickTop="1" thickBot="1" x14ac:dyDescent="0.3">
      <c r="A190" s="96" t="str">
        <f>IF(B190="","",MAX(A$4:A189)+1)</f>
        <v/>
      </c>
      <c r="B190" s="99" t="str">
        <f t="shared" si="6"/>
        <v/>
      </c>
      <c r="C190" s="35"/>
      <c r="D190" s="35"/>
      <c r="E190" s="35"/>
      <c r="F190" s="35"/>
      <c r="G190" s="36"/>
      <c r="O190" s="19" t="str">
        <f t="shared" si="9"/>
        <v/>
      </c>
      <c r="P190" s="3" t="str">
        <f t="shared" si="10"/>
        <v/>
      </c>
      <c r="Q190" s="93" t="str" cm="1">
        <f t="array" ref="Q190">IF(ISNUMBER(O190),_xlfn._xlws.FILTER(PartsDB[Hrs_ShopAssy]*N190*O190,PartsDB[Catalog]=I190),"")</f>
        <v/>
      </c>
      <c r="R190" s="92" t="str" cm="1">
        <f t="array" ref="R190">IF(ISNUMBER(O190),_xlfn._xlws.FILTER(PartsDB[Hrs_Eng]*O190,PartsDB[Catalog]=I190),"")</f>
        <v/>
      </c>
      <c r="S190" s="92" t="str" cm="1">
        <f t="array" ref="S190">IF(ISNUMBER(O190),_xlfn._xlws.FILTER(PartsDB[Hrs_PanelAssy]*M190*O190,PartsDB[Catalog]=I190),"")</f>
        <v/>
      </c>
    </row>
    <row r="191" spans="1:19" ht="16.5" thickTop="1" thickBot="1" x14ac:dyDescent="0.3">
      <c r="A191" s="96" t="str">
        <f>IF(B191="","",MAX(A$4:A190)+1)</f>
        <v/>
      </c>
      <c r="B191" s="99" t="str">
        <f t="shared" si="6"/>
        <v/>
      </c>
      <c r="C191" s="35"/>
      <c r="D191" s="35"/>
      <c r="E191" s="35"/>
      <c r="F191" s="35"/>
      <c r="G191" s="36"/>
      <c r="O191" s="19" t="str">
        <f t="shared" si="9"/>
        <v/>
      </c>
      <c r="P191" s="3" t="str">
        <f t="shared" si="10"/>
        <v/>
      </c>
      <c r="Q191" s="93" t="str" cm="1">
        <f t="array" ref="Q191">IF(ISNUMBER(O191),_xlfn._xlws.FILTER(PartsDB[Hrs_ShopAssy]*N191*O191,PartsDB[Catalog]=I191),"")</f>
        <v/>
      </c>
      <c r="R191" s="92" t="str" cm="1">
        <f t="array" ref="R191">IF(ISNUMBER(O191),_xlfn._xlws.FILTER(PartsDB[Hrs_Eng]*O191,PartsDB[Catalog]=I191),"")</f>
        <v/>
      </c>
      <c r="S191" s="92" t="str" cm="1">
        <f t="array" ref="S191">IF(ISNUMBER(O191),_xlfn._xlws.FILTER(PartsDB[Hrs_PanelAssy]*M191*O191,PartsDB[Catalog]=I191),"")</f>
        <v/>
      </c>
    </row>
    <row r="192" spans="1:19" ht="16.5" thickTop="1" thickBot="1" x14ac:dyDescent="0.3">
      <c r="A192" s="96" t="str">
        <f>IF(B192="","",MAX(A$4:A191)+1)</f>
        <v/>
      </c>
      <c r="B192" s="99" t="str">
        <f t="shared" si="6"/>
        <v/>
      </c>
      <c r="C192" s="35"/>
      <c r="D192" s="35"/>
      <c r="E192" s="35"/>
      <c r="F192" s="35"/>
      <c r="G192" s="36"/>
      <c r="O192" s="19" t="str">
        <f t="shared" si="9"/>
        <v/>
      </c>
      <c r="P192" s="3" t="str">
        <f t="shared" si="10"/>
        <v/>
      </c>
      <c r="Q192" s="93" t="str" cm="1">
        <f t="array" ref="Q192">IF(ISNUMBER(O192),_xlfn._xlws.FILTER(PartsDB[Hrs_ShopAssy]*N192*O192,PartsDB[Catalog]=I192),"")</f>
        <v/>
      </c>
      <c r="R192" s="92" t="str" cm="1">
        <f t="array" ref="R192">IF(ISNUMBER(O192),_xlfn._xlws.FILTER(PartsDB[Hrs_Eng]*O192,PartsDB[Catalog]=I192),"")</f>
        <v/>
      </c>
      <c r="S192" s="92" t="str" cm="1">
        <f t="array" ref="S192">IF(ISNUMBER(O192),_xlfn._xlws.FILTER(PartsDB[Hrs_PanelAssy]*M192*O192,PartsDB[Catalog]=I192),"")</f>
        <v/>
      </c>
    </row>
    <row r="193" spans="1:19" ht="16.5" thickTop="1" thickBot="1" x14ac:dyDescent="0.3">
      <c r="A193" s="96" t="str">
        <f>IF(B193="","",MAX(A$4:A192)+1)</f>
        <v/>
      </c>
      <c r="B193" s="99" t="str">
        <f t="shared" si="6"/>
        <v/>
      </c>
      <c r="C193" s="35"/>
      <c r="D193" s="35"/>
      <c r="E193" s="35"/>
      <c r="F193" s="35"/>
      <c r="G193" s="36"/>
      <c r="O193" s="19" t="str">
        <f t="shared" si="9"/>
        <v/>
      </c>
      <c r="P193" s="3" t="str">
        <f t="shared" si="10"/>
        <v/>
      </c>
      <c r="Q193" s="93" t="str" cm="1">
        <f t="array" ref="Q193">IF(ISNUMBER(O193),_xlfn._xlws.FILTER(PartsDB[Hrs_ShopAssy]*N193*O193,PartsDB[Catalog]=I193),"")</f>
        <v/>
      </c>
      <c r="R193" s="92" t="str" cm="1">
        <f t="array" ref="R193">IF(ISNUMBER(O193),_xlfn._xlws.FILTER(PartsDB[Hrs_Eng]*O193,PartsDB[Catalog]=I193),"")</f>
        <v/>
      </c>
      <c r="S193" s="92" t="str" cm="1">
        <f t="array" ref="S193">IF(ISNUMBER(O193),_xlfn._xlws.FILTER(PartsDB[Hrs_PanelAssy]*M193*O193,PartsDB[Catalog]=I193),"")</f>
        <v/>
      </c>
    </row>
    <row r="194" spans="1:19" ht="16.5" thickTop="1" thickBot="1" x14ac:dyDescent="0.3">
      <c r="A194" s="96" t="str">
        <f>IF(B194="","",MAX(A$4:A193)+1)</f>
        <v/>
      </c>
      <c r="B194" s="99" t="str">
        <f t="shared" si="6"/>
        <v/>
      </c>
      <c r="C194" s="35"/>
      <c r="D194" s="35"/>
      <c r="E194" s="35"/>
      <c r="F194" s="35"/>
      <c r="G194" s="36"/>
      <c r="O194" s="19" t="str">
        <f t="shared" si="9"/>
        <v/>
      </c>
      <c r="P194" s="3" t="str">
        <f t="shared" si="10"/>
        <v/>
      </c>
      <c r="Q194" s="93" t="str" cm="1">
        <f t="array" ref="Q194">IF(ISNUMBER(O194),_xlfn._xlws.FILTER(PartsDB[Hrs_ShopAssy]*N194*O194,PartsDB[Catalog]=I194),"")</f>
        <v/>
      </c>
      <c r="R194" s="92" t="str" cm="1">
        <f t="array" ref="R194">IF(ISNUMBER(O194),_xlfn._xlws.FILTER(PartsDB[Hrs_Eng]*O194,PartsDB[Catalog]=I194),"")</f>
        <v/>
      </c>
      <c r="S194" s="92" t="str" cm="1">
        <f t="array" ref="S194">IF(ISNUMBER(O194),_xlfn._xlws.FILTER(PartsDB[Hrs_PanelAssy]*M194*O194,PartsDB[Catalog]=I194),"")</f>
        <v/>
      </c>
    </row>
    <row r="195" spans="1:19" ht="16.5" thickTop="1" thickBot="1" x14ac:dyDescent="0.3">
      <c r="A195" s="96" t="str">
        <f>IF(B195="","",MAX(A$4:A194)+1)</f>
        <v/>
      </c>
      <c r="B195" s="99" t="str">
        <f t="shared" si="6"/>
        <v/>
      </c>
      <c r="C195" s="35"/>
      <c r="D195" s="35"/>
      <c r="E195" s="35"/>
      <c r="F195" s="35"/>
      <c r="G195" s="36"/>
      <c r="O195" s="19" t="str">
        <f t="shared" si="9"/>
        <v/>
      </c>
      <c r="P195" s="3" t="str">
        <f t="shared" si="10"/>
        <v/>
      </c>
      <c r="Q195" s="93" t="str" cm="1">
        <f t="array" ref="Q195">IF(ISNUMBER(O195),_xlfn._xlws.FILTER(PartsDB[Hrs_ShopAssy]*N195*O195,PartsDB[Catalog]=I195),"")</f>
        <v/>
      </c>
      <c r="R195" s="92" t="str" cm="1">
        <f t="array" ref="R195">IF(ISNUMBER(O195),_xlfn._xlws.FILTER(PartsDB[Hrs_Eng]*O195,PartsDB[Catalog]=I195),"")</f>
        <v/>
      </c>
      <c r="S195" s="92" t="str" cm="1">
        <f t="array" ref="S195">IF(ISNUMBER(O195),_xlfn._xlws.FILTER(PartsDB[Hrs_PanelAssy]*M195*O195,PartsDB[Catalog]=I195),"")</f>
        <v/>
      </c>
    </row>
    <row r="196" spans="1:19" ht="16.5" thickTop="1" thickBot="1" x14ac:dyDescent="0.3">
      <c r="A196" s="96" t="str">
        <f>IF(B196="","",MAX(A$4:A195)+1)</f>
        <v/>
      </c>
      <c r="B196" s="99" t="str">
        <f t="shared" si="6"/>
        <v/>
      </c>
      <c r="C196" s="35"/>
      <c r="D196" s="35"/>
      <c r="E196" s="35"/>
      <c r="F196" s="35"/>
      <c r="G196" s="36"/>
      <c r="O196" s="19" t="str">
        <f t="shared" si="9"/>
        <v/>
      </c>
      <c r="P196" s="3" t="str">
        <f t="shared" si="10"/>
        <v/>
      </c>
      <c r="Q196" s="93" t="str" cm="1">
        <f t="array" ref="Q196">IF(ISNUMBER(O196),_xlfn._xlws.FILTER(PartsDB[Hrs_ShopAssy]*N196*O196,PartsDB[Catalog]=I196),"")</f>
        <v/>
      </c>
      <c r="R196" s="92" t="str" cm="1">
        <f t="array" ref="R196">IF(ISNUMBER(O196),_xlfn._xlws.FILTER(PartsDB[Hrs_Eng]*O196,PartsDB[Catalog]=I196),"")</f>
        <v/>
      </c>
      <c r="S196" s="92" t="str" cm="1">
        <f t="array" ref="S196">IF(ISNUMBER(O196),_xlfn._xlws.FILTER(PartsDB[Hrs_PanelAssy]*M196*O196,PartsDB[Catalog]=I196),"")</f>
        <v/>
      </c>
    </row>
    <row r="197" spans="1:19" ht="16.5" thickTop="1" thickBot="1" x14ac:dyDescent="0.3">
      <c r="A197" s="96" t="str">
        <f>IF(B197="","",MAX(A$4:A196)+1)</f>
        <v/>
      </c>
      <c r="B197" s="99" t="str">
        <f t="shared" ref="B197:B200" si="11">IF(OR(ISBLANK($B$2),ISBLANK(D197)),"",$B$2)</f>
        <v/>
      </c>
      <c r="C197" s="35"/>
      <c r="D197" s="35"/>
      <c r="E197" s="35"/>
      <c r="F197" s="35"/>
      <c r="G197" s="36"/>
      <c r="O197" s="19" t="str">
        <f t="shared" si="9"/>
        <v/>
      </c>
      <c r="P197" s="3" t="str">
        <f t="shared" si="10"/>
        <v/>
      </c>
      <c r="Q197" s="93" t="str" cm="1">
        <f t="array" ref="Q197">IF(ISNUMBER(O197),_xlfn._xlws.FILTER(PartsDB[Hrs_ShopAssy]*N197*O197,PartsDB[Catalog]=I197),"")</f>
        <v/>
      </c>
      <c r="R197" s="92" t="str" cm="1">
        <f t="array" ref="R197">IF(ISNUMBER(O197),_xlfn._xlws.FILTER(PartsDB[Hrs_Eng]*O197,PartsDB[Catalog]=I197),"")</f>
        <v/>
      </c>
      <c r="S197" s="92" t="str" cm="1">
        <f t="array" ref="S197">IF(ISNUMBER(O197),_xlfn._xlws.FILTER(PartsDB[Hrs_PanelAssy]*M197*O197,PartsDB[Catalog]=I197),"")</f>
        <v/>
      </c>
    </row>
    <row r="198" spans="1:19" ht="16.5" thickTop="1" thickBot="1" x14ac:dyDescent="0.3">
      <c r="A198" s="96" t="str">
        <f>IF(B198="","",MAX(A$4:A197)+1)</f>
        <v/>
      </c>
      <c r="B198" s="99" t="str">
        <f t="shared" si="11"/>
        <v/>
      </c>
      <c r="C198" s="35"/>
      <c r="D198" s="35"/>
      <c r="E198" s="35"/>
      <c r="F198" s="35"/>
      <c r="G198" s="36"/>
      <c r="O198" s="19" t="str">
        <f t="shared" si="9"/>
        <v/>
      </c>
      <c r="P198" s="3" t="str">
        <f t="shared" si="10"/>
        <v/>
      </c>
      <c r="Q198" s="93" t="str" cm="1">
        <f t="array" ref="Q198">IF(ISNUMBER(O198),_xlfn._xlws.FILTER(PartsDB[Hrs_ShopAssy]*N198*O198,PartsDB[Catalog]=I198),"")</f>
        <v/>
      </c>
      <c r="R198" s="92" t="str" cm="1">
        <f t="array" ref="R198">IF(ISNUMBER(O198),_xlfn._xlws.FILTER(PartsDB[Hrs_Eng]*O198,PartsDB[Catalog]=I198),"")</f>
        <v/>
      </c>
      <c r="S198" s="92" t="str" cm="1">
        <f t="array" ref="S198">IF(ISNUMBER(O198),_xlfn._xlws.FILTER(PartsDB[Hrs_PanelAssy]*M198*O198,PartsDB[Catalog]=I198),"")</f>
        <v/>
      </c>
    </row>
    <row r="199" spans="1:19" ht="16.5" thickTop="1" thickBot="1" x14ac:dyDescent="0.3">
      <c r="A199" s="96" t="str">
        <f>IF(B199="","",MAX(A$4:A198)+1)</f>
        <v/>
      </c>
      <c r="B199" s="99" t="str">
        <f t="shared" si="11"/>
        <v/>
      </c>
      <c r="C199" s="35"/>
      <c r="D199" s="35"/>
      <c r="E199" s="35"/>
      <c r="F199" s="35"/>
      <c r="G199" s="36"/>
      <c r="O199" s="19" t="str">
        <f t="shared" si="9"/>
        <v/>
      </c>
      <c r="P199" s="3" t="str">
        <f t="shared" si="10"/>
        <v/>
      </c>
      <c r="Q199" s="93" t="str" cm="1">
        <f t="array" ref="Q199">IF(ISNUMBER(O199),_xlfn._xlws.FILTER(PartsDB[Hrs_ShopAssy]*N199*O199,PartsDB[Catalog]=I199),"")</f>
        <v/>
      </c>
      <c r="R199" s="92" t="str" cm="1">
        <f t="array" ref="R199">IF(ISNUMBER(O199),_xlfn._xlws.FILTER(PartsDB[Hrs_Eng]*O199,PartsDB[Catalog]=I199),"")</f>
        <v/>
      </c>
      <c r="S199" s="92" t="str" cm="1">
        <f t="array" ref="S199">IF(ISNUMBER(O199),_xlfn._xlws.FILTER(PartsDB[Hrs_PanelAssy]*M199*O199,PartsDB[Catalog]=I199),"")</f>
        <v/>
      </c>
    </row>
    <row r="200" spans="1:19" ht="16.5" thickTop="1" thickBot="1" x14ac:dyDescent="0.3">
      <c r="A200" s="96" t="str">
        <f>IF(B200="","",MAX(A$4:A199)+1)</f>
        <v/>
      </c>
      <c r="B200" s="99" t="str">
        <f t="shared" si="11"/>
        <v/>
      </c>
      <c r="C200" s="35"/>
      <c r="D200" s="35"/>
      <c r="E200" s="35"/>
      <c r="F200" s="35"/>
      <c r="G200" s="36"/>
      <c r="O200" s="19" t="str">
        <f t="shared" si="9"/>
        <v/>
      </c>
      <c r="P200" s="22">
        <f>SUM(P4:P199)</f>
        <v>345123.62303000002</v>
      </c>
      <c r="Q200" s="92">
        <f t="shared" ref="Q200:S200" si="12">SUM(Q4:Q199)</f>
        <v>0</v>
      </c>
      <c r="R200" s="92">
        <f t="shared" si="12"/>
        <v>263.50000000000006</v>
      </c>
      <c r="S200" s="92">
        <f t="shared" si="12"/>
        <v>246.45000000000002</v>
      </c>
    </row>
    <row r="201" spans="1:19" ht="15.75" thickTop="1" x14ac:dyDescent="0.25">
      <c r="A201" s="97"/>
      <c r="B201" s="95"/>
      <c r="C201" s="86"/>
      <c r="D201" s="86"/>
      <c r="E201" s="86"/>
      <c r="F201" s="86"/>
      <c r="G201" s="95"/>
      <c r="H201" s="127"/>
      <c r="I201" s="86"/>
      <c r="J201" s="86"/>
      <c r="K201" s="88"/>
      <c r="L201" s="86"/>
      <c r="M201" s="86"/>
      <c r="N201" s="86"/>
      <c r="O201" s="87" t="str">
        <f t="shared" si="9"/>
        <v/>
      </c>
      <c r="P201" s="88" t="str">
        <f t="shared" ref="P201" si="13">IF(ISNUMBER(O201),O201*K201,"")</f>
        <v/>
      </c>
      <c r="Q201" s="94"/>
      <c r="R201" s="94"/>
      <c r="S201" s="94"/>
    </row>
  </sheetData>
  <sheetProtection algorithmName="SHA-512" hashValue="d8M+2p8E4rFM0WllOgf1AMMfRixz+17waEtGoKNcWJPgKdAdvnZ/FtsOuB2I/APbB8hw0afKkapz3aEPcS9ylw==" saltValue="iCHqPRcsv/Bs03iVQGG7+Q==" spinCount="100000" sheet="1" objects="1" scenarios="1"/>
  <protectedRanges>
    <protectedRange sqref="T4:U200" name="Range4"/>
    <protectedRange sqref="O4:O199" name="Range3"/>
    <protectedRange sqref="C4:H199" name="Range2"/>
    <protectedRange sqref="A2:C2" name="Range1"/>
    <protectedRange sqref="D2" name="Range1_2"/>
  </protectedRanges>
  <conditionalFormatting sqref="O3:O201">
    <cfRule type="expression" dxfId="1" priority="1">
      <formula>J3&lt;&gt;O3</formula>
    </cfRule>
  </conditionalFormatting>
  <dataValidations count="2">
    <dataValidation type="list" allowBlank="1" showInputMessage="1" showErrorMessage="1" sqref="F10 F82 F18 F20 F23 F26 F28 F37 F48 F59 F4 F103" xr:uid="{52C35FA2-C3C9-4865-9C53-6892BB399E44}">
      <formula1>AssemblyPartsList</formula1>
    </dataValidation>
    <dataValidation type="list" allowBlank="1" showInputMessage="1" showErrorMessage="1" sqref="F34 F35 F36 F81 F102" xr:uid="{4972C14C-F389-4FAB-B66C-03C563289027}">
      <formula1>PartDetailsList</formula1>
    </dataValidation>
  </dataValidations>
  <hyperlinks>
    <hyperlink ref="H1" location="Est_Summary!A1" display="Est_Summary!A1" xr:uid="{BB5770FA-17D0-465A-B3A0-74C5F548664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ToggleSheetProtection">
                <anchor moveWithCells="1" sizeWithCells="1">
                  <from>
                    <xdr:col>4</xdr:col>
                    <xdr:colOff>447675</xdr:colOff>
                    <xdr:row>0</xdr:row>
                    <xdr:rowOff>85725</xdr:rowOff>
                  </from>
                  <to>
                    <xdr:col>5</xdr:col>
                    <xdr:colOff>895350</xdr:colOff>
                    <xdr:row>1</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B086951-B528-4177-AE1C-B058D8A3E474}">
          <x14:formula1>
            <xm:f>Assemblies!$K$2:$K$200</xm:f>
          </x14:formula1>
          <xm:sqref>E10 E82 E18 E20 E23 E26 E28 E37 E48 E59 E4 E103</xm:sqref>
        </x14:dataValidation>
        <x14:dataValidation type="list" allowBlank="1" showInputMessage="1" showErrorMessage="1" xr:uid="{1316A2DE-105A-4B41-A5A5-AB749A418BA7}">
          <x14:formula1>
            <xm:f>PartDB_Lookup!$A$2:$A$100</xm:f>
          </x14:formula1>
          <xm:sqref>E34 E35 E36 E81 E102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E8B55-37D9-44F8-A401-99825F6E0E7B}">
  <sheetPr codeName="Sheet18"/>
  <dimension ref="A1:U201"/>
  <sheetViews>
    <sheetView zoomScale="70" zoomScaleNormal="70" workbookViewId="0">
      <pane ySplit="3" topLeftCell="A169" activePane="bottomLeft" state="frozen"/>
      <selection pane="bottomLeft" activeCell="O29" sqref="O29:S70"/>
    </sheetView>
    <sheetView workbookViewId="1"/>
  </sheetViews>
  <sheetFormatPr defaultRowHeight="15" outlineLevelCol="1" x14ac:dyDescent="0.25"/>
  <cols>
    <col min="1" max="1" width="5.5703125" style="96" customWidth="1"/>
    <col min="2" max="2" width="9.140625" style="1"/>
    <col min="3" max="3" width="4.7109375" bestFit="1" customWidth="1"/>
    <col min="4" max="4" width="16" customWidth="1"/>
    <col min="5" max="5" width="13.42578125" customWidth="1"/>
    <col min="6" max="6" width="44" customWidth="1"/>
    <col min="7" max="7" width="6.7109375" style="1" customWidth="1"/>
    <col min="8" max="8" width="69.7109375" style="126" customWidth="1"/>
    <col min="9" max="9" width="33.42578125" customWidth="1"/>
    <col min="10" max="10" width="6.140625" customWidth="1"/>
    <col min="11" max="11" width="17.140625" style="3" customWidth="1"/>
    <col min="12" max="12" width="11.140625" customWidth="1"/>
    <col min="13" max="13" width="6" hidden="1" customWidth="1" outlineLevel="1"/>
    <col min="14" max="14" width="7.140625" hidden="1" customWidth="1" outlineLevel="1"/>
    <col min="15" max="15" width="9.140625" collapsed="1"/>
    <col min="16" max="16" width="17.28515625" customWidth="1"/>
    <col min="17" max="18" width="9.140625" style="92"/>
    <col min="19" max="19" width="12.140625" style="92" customWidth="1"/>
    <col min="20" max="20" width="73.42578125" customWidth="1"/>
  </cols>
  <sheetData>
    <row r="1" spans="1:21" x14ac:dyDescent="0.25">
      <c r="A1" s="96" t="s">
        <v>1452</v>
      </c>
      <c r="B1" s="96" t="s">
        <v>1440</v>
      </c>
      <c r="D1" s="85" t="s">
        <v>1441</v>
      </c>
      <c r="H1" s="139" t="s">
        <v>1487</v>
      </c>
    </row>
    <row r="2" spans="1:21" s="68" customFormat="1" ht="22.5" customHeight="1" x14ac:dyDescent="0.25">
      <c r="A2" s="101">
        <v>1020</v>
      </c>
      <c r="B2" s="101" t="s">
        <v>1532</v>
      </c>
      <c r="D2" s="100" t="s">
        <v>1533</v>
      </c>
      <c r="H2" s="126"/>
      <c r="K2" s="20"/>
      <c r="Q2" s="19"/>
      <c r="R2" s="19"/>
      <c r="S2" s="19"/>
    </row>
    <row r="3" spans="1:21" ht="63" x14ac:dyDescent="0.25">
      <c r="A3" s="18" t="s">
        <v>1435</v>
      </c>
      <c r="B3" s="89" t="s">
        <v>1453</v>
      </c>
      <c r="C3" s="18" t="s">
        <v>1436</v>
      </c>
      <c r="D3" s="18" t="s">
        <v>1437</v>
      </c>
      <c r="E3" s="18" t="s">
        <v>264</v>
      </c>
      <c r="F3" s="18" t="s">
        <v>1312</v>
      </c>
      <c r="G3" s="18" t="s">
        <v>172</v>
      </c>
      <c r="H3" s="120" t="s">
        <v>1438</v>
      </c>
      <c r="I3" s="18" t="s">
        <v>171</v>
      </c>
      <c r="J3" s="18" t="s">
        <v>172</v>
      </c>
      <c r="K3" s="17" t="s">
        <v>754</v>
      </c>
      <c r="L3" s="16" t="s">
        <v>16</v>
      </c>
      <c r="M3" s="107" t="s">
        <v>1458</v>
      </c>
      <c r="N3" s="107" t="s">
        <v>1459</v>
      </c>
      <c r="O3" s="98" t="s">
        <v>1439</v>
      </c>
      <c r="P3" s="21" t="s">
        <v>80</v>
      </c>
      <c r="Q3" s="89" t="s">
        <v>1461</v>
      </c>
      <c r="R3" s="18" t="s">
        <v>1313</v>
      </c>
      <c r="S3" s="89" t="s">
        <v>1460</v>
      </c>
      <c r="T3" s="89" t="s">
        <v>1523</v>
      </c>
      <c r="U3" s="89" t="s">
        <v>1367</v>
      </c>
    </row>
    <row r="4" spans="1:21" ht="15.75" thickBot="1" x14ac:dyDescent="0.3">
      <c r="A4" s="96">
        <f>IF(B4="","",1)</f>
        <v>1</v>
      </c>
      <c r="B4" s="99" t="str">
        <f>IF(OR(ISBLANK($B$2),ISBLANK(D4)),"",$B$2)</f>
        <v>LVM01</v>
      </c>
      <c r="C4" s="35"/>
      <c r="D4" s="35" t="s">
        <v>1525</v>
      </c>
      <c r="E4" s="35" t="s">
        <v>624</v>
      </c>
      <c r="F4" s="35" t="s">
        <v>758</v>
      </c>
      <c r="G4" s="36">
        <v>2</v>
      </c>
      <c r="H4" s="126" t="str" cm="1">
        <f t="array" ref="H4:L28">IF(ISNUMBER(G4),_xlfn.LET(_xlpm.lookupID, F4,_xlpm.masterQty, G4,_xlpm.isAssembly, ISNUMBER(_xlfn.XMATCH(_xlpm.lookupID, AssembliesDB[Assembly_ID])),_xlpm.assemblyComponents, _xlfn._xlws.FILTER(AssembliesDB[[Component_Part_Number]:[Quantity]], AssembliesDB[Assembly_ID]=_xlpm.lookupID, ""),_xlpm.partNumbers, IF(_xlpm.isAssembly, INDEX(_xlpm.assemblyComponents, 0, 1), _xlpm.lookupID),_xlpm.partQuantities, IF(_xlpm.isAssembly, INDEX(_xlpm.assemblyComponents, 0, 2) * _xlpm.masterQty, _xlpm.masterQty),_xlpm.descriptions, _xlfn.XLOOKUP(_xlpm.partNumbers, PartsDB[Catalog], PartsDB[Description], "Part Not Found"),_xlpm.TotalCosts, _xlfn.XLOOKUP(_xlpm.partNumbers, PartsDB[Catalog], PartsDB[TotalCost], 0),_xlpm.catalog, _xlfn.XLOOKUP(_xlpm.partNumbers, PartsDB[Catalog], PartsDB[Catalog], 0),_xlpm.category, _xlfn.XLOOKUP(_xlpm.partNumbers, PartsDB[Catalog], PartsDB[Title], 0),CHOOSE({1,2,3,4,5}, _xlpm.descriptions, _xlpm.catalog, _xlpm.partQuantities, _xlpm.TotalCosts, _xlpm.category)),"")</f>
        <v>Communication Adapter, 2 Ethernet/IP Ports</v>
      </c>
      <c r="I4" t="str">
        <v>1734-AENTR</v>
      </c>
      <c r="J4">
        <v>4</v>
      </c>
      <c r="K4" s="3">
        <v>726.34452999999996</v>
      </c>
      <c r="L4" t="str">
        <v>RIO</v>
      </c>
      <c r="M4" cm="1">
        <f t="array" ref="M4:N28">_xlfn._xlws.FILTER(AssembliesDB[PanelAssy]:AssembliesDB[ShopAssy],AssembliesDB[Assembly_ID]=F4,"")</f>
        <v>1</v>
      </c>
      <c r="N4">
        <v>0</v>
      </c>
      <c r="O4" s="19">
        <f>IF(ISNUMBER(J4),J4,"")</f>
        <v>4</v>
      </c>
      <c r="P4" s="3">
        <f>IF(ISNUMBER(O4),O4*K4,"")</f>
        <v>2905.3781199999999</v>
      </c>
      <c r="Q4" s="93" cm="1">
        <f t="array" ref="Q4">IF(ISNUMBER(O4),_xlfn._xlws.FILTER(PartsDB[Hrs_ShopAssy]*N4*O4,PartsDB[Catalog]=I4),"")</f>
        <v>0</v>
      </c>
      <c r="R4" s="92" cm="1">
        <f t="array" ref="R4">IF(ISNUMBER(O4),_xlfn._xlws.FILTER(PartsDB[Hrs_Eng]*O4,PartsDB[Catalog]=I4),"")</f>
        <v>0.8</v>
      </c>
      <c r="S4" s="92" cm="1">
        <f t="array" ref="S4">IF(ISNUMBER(O4),_xlfn._xlws.FILTER(PartsDB[Hrs_PanelAssy]*M4*O4,PartsDB[Catalog]=I4),"")</f>
        <v>2</v>
      </c>
    </row>
    <row r="5" spans="1:21" ht="16.5" thickTop="1" thickBot="1" x14ac:dyDescent="0.3">
      <c r="A5" s="96" t="str">
        <f>IF(B5="","",MAX(A$4:A4)+1)</f>
        <v/>
      </c>
      <c r="B5" s="99" t="str">
        <f t="shared" ref="B5:B68" si="0">IF(OR(ISBLANK($B$2),ISBLANK(D5)),"",$B$2)</f>
        <v/>
      </c>
      <c r="C5" s="35"/>
      <c r="D5" s="35"/>
      <c r="E5" s="35"/>
      <c r="F5" s="35"/>
      <c r="G5" s="36"/>
      <c r="H5" s="126" t="str">
        <v>I/O Module, Analog, 4 Inputs, Single Ended, 75mA</v>
      </c>
      <c r="I5" t="str">
        <v>1734-IE4C</v>
      </c>
      <c r="J5">
        <v>2</v>
      </c>
      <c r="K5" s="3">
        <v>578.80512999999996</v>
      </c>
      <c r="L5" t="str">
        <v>RIO</v>
      </c>
      <c r="M5">
        <v>0</v>
      </c>
      <c r="N5">
        <v>1</v>
      </c>
      <c r="O5" s="19">
        <f t="shared" ref="O5:O29" si="1">IF(ISNUMBER(J5),J5,"")</f>
        <v>2</v>
      </c>
      <c r="P5" s="3">
        <f t="shared" ref="P5:P29" si="2">IF(ISNUMBER(O5),O5*K5,"")</f>
        <v>1157.6102599999999</v>
      </c>
      <c r="Q5" s="93" cm="1">
        <f t="array" ref="Q5">IF(ISNUMBER(O5),_xlfn._xlws.FILTER(PartsDB[Hrs_ShopAssy]*N5*O5,PartsDB[Catalog]=I5),"")</f>
        <v>0.8</v>
      </c>
      <c r="R5" s="92" cm="1">
        <f t="array" ref="R5">IF(ISNUMBER(O5),_xlfn._xlws.FILTER(PartsDB[Hrs_Eng]*O5,PartsDB[Catalog]=I5),"")</f>
        <v>0.8</v>
      </c>
      <c r="S5" s="92" cm="1">
        <f t="array" ref="S5">IF(ISNUMBER(O5),_xlfn._xlws.FILTER(PartsDB[Hrs_PanelAssy]*M5*O5,PartsDB[Catalog]=I5),"")</f>
        <v>0</v>
      </c>
    </row>
    <row r="6" spans="1:21" ht="16.5" thickTop="1" thickBot="1" x14ac:dyDescent="0.3">
      <c r="A6" s="96" t="str">
        <f>IF(B6="","",MAX(A$4:A5)+1)</f>
        <v/>
      </c>
      <c r="B6" s="99" t="str">
        <f t="shared" si="0"/>
        <v/>
      </c>
      <c r="C6" s="35"/>
      <c r="D6" s="35"/>
      <c r="E6" s="35"/>
      <c r="F6" s="35"/>
      <c r="G6" s="36"/>
      <c r="H6" s="126" t="str">
        <v>I/O Module, Analog, 2 Inputs, Single Ended, 75mA</v>
      </c>
      <c r="I6" t="str">
        <v>1734-IE2V</v>
      </c>
      <c r="J6">
        <v>10</v>
      </c>
      <c r="K6" s="3">
        <v>348.09931999999998</v>
      </c>
      <c r="L6" t="str">
        <v>RIO</v>
      </c>
      <c r="M6">
        <v>0</v>
      </c>
      <c r="N6">
        <v>1</v>
      </c>
      <c r="O6" s="19">
        <f t="shared" si="1"/>
        <v>10</v>
      </c>
      <c r="P6" s="3">
        <f t="shared" si="2"/>
        <v>3480.9931999999999</v>
      </c>
      <c r="Q6" s="93" cm="1">
        <f t="array" ref="Q6">IF(ISNUMBER(O6),_xlfn._xlws.FILTER(PartsDB[Hrs_ShopAssy]*N6*O6,PartsDB[Catalog]=I6),"")</f>
        <v>2</v>
      </c>
      <c r="R6" s="92" cm="1">
        <f t="array" ref="R6">IF(ISNUMBER(O6),_xlfn._xlws.FILTER(PartsDB[Hrs_Eng]*O6,PartsDB[Catalog]=I6),"")</f>
        <v>2</v>
      </c>
      <c r="S6" s="92" cm="1">
        <f t="array" ref="S6">IF(ISNUMBER(O6),_xlfn._xlws.FILTER(PartsDB[Hrs_PanelAssy]*M6*O6,PartsDB[Catalog]=I6),"")</f>
        <v>0</v>
      </c>
    </row>
    <row r="7" spans="1:21" ht="16.5" thickTop="1" thickBot="1" x14ac:dyDescent="0.3">
      <c r="A7" s="96" t="str">
        <f>IF(B7="","",MAX(A$4:A6)+1)</f>
        <v/>
      </c>
      <c r="B7" s="99" t="str">
        <f t="shared" si="0"/>
        <v/>
      </c>
      <c r="C7" s="35"/>
      <c r="D7" s="35"/>
      <c r="E7" s="35"/>
      <c r="F7" s="35"/>
      <c r="G7" s="36"/>
      <c r="H7" s="126" t="str">
        <v>I/O Module, Analog, 2 Single Ended Outputs, 75mA, Pointbus Current</v>
      </c>
      <c r="I7" t="str">
        <v>1734-OE2V</v>
      </c>
      <c r="J7">
        <v>10</v>
      </c>
      <c r="K7" s="3">
        <v>362.64884999999998</v>
      </c>
      <c r="L7" t="str">
        <v>RIO</v>
      </c>
      <c r="M7">
        <v>0</v>
      </c>
      <c r="N7">
        <v>1</v>
      </c>
      <c r="O7" s="19">
        <f t="shared" si="1"/>
        <v>10</v>
      </c>
      <c r="P7" s="3">
        <f t="shared" si="2"/>
        <v>3626.4884999999999</v>
      </c>
      <c r="Q7" s="93" cm="1">
        <f t="array" ref="Q7">IF(ISNUMBER(O7),_xlfn._xlws.FILTER(PartsDB[Hrs_ShopAssy]*N7*O7,PartsDB[Catalog]=I7),"")</f>
        <v>2</v>
      </c>
      <c r="R7" s="92" cm="1">
        <f t="array" ref="R7">IF(ISNUMBER(O7),_xlfn._xlws.FILTER(PartsDB[Hrs_Eng]*O7,PartsDB[Catalog]=I7),"")</f>
        <v>2</v>
      </c>
      <c r="S7" s="92" cm="1">
        <f t="array" ref="S7">IF(ISNUMBER(O7),_xlfn._xlws.FILTER(PartsDB[Hrs_PanelAssy]*M7*O7,PartsDB[Catalog]=I7),"")</f>
        <v>0</v>
      </c>
    </row>
    <row r="8" spans="1:21" ht="16.5" thickTop="1" thickBot="1" x14ac:dyDescent="0.3">
      <c r="A8" s="96" t="str">
        <f>IF(B8="","",MAX(A$4:A7)+1)</f>
        <v/>
      </c>
      <c r="B8" s="99" t="str">
        <f t="shared" si="0"/>
        <v/>
      </c>
      <c r="C8" s="35"/>
      <c r="D8" s="35"/>
      <c r="E8" s="35"/>
      <c r="F8" s="35"/>
      <c r="G8" s="36"/>
      <c r="H8" s="126" t="str">
        <v>I/O Module, Digital Contact Output, 4 Channel</v>
      </c>
      <c r="I8" t="str">
        <v>1734-OW4</v>
      </c>
      <c r="J8">
        <v>8</v>
      </c>
      <c r="K8" s="3">
        <v>200.55285000000001</v>
      </c>
      <c r="L8" t="str">
        <v>RIO</v>
      </c>
      <c r="M8">
        <v>0</v>
      </c>
      <c r="N8">
        <v>1</v>
      </c>
      <c r="O8" s="19">
        <f t="shared" si="1"/>
        <v>8</v>
      </c>
      <c r="P8" s="3">
        <f t="shared" si="2"/>
        <v>1604.4228000000001</v>
      </c>
      <c r="Q8" s="93" cm="1">
        <f t="array" ref="Q8">IF(ISNUMBER(O8),_xlfn._xlws.FILTER(PartsDB[Hrs_ShopAssy]*N8*O8,PartsDB[Catalog]=I8),"")</f>
        <v>3.2</v>
      </c>
      <c r="R8" s="92" cm="1">
        <f t="array" ref="R8">IF(ISNUMBER(O8),_xlfn._xlws.FILTER(PartsDB[Hrs_Eng]*O8,PartsDB[Catalog]=I8),"")</f>
        <v>3.2</v>
      </c>
      <c r="S8" s="92" cm="1">
        <f t="array" ref="S8">IF(ISNUMBER(O8),_xlfn._xlws.FILTER(PartsDB[Hrs_PanelAssy]*M8*O8,PartsDB[Catalog]=I8),"")</f>
        <v>0</v>
      </c>
    </row>
    <row r="9" spans="1:21" ht="16.5" thickTop="1" thickBot="1" x14ac:dyDescent="0.3">
      <c r="A9" s="96" t="str">
        <f>IF(B9="","",MAX(A$4:A8)+1)</f>
        <v/>
      </c>
      <c r="B9" s="99" t="str">
        <f t="shared" si="0"/>
        <v/>
      </c>
      <c r="C9" s="35"/>
      <c r="D9" s="35"/>
      <c r="E9" s="35"/>
      <c r="F9" s="35"/>
      <c r="G9" s="36"/>
      <c r="H9" s="126" t="str">
        <v>I/O Module, Digital DC Input, 8 Channel, DIN Rail, 24VDC</v>
      </c>
      <c r="I9" t="str">
        <v>1734-IB8</v>
      </c>
      <c r="J9">
        <v>2</v>
      </c>
      <c r="K9" s="3">
        <v>138.20987</v>
      </c>
      <c r="L9" t="str">
        <v>RIO</v>
      </c>
      <c r="M9">
        <v>0</v>
      </c>
      <c r="N9">
        <v>1</v>
      </c>
      <c r="O9" s="19">
        <f t="shared" si="1"/>
        <v>2</v>
      </c>
      <c r="P9" s="3">
        <f t="shared" si="2"/>
        <v>276.41973999999999</v>
      </c>
      <c r="Q9" s="93" cm="1">
        <f t="array" ref="Q9">IF(ISNUMBER(O9),_xlfn._xlws.FILTER(PartsDB[Hrs_ShopAssy]*N9*O9,PartsDB[Catalog]=I9),"")</f>
        <v>1.6</v>
      </c>
      <c r="R9" s="92" cm="1">
        <f t="array" ref="R9">IF(ISNUMBER(O9),_xlfn._xlws.FILTER(PartsDB[Hrs_Eng]*O9,PartsDB[Catalog]=I9),"")</f>
        <v>1.6</v>
      </c>
      <c r="S9" s="92" cm="1">
        <f t="array" ref="S9">IF(ISNUMBER(O9),_xlfn._xlws.FILTER(PartsDB[Hrs_PanelAssy]*M9*O9,PartsDB[Catalog]=I9),"")</f>
        <v>0</v>
      </c>
    </row>
    <row r="10" spans="1:21" ht="16.5" thickTop="1" thickBot="1" x14ac:dyDescent="0.3">
      <c r="A10" s="96" t="str">
        <f>IF(B10="","",MAX(A$4:A9)+1)</f>
        <v/>
      </c>
      <c r="B10" s="99" t="str">
        <f t="shared" si="0"/>
        <v/>
      </c>
      <c r="C10" s="35"/>
      <c r="D10" s="35"/>
      <c r="E10" s="35"/>
      <c r="F10" s="35"/>
      <c r="G10" s="36"/>
      <c r="H10" s="126" t="str">
        <v>Terminal Module, Voltage, 8 Channel, High Density</v>
      </c>
      <c r="I10" t="str">
        <v>1734-VTM</v>
      </c>
      <c r="J10">
        <v>2</v>
      </c>
      <c r="K10" s="3">
        <v>40.409059999999997</v>
      </c>
      <c r="L10" t="str">
        <v>RIO</v>
      </c>
      <c r="M10">
        <v>1</v>
      </c>
      <c r="N10">
        <v>1</v>
      </c>
      <c r="O10" s="19">
        <f t="shared" si="1"/>
        <v>2</v>
      </c>
      <c r="P10" s="3">
        <f t="shared" si="2"/>
        <v>80.818119999999993</v>
      </c>
      <c r="Q10" s="93" cm="1">
        <f t="array" ref="Q10">IF(ISNUMBER(O10),_xlfn._xlws.FILTER(PartsDB[Hrs_ShopAssy]*N10*O10,PartsDB[Catalog]=I10),"")</f>
        <v>1.6</v>
      </c>
      <c r="R10" s="92" cm="1">
        <f t="array" ref="R10">IF(ISNUMBER(O10),_xlfn._xlws.FILTER(PartsDB[Hrs_Eng]*O10,PartsDB[Catalog]=I10),"")</f>
        <v>0</v>
      </c>
      <c r="S10" s="92" cm="1">
        <f t="array" ref="S10">IF(ISNUMBER(O10),_xlfn._xlws.FILTER(PartsDB[Hrs_PanelAssy]*M10*O10,PartsDB[Catalog]=I10),"")</f>
        <v>0.2</v>
      </c>
    </row>
    <row r="11" spans="1:21" ht="16.5" thickTop="1" thickBot="1" x14ac:dyDescent="0.3">
      <c r="A11" s="96" t="str">
        <f>IF(B11="","",MAX(A$4:A10)+1)</f>
        <v/>
      </c>
      <c r="B11" s="99" t="str">
        <f t="shared" si="0"/>
        <v/>
      </c>
      <c r="C11" s="35"/>
      <c r="D11" s="35"/>
      <c r="E11" s="35"/>
      <c r="F11" s="35"/>
      <c r="G11" s="36"/>
      <c r="H11" s="126" t="str">
        <v>Terminal Base, 8 Screw, 10A, 24VDC, 120/240VAC, DIN Rail</v>
      </c>
      <c r="I11" t="str">
        <v>1734-TB</v>
      </c>
      <c r="J11">
        <v>42</v>
      </c>
      <c r="K11" s="3">
        <v>26.913440000000001</v>
      </c>
      <c r="L11" t="str">
        <v>RIO</v>
      </c>
      <c r="M11">
        <v>1</v>
      </c>
      <c r="N11">
        <v>1</v>
      </c>
      <c r="O11" s="19">
        <f t="shared" si="1"/>
        <v>42</v>
      </c>
      <c r="P11" s="3">
        <f t="shared" si="2"/>
        <v>1130.36448</v>
      </c>
      <c r="Q11" s="93" cm="1">
        <f t="array" ref="Q11">IF(ISNUMBER(O11),_xlfn._xlws.FILTER(PartsDB[Hrs_ShopAssy]*N11*O11,PartsDB[Catalog]=I11),"")</f>
        <v>0</v>
      </c>
      <c r="R11" s="92" cm="1">
        <f t="array" ref="R11">IF(ISNUMBER(O11),_xlfn._xlws.FILTER(PartsDB[Hrs_Eng]*O11,PartsDB[Catalog]=I11),"")</f>
        <v>2.1</v>
      </c>
      <c r="S11" s="92" cm="1">
        <f t="array" ref="S11">IF(ISNUMBER(O11),_xlfn._xlws.FILTER(PartsDB[Hrs_PanelAssy]*M11*O11,PartsDB[Catalog]=I11),"")</f>
        <v>4.2</v>
      </c>
    </row>
    <row r="12" spans="1:21" ht="16.5" thickTop="1" thickBot="1" x14ac:dyDescent="0.3">
      <c r="A12" s="96" t="str">
        <f>IF(B12="","",MAX(A$4:A11)+1)</f>
        <v/>
      </c>
      <c r="B12" s="99" t="str">
        <f t="shared" si="0"/>
        <v/>
      </c>
      <c r="C12" s="35"/>
      <c r="D12" s="35"/>
      <c r="E12" s="35"/>
      <c r="F12" s="35"/>
      <c r="G12" s="36"/>
      <c r="H12" s="126" t="str">
        <v>Stratix 2000, Unmanaged, 8 Port Switch, RJ45 Copper Ports</v>
      </c>
      <c r="I12" t="str">
        <v>1783-US8T</v>
      </c>
      <c r="J12">
        <v>2</v>
      </c>
      <c r="K12" s="3">
        <v>206.44</v>
      </c>
      <c r="L12" t="str">
        <v>COMM</v>
      </c>
      <c r="M12">
        <v>1</v>
      </c>
      <c r="N12">
        <v>0</v>
      </c>
      <c r="O12" s="19">
        <f t="shared" si="1"/>
        <v>2</v>
      </c>
      <c r="P12" s="3">
        <f t="shared" si="2"/>
        <v>412.88</v>
      </c>
      <c r="Q12" s="93" cm="1">
        <f t="array" ref="Q12">IF(ISNUMBER(O12),_xlfn._xlws.FILTER(PartsDB[Hrs_ShopAssy]*N12*O12,PartsDB[Catalog]=I12),"")</f>
        <v>0</v>
      </c>
      <c r="R12" s="92" cm="1">
        <f t="array" ref="R12">IF(ISNUMBER(O12),_xlfn._xlws.FILTER(PartsDB[Hrs_Eng]*O12,PartsDB[Catalog]=I12),"")</f>
        <v>8</v>
      </c>
      <c r="S12" s="92" cm="1">
        <f t="array" ref="S12">IF(ISNUMBER(O12),_xlfn._xlws.FILTER(PartsDB[Hrs_PanelAssy]*M12*O12,PartsDB[Catalog]=I12),"")</f>
        <v>0</v>
      </c>
    </row>
    <row r="13" spans="1:21" ht="16.5" thickTop="1" thickBot="1" x14ac:dyDescent="0.3">
      <c r="A13" s="96" t="str">
        <f>IF(B13="","",MAX(A$4:A12)+1)</f>
        <v/>
      </c>
      <c r="B13" s="99" t="str">
        <f t="shared" si="0"/>
        <v/>
      </c>
      <c r="C13" s="35"/>
      <c r="D13" s="35"/>
      <c r="E13" s="35"/>
      <c r="F13" s="35"/>
      <c r="G13" s="36"/>
      <c r="H13" s="126" t="str">
        <v>I/O Module, Safety, 8 Point Input</v>
      </c>
      <c r="I13" t="str">
        <v>1734-IB8S</v>
      </c>
      <c r="J13">
        <v>2</v>
      </c>
      <c r="K13" s="3">
        <v>582.92172000000005</v>
      </c>
      <c r="L13" t="str">
        <v>RIO</v>
      </c>
      <c r="M13">
        <v>1</v>
      </c>
      <c r="N13">
        <v>0</v>
      </c>
      <c r="O13" s="19">
        <f t="shared" si="1"/>
        <v>2</v>
      </c>
      <c r="P13" s="3">
        <f t="shared" si="2"/>
        <v>1165.8434400000001</v>
      </c>
      <c r="Q13" s="93" cm="1">
        <f t="array" ref="Q13">IF(ISNUMBER(O13),_xlfn._xlws.FILTER(PartsDB[Hrs_ShopAssy]*N13*O13,PartsDB[Catalog]=I13),"")</f>
        <v>0</v>
      </c>
      <c r="R13" s="92" cm="1">
        <f t="array" ref="R13">IF(ISNUMBER(O13),_xlfn._xlws.FILTER(PartsDB[Hrs_Eng]*O13,PartsDB[Catalog]=I13),"")</f>
        <v>1.6</v>
      </c>
      <c r="S13" s="92" cm="1">
        <f t="array" ref="S13">IF(ISNUMBER(O13),_xlfn._xlws.FILTER(PartsDB[Hrs_PanelAssy]*M13*O13,PartsDB[Catalog]=I13),"")</f>
        <v>1.6</v>
      </c>
    </row>
    <row r="14" spans="1:21" ht="16.5" thickTop="1" thickBot="1" x14ac:dyDescent="0.3">
      <c r="A14" s="96" t="str">
        <f>IF(B14="","",MAX(A$4:A13)+1)</f>
        <v/>
      </c>
      <c r="B14" s="99" t="str">
        <f t="shared" si="0"/>
        <v/>
      </c>
      <c r="C14" s="35"/>
      <c r="D14" s="35"/>
      <c r="E14" s="35"/>
      <c r="F14" s="35"/>
      <c r="G14" s="36"/>
      <c r="H14" s="126" t="str">
        <v>I/O Module, Safety, Digital DC Output, 8 Channel, Current Sourcing</v>
      </c>
      <c r="I14" t="str">
        <v>1734-OB8S</v>
      </c>
      <c r="J14">
        <v>2</v>
      </c>
      <c r="K14" s="3">
        <v>677.61740999999995</v>
      </c>
      <c r="L14" t="str">
        <v>RIO</v>
      </c>
      <c r="M14">
        <v>1</v>
      </c>
      <c r="N14">
        <v>0</v>
      </c>
      <c r="O14" s="19">
        <f t="shared" si="1"/>
        <v>2</v>
      </c>
      <c r="P14" s="3">
        <f t="shared" si="2"/>
        <v>1355.2348199999999</v>
      </c>
      <c r="Q14" s="93" cm="1">
        <f t="array" ref="Q14">IF(ISNUMBER(O14),_xlfn._xlws.FILTER(PartsDB[Hrs_ShopAssy]*N14*O14,PartsDB[Catalog]=I14),"")</f>
        <v>0</v>
      </c>
      <c r="R14" s="92" cm="1">
        <f t="array" ref="R14">IF(ISNUMBER(O14),_xlfn._xlws.FILTER(PartsDB[Hrs_Eng]*O14,PartsDB[Catalog]=I14),"")</f>
        <v>1.6</v>
      </c>
      <c r="S14" s="92" cm="1">
        <f t="array" ref="S14">IF(ISNUMBER(O14),_xlfn._xlws.FILTER(PartsDB[Hrs_PanelAssy]*M14*O14,PartsDB[Catalog]=I14),"")</f>
        <v>1.6</v>
      </c>
    </row>
    <row r="15" spans="1:21" ht="16.5" thickTop="1" thickBot="1" x14ac:dyDescent="0.3">
      <c r="A15" s="96" t="str">
        <f>IF(B15="","",MAX(A$4:A14)+1)</f>
        <v/>
      </c>
      <c r="B15" s="99" t="str">
        <f t="shared" si="0"/>
        <v/>
      </c>
      <c r="C15" s="35"/>
      <c r="D15" s="108"/>
      <c r="E15" s="35"/>
      <c r="F15" s="35"/>
      <c r="G15" s="36"/>
      <c r="H15" s="126" t="str">
        <v>Safety Relay - 24VDC 8N/O 1N/C</v>
      </c>
      <c r="I15" t="str">
        <v>774150</v>
      </c>
      <c r="J15">
        <v>2</v>
      </c>
      <c r="K15" s="3">
        <v>468.73079999999999</v>
      </c>
      <c r="L15" t="str">
        <v>CR-Sfty</v>
      </c>
      <c r="M15">
        <v>1</v>
      </c>
      <c r="N15">
        <v>0</v>
      </c>
      <c r="O15" s="19">
        <f t="shared" si="1"/>
        <v>2</v>
      </c>
      <c r="P15" s="3">
        <f t="shared" si="2"/>
        <v>937.46159999999998</v>
      </c>
      <c r="Q15" s="93" cm="1">
        <f t="array" ref="Q15">IF(ISNUMBER(O15),_xlfn._xlws.FILTER(PartsDB[Hrs_ShopAssy]*N15*O15,PartsDB[Catalog]=I15),"")</f>
        <v>0</v>
      </c>
      <c r="R15" s="92" cm="1">
        <f t="array" ref="R15">IF(ISNUMBER(O15),_xlfn._xlws.FILTER(PartsDB[Hrs_Eng]*O15,PartsDB[Catalog]=I15),"")</f>
        <v>4</v>
      </c>
      <c r="S15" s="92" cm="1">
        <f t="array" ref="S15">IF(ISNUMBER(O15),_xlfn._xlws.FILTER(PartsDB[Hrs_PanelAssy]*M15*O15,PartsDB[Catalog]=I15),"")</f>
        <v>8</v>
      </c>
    </row>
    <row r="16" spans="1:21" ht="31.5" thickTop="1" thickBot="1" x14ac:dyDescent="0.3">
      <c r="A16" s="96" t="str">
        <f>IF(B16="","",MAX(A$4:A15)+1)</f>
        <v/>
      </c>
      <c r="B16" s="99" t="str">
        <f t="shared" si="0"/>
        <v/>
      </c>
      <c r="C16" s="35"/>
      <c r="D16" s="35"/>
      <c r="E16" s="35"/>
      <c r="F16" s="35"/>
      <c r="G16" s="36"/>
      <c r="H16" s="126" t="str">
        <v>Terminal Block, Fuse Holder, 15 Amp, 10 - 57 Volt AC/DC, Black, with LED Blown Fuse Indicator</v>
      </c>
      <c r="I16" t="str">
        <v>1492-H5</v>
      </c>
      <c r="J16">
        <v>30</v>
      </c>
      <c r="K16" s="3">
        <v>10.95</v>
      </c>
      <c r="L16" t="str">
        <v>FU</v>
      </c>
      <c r="M16">
        <v>1</v>
      </c>
      <c r="N16">
        <v>0</v>
      </c>
      <c r="O16" s="19">
        <f t="shared" si="1"/>
        <v>30</v>
      </c>
      <c r="P16" s="3">
        <f t="shared" si="2"/>
        <v>328.5</v>
      </c>
      <c r="Q16" s="93" cm="1">
        <f t="array" ref="Q16">IF(ISNUMBER(O16),_xlfn._xlws.FILTER(PartsDB[Hrs_ShopAssy]*N16*O16,PartsDB[Catalog]=I16),"")</f>
        <v>0</v>
      </c>
      <c r="R16" s="92" cm="1">
        <f t="array" ref="R16">IF(ISNUMBER(O16),_xlfn._xlws.FILTER(PartsDB[Hrs_Eng]*O16,PartsDB[Catalog]=I16),"")</f>
        <v>0.6</v>
      </c>
      <c r="S16" s="92" cm="1">
        <f t="array" ref="S16">IF(ISNUMBER(O16),_xlfn._xlws.FILTER(PartsDB[Hrs_PanelAssy]*M16*O16,PartsDB[Catalog]=I16),"")</f>
        <v>6</v>
      </c>
    </row>
    <row r="17" spans="1:19" ht="16.5" thickTop="1" thickBot="1" x14ac:dyDescent="0.3">
      <c r="A17" s="96" t="str">
        <f>IF(B17="","",MAX(A$4:A16)+1)</f>
        <v/>
      </c>
      <c r="B17" s="99" t="str">
        <f t="shared" si="0"/>
        <v/>
      </c>
      <c r="C17" s="35"/>
      <c r="D17" s="35"/>
      <c r="E17" s="35"/>
      <c r="F17" s="35"/>
      <c r="G17" s="36"/>
      <c r="H17" s="126" t="str">
        <v>TIME DELAY GLASS FUSE</v>
      </c>
      <c r="I17" t="str">
        <v>GDL2</v>
      </c>
      <c r="J17">
        <v>30</v>
      </c>
      <c r="K17" s="3">
        <v>0.89</v>
      </c>
      <c r="L17" t="str">
        <v>FU</v>
      </c>
      <c r="M17">
        <v>1</v>
      </c>
      <c r="N17">
        <v>0</v>
      </c>
      <c r="O17" s="19">
        <f t="shared" si="1"/>
        <v>30</v>
      </c>
      <c r="P17" s="3">
        <f t="shared" si="2"/>
        <v>26.7</v>
      </c>
      <c r="Q17" s="93" cm="1">
        <f t="array" ref="Q17">IF(ISNUMBER(O17),_xlfn._xlws.FILTER(PartsDB[Hrs_ShopAssy]*N17*O17,PartsDB[Catalog]=I17),"")</f>
        <v>0</v>
      </c>
      <c r="R17" s="92" cm="1">
        <f t="array" ref="R17">IF(ISNUMBER(O17),_xlfn._xlws.FILTER(PartsDB[Hrs_Eng]*O17,PartsDB[Catalog]=I17),"")</f>
        <v>0</v>
      </c>
      <c r="S17" s="92" cm="1">
        <f t="array" ref="S17">IF(ISNUMBER(O17),_xlfn._xlws.FILTER(PartsDB[Hrs_PanelAssy]*M17*O17,PartsDB[Catalog]=I17),"")</f>
        <v>0</v>
      </c>
    </row>
    <row r="18" spans="1:19" ht="31.5" thickTop="1" thickBot="1" x14ac:dyDescent="0.3">
      <c r="A18" s="96" t="str">
        <f>IF(B18="","",MAX(A$4:A17)+1)</f>
        <v/>
      </c>
      <c r="B18" s="99" t="str">
        <f t="shared" si="0"/>
        <v/>
      </c>
      <c r="C18" s="35"/>
      <c r="D18" s="35"/>
      <c r="E18" s="35"/>
      <c r="F18" s="35"/>
      <c r="G18" s="36"/>
      <c r="H18" s="126" t="str">
        <v>Wall Mount Enclosure, NEMA 12/13, Continuous Hinge Cover With Clamps, 36 x 36 x 12 Inch, Steel With Gray Powder Coat Finish</v>
      </c>
      <c r="I18" t="str">
        <v>A363612LP</v>
      </c>
      <c r="J18">
        <v>2</v>
      </c>
      <c r="K18" s="3">
        <v>572.97</v>
      </c>
      <c r="L18" t="str">
        <v>CAB</v>
      </c>
      <c r="M18">
        <v>1</v>
      </c>
      <c r="N18">
        <v>0</v>
      </c>
      <c r="O18" s="19">
        <f t="shared" si="1"/>
        <v>2</v>
      </c>
      <c r="P18" s="3">
        <f t="shared" si="2"/>
        <v>1145.94</v>
      </c>
      <c r="Q18" s="93" cm="1">
        <f t="array" ref="Q18">IF(ISNUMBER(O18),_xlfn._xlws.FILTER(PartsDB[Hrs_ShopAssy]*N18*O18,PartsDB[Catalog]=I18),"")</f>
        <v>0</v>
      </c>
      <c r="R18" s="92" cm="1">
        <f t="array" ref="R18">IF(ISNUMBER(O18),_xlfn._xlws.FILTER(PartsDB[Hrs_Eng]*O18,PartsDB[Catalog]=I18),"")</f>
        <v>0</v>
      </c>
      <c r="S18" s="92" cm="1">
        <f t="array" ref="S18">IF(ISNUMBER(O18),_xlfn._xlws.FILTER(PartsDB[Hrs_PanelAssy]*M18*O18,PartsDB[Catalog]=I18),"")</f>
        <v>0</v>
      </c>
    </row>
    <row r="19" spans="1:19" ht="31.5" thickTop="1" thickBot="1" x14ac:dyDescent="0.3">
      <c r="A19" s="96" t="str">
        <f>IF(B19="","",MAX(A$4:A18)+1)</f>
        <v/>
      </c>
      <c r="B19" s="99" t="str">
        <f t="shared" si="0"/>
        <v/>
      </c>
      <c r="C19" s="35"/>
      <c r="D19" s="35"/>
      <c r="E19" s="35"/>
      <c r="F19" s="35"/>
      <c r="G19" s="36"/>
      <c r="H19" s="126" t="str">
        <v>Panel For Enclosure, 33" x 33", Type 3R, 4, 4X, 12/13, Steel, White Powder Coat Finish</v>
      </c>
      <c r="I19" t="str">
        <v>A36P36</v>
      </c>
      <c r="J19">
        <v>2</v>
      </c>
      <c r="K19" s="3">
        <v>124.98</v>
      </c>
      <c r="L19" t="str">
        <v>CAB</v>
      </c>
      <c r="M19">
        <v>1</v>
      </c>
      <c r="N19">
        <v>0</v>
      </c>
      <c r="O19" s="19">
        <f t="shared" si="1"/>
        <v>2</v>
      </c>
      <c r="P19" s="3">
        <f t="shared" si="2"/>
        <v>249.96</v>
      </c>
      <c r="Q19" s="93" cm="1">
        <f t="array" ref="Q19">IF(ISNUMBER(O19),_xlfn._xlws.FILTER(PartsDB[Hrs_ShopAssy]*N19*O19,PartsDB[Catalog]=I19),"")</f>
        <v>0</v>
      </c>
      <c r="R19" s="92" cm="1">
        <f t="array" ref="R19">IF(ISNUMBER(O19),_xlfn._xlws.FILTER(PartsDB[Hrs_Eng]*O19,PartsDB[Catalog]=I19),"")</f>
        <v>16</v>
      </c>
      <c r="S19" s="92" cm="1">
        <f t="array" ref="S19">IF(ISNUMBER(O19),_xlfn._xlws.FILTER(PartsDB[Hrs_PanelAssy]*M19*O19,PartsDB[Catalog]=I19),"")</f>
        <v>16</v>
      </c>
    </row>
    <row r="20" spans="1:19" ht="16.5" thickTop="1" thickBot="1" x14ac:dyDescent="0.3">
      <c r="A20" s="96" t="str">
        <f>IF(B20="","",MAX(A$4:A19)+1)</f>
        <v/>
      </c>
      <c r="B20" s="99" t="str">
        <f t="shared" si="0"/>
        <v/>
      </c>
      <c r="C20" s="35"/>
      <c r="D20" s="35"/>
      <c r="E20" s="35"/>
      <c r="F20" s="35"/>
      <c r="G20" s="36"/>
      <c r="H20" s="126" t="str">
        <v>24VDC POWER SUPPLY 5AMP</v>
      </c>
      <c r="I20" t="str">
        <v>SDN5-24-100C</v>
      </c>
      <c r="J20">
        <v>2</v>
      </c>
      <c r="K20" s="3">
        <v>213.8022</v>
      </c>
      <c r="L20" t="str">
        <v>DCPS</v>
      </c>
      <c r="M20">
        <v>1</v>
      </c>
      <c r="N20">
        <v>0</v>
      </c>
      <c r="O20" s="19">
        <f t="shared" si="1"/>
        <v>2</v>
      </c>
      <c r="P20" s="3">
        <f t="shared" si="2"/>
        <v>427.6044</v>
      </c>
      <c r="Q20" s="93" cm="1">
        <f t="array" ref="Q20">IF(ISNUMBER(O20),_xlfn._xlws.FILTER(PartsDB[Hrs_ShopAssy]*N20*O20,PartsDB[Catalog]=I20),"")</f>
        <v>0</v>
      </c>
      <c r="R20" s="92" cm="1">
        <f t="array" ref="R20">IF(ISNUMBER(O20),_xlfn._xlws.FILTER(PartsDB[Hrs_Eng]*O20,PartsDB[Catalog]=I20),"")</f>
        <v>8</v>
      </c>
      <c r="S20" s="92" cm="1">
        <f t="array" ref="S20">IF(ISNUMBER(O20),_xlfn._xlws.FILTER(PartsDB[Hrs_PanelAssy]*M20*O20,PartsDB[Catalog]=I20),"")</f>
        <v>8</v>
      </c>
    </row>
    <row r="21" spans="1:19" ht="16.5" thickTop="1" thickBot="1" x14ac:dyDescent="0.3">
      <c r="A21" s="96" t="str">
        <f>IF(B21="","",MAX(A$4:A20)+1)</f>
        <v/>
      </c>
      <c r="B21" s="99" t="str">
        <f t="shared" si="0"/>
        <v/>
      </c>
      <c r="C21" s="35"/>
      <c r="D21" s="35"/>
      <c r="E21" s="35"/>
      <c r="F21" s="35"/>
      <c r="G21" s="36"/>
      <c r="H21" s="126" t="str">
        <v>24VDC Power Supply 40AMPS</v>
      </c>
      <c r="I21" t="str">
        <v>SDN40-24-100C</v>
      </c>
      <c r="J21">
        <v>2</v>
      </c>
      <c r="K21" s="3">
        <v>1178.1204</v>
      </c>
      <c r="L21" t="str">
        <v>DCPS</v>
      </c>
      <c r="M21">
        <v>1</v>
      </c>
      <c r="N21">
        <v>0</v>
      </c>
      <c r="O21" s="19">
        <f t="shared" si="1"/>
        <v>2</v>
      </c>
      <c r="P21" s="3">
        <f t="shared" si="2"/>
        <v>2356.2408</v>
      </c>
      <c r="Q21" s="93" cm="1">
        <f t="array" ref="Q21">IF(ISNUMBER(O21),_xlfn._xlws.FILTER(PartsDB[Hrs_ShopAssy]*N21*O21,PartsDB[Catalog]=I21),"")</f>
        <v>0</v>
      </c>
      <c r="R21" s="92" cm="1">
        <f t="array" ref="R21">IF(ISNUMBER(O21),_xlfn._xlws.FILTER(PartsDB[Hrs_Eng]*O21,PartsDB[Catalog]=I21),"")</f>
        <v>8</v>
      </c>
      <c r="S21" s="92" cm="1">
        <f t="array" ref="S21">IF(ISNUMBER(O21),_xlfn._xlws.FILTER(PartsDB[Hrs_PanelAssy]*M21*O21,PartsDB[Catalog]=I21),"")</f>
        <v>8</v>
      </c>
    </row>
    <row r="22" spans="1:19" ht="16.5" thickTop="1" thickBot="1" x14ac:dyDescent="0.3">
      <c r="A22" s="96" t="str">
        <f>IF(B22="","",MAX(A$4:A21)+1)</f>
        <v/>
      </c>
      <c r="B22" s="99" t="str">
        <f t="shared" si="0"/>
        <v/>
      </c>
      <c r="C22" s="35"/>
      <c r="D22" s="35"/>
      <c r="E22" s="35"/>
      <c r="F22" s="35"/>
      <c r="G22" s="36"/>
      <c r="H22" s="126" t="str">
        <v>MULTI-9 SURGE ARRESTER, 1-POLE W/ REMOTE SIGNALING</v>
      </c>
      <c r="I22" t="str">
        <v>M9L11120</v>
      </c>
      <c r="J22">
        <v>2</v>
      </c>
      <c r="K22" s="3">
        <v>66.636600000000001</v>
      </c>
      <c r="L22" t="str">
        <v>FU</v>
      </c>
      <c r="M22">
        <v>1</v>
      </c>
      <c r="N22">
        <v>0</v>
      </c>
      <c r="O22" s="19">
        <f t="shared" si="1"/>
        <v>2</v>
      </c>
      <c r="P22" s="3">
        <f t="shared" si="2"/>
        <v>133.2732</v>
      </c>
      <c r="Q22" s="93" cm="1">
        <f t="array" ref="Q22">IF(ISNUMBER(O22),_xlfn._xlws.FILTER(PartsDB[Hrs_ShopAssy]*N22*O22,PartsDB[Catalog]=I22),"")</f>
        <v>0</v>
      </c>
      <c r="R22" s="92" cm="1">
        <f t="array" ref="R22">IF(ISNUMBER(O22),_xlfn._xlws.FILTER(PartsDB[Hrs_Eng]*O22,PartsDB[Catalog]=I22),"")</f>
        <v>0</v>
      </c>
      <c r="S22" s="92" cm="1">
        <f t="array" ref="S22">IF(ISNUMBER(O22),_xlfn._xlws.FILTER(PartsDB[Hrs_PanelAssy]*M22*O22,PartsDB[Catalog]=I22),"")</f>
        <v>0</v>
      </c>
    </row>
    <row r="23" spans="1:19" ht="31.5" thickTop="1" thickBot="1" x14ac:dyDescent="0.3">
      <c r="A23" s="96" t="str">
        <f>IF(B23="","",MAX(A$4:A22)+1)</f>
        <v/>
      </c>
      <c r="B23" s="99" t="str">
        <f t="shared" si="0"/>
        <v/>
      </c>
      <c r="C23" s="35"/>
      <c r="D23" s="35"/>
      <c r="E23" s="35"/>
      <c r="F23" s="35"/>
      <c r="G23" s="36"/>
      <c r="H23" s="126" t="str">
        <v>PATCH PANEL, TWO RJ45 SOCKETS, 10/100/1000 MBPS, DIN RAIL MOUNTING, IP20</v>
      </c>
      <c r="I23" t="str">
        <v>_2703015</v>
      </c>
      <c r="J23">
        <v>4</v>
      </c>
      <c r="K23" s="3">
        <v>58.820999999999998</v>
      </c>
      <c r="L23" t="str">
        <v>COMM</v>
      </c>
      <c r="M23">
        <v>1</v>
      </c>
      <c r="N23">
        <v>0</v>
      </c>
      <c r="O23" s="19">
        <f t="shared" si="1"/>
        <v>4</v>
      </c>
      <c r="P23" s="3">
        <f t="shared" si="2"/>
        <v>235.28399999999999</v>
      </c>
      <c r="Q23" s="93" cm="1">
        <f t="array" ref="Q23">IF(ISNUMBER(O23),_xlfn._xlws.FILTER(PartsDB[Hrs_ShopAssy]*N23*O23,PartsDB[Catalog]=I23),"")</f>
        <v>0</v>
      </c>
      <c r="R23" s="92" cm="1">
        <f t="array" ref="R23">IF(ISNUMBER(O23),_xlfn._xlws.FILTER(PartsDB[Hrs_Eng]*O23,PartsDB[Catalog]=I23),"")</f>
        <v>0</v>
      </c>
      <c r="S23" s="92" cm="1">
        <f t="array" ref="S23">IF(ISNUMBER(O23),_xlfn._xlws.FILTER(PartsDB[Hrs_PanelAssy]*M23*O23,PartsDB[Catalog]=I23),"")</f>
        <v>2</v>
      </c>
    </row>
    <row r="24" spans="1:19" ht="16.5" thickTop="1" thickBot="1" x14ac:dyDescent="0.3">
      <c r="A24" s="96" t="str">
        <f>IF(B24="","",MAX(A$4:A23)+1)</f>
        <v/>
      </c>
      <c r="B24" s="99" t="str">
        <f t="shared" si="0"/>
        <v/>
      </c>
      <c r="C24" s="35"/>
      <c r="D24" s="35"/>
      <c r="E24" s="35"/>
      <c r="F24" s="35"/>
      <c r="G24" s="36"/>
      <c r="H24" s="126" t="str">
        <v>Class CC Fuse,  600V AC/DC, 5A, Time-Delay</v>
      </c>
      <c r="I24" t="str">
        <v>CCMR005.TXP</v>
      </c>
      <c r="J24">
        <v>30</v>
      </c>
      <c r="K24" s="3">
        <v>10.11</v>
      </c>
      <c r="L24" t="str">
        <v>FU</v>
      </c>
      <c r="M24">
        <v>1</v>
      </c>
      <c r="N24">
        <v>0</v>
      </c>
      <c r="O24" s="19">
        <f t="shared" si="1"/>
        <v>30</v>
      </c>
      <c r="P24" s="3">
        <f t="shared" si="2"/>
        <v>303.29999999999995</v>
      </c>
      <c r="Q24" s="93" cm="1">
        <f t="array" ref="Q24">IF(ISNUMBER(O24),_xlfn._xlws.FILTER(PartsDB[Hrs_ShopAssy]*N24*O24,PartsDB[Catalog]=I24),"")</f>
        <v>0</v>
      </c>
      <c r="R24" s="92" cm="1">
        <f t="array" ref="R24">IF(ISNUMBER(O24),_xlfn._xlws.FILTER(PartsDB[Hrs_Eng]*O24,PartsDB[Catalog]=I24),"")</f>
        <v>0</v>
      </c>
      <c r="S24" s="92" cm="1">
        <f t="array" ref="S24">IF(ISNUMBER(O24),_xlfn._xlws.FILTER(PartsDB[Hrs_PanelAssy]*M24*O24,PartsDB[Catalog]=I24),"")</f>
        <v>0</v>
      </c>
    </row>
    <row r="25" spans="1:19" ht="31.5" thickTop="1" thickBot="1" x14ac:dyDescent="0.3">
      <c r="A25" s="96" t="str">
        <f>IF(B25="","",MAX(A$4:A24)+1)</f>
        <v/>
      </c>
      <c r="B25" s="99" t="str">
        <f t="shared" si="0"/>
        <v/>
      </c>
      <c r="C25" s="35"/>
      <c r="D25" s="35"/>
      <c r="E25" s="35"/>
      <c r="F25" s="35"/>
      <c r="G25" s="36"/>
      <c r="H25" s="126" t="str">
        <v>Fuse Holder, Class CC Type Fuses, 1-Pole, 30 Amp, 12 - 72 Volt, with Led Blown Fuse Indicator</v>
      </c>
      <c r="I25" t="str">
        <v>1492-FB1C30-D1</v>
      </c>
      <c r="J25">
        <v>30</v>
      </c>
      <c r="K25" s="3">
        <v>18.23</v>
      </c>
      <c r="L25" t="str">
        <v>FU</v>
      </c>
      <c r="M25">
        <v>1</v>
      </c>
      <c r="N25">
        <v>0</v>
      </c>
      <c r="O25" s="19">
        <f t="shared" si="1"/>
        <v>30</v>
      </c>
      <c r="P25" s="3">
        <f t="shared" si="2"/>
        <v>546.9</v>
      </c>
      <c r="Q25" s="93" cm="1">
        <f t="array" ref="Q25">IF(ISNUMBER(O25),_xlfn._xlws.FILTER(PartsDB[Hrs_ShopAssy]*N25*O25,PartsDB[Catalog]=I25),"")</f>
        <v>0</v>
      </c>
      <c r="R25" s="92" cm="1">
        <f t="array" ref="R25">IF(ISNUMBER(O25),_xlfn._xlws.FILTER(PartsDB[Hrs_Eng]*O25,PartsDB[Catalog]=I25),"")</f>
        <v>3</v>
      </c>
      <c r="S25" s="92" cm="1">
        <f t="array" ref="S25">IF(ISNUMBER(O25),_xlfn._xlws.FILTER(PartsDB[Hrs_PanelAssy]*M25*O25,PartsDB[Catalog]=I25),"")</f>
        <v>6</v>
      </c>
    </row>
    <row r="26" spans="1:19" ht="31.5" thickTop="1" thickBot="1" x14ac:dyDescent="0.3">
      <c r="A26" s="96" t="str">
        <f>IF(B26="","",MAX(A$4:A25)+1)</f>
        <v/>
      </c>
      <c r="B26" s="99" t="str">
        <f t="shared" si="0"/>
        <v/>
      </c>
      <c r="C26" s="35"/>
      <c r="D26" s="35"/>
      <c r="E26" s="35"/>
      <c r="F26" s="35"/>
      <c r="G26" s="36"/>
      <c r="H26" s="126" t="str">
        <v xml:space="preserve"> CIRCUIT BREAKER, MINIATURE SUPPLEMENTARY PROTECTOR, BULLETIN 1492-SP SERIES C</v>
      </c>
      <c r="I26" t="str">
        <v>1492-SP1C200</v>
      </c>
      <c r="J26">
        <v>2</v>
      </c>
      <c r="K26" s="3">
        <v>37.32</v>
      </c>
      <c r="L26" t="str">
        <v>CB</v>
      </c>
      <c r="M26">
        <v>1</v>
      </c>
      <c r="N26">
        <v>0</v>
      </c>
      <c r="O26" s="19">
        <f t="shared" si="1"/>
        <v>2</v>
      </c>
      <c r="P26" s="3">
        <f t="shared" si="2"/>
        <v>74.64</v>
      </c>
      <c r="Q26" s="93" cm="1">
        <f t="array" ref="Q26">IF(ISNUMBER(O26),_xlfn._xlws.FILTER(PartsDB[Hrs_ShopAssy]*N26*O26,PartsDB[Catalog]=I26),"")</f>
        <v>0</v>
      </c>
      <c r="R26" s="92" cm="1">
        <f t="array" ref="R26">IF(ISNUMBER(O26),_xlfn._xlws.FILTER(PartsDB[Hrs_Eng]*O26,PartsDB[Catalog]=I26),"")</f>
        <v>0.2</v>
      </c>
      <c r="S26" s="92" cm="1">
        <f t="array" ref="S26">IF(ISNUMBER(O26),_xlfn._xlws.FILTER(PartsDB[Hrs_PanelAssy]*M26*O26,PartsDB[Catalog]=I26),"")</f>
        <v>0.4</v>
      </c>
    </row>
    <row r="27" spans="1:19" ht="16.5" thickTop="1" thickBot="1" x14ac:dyDescent="0.3">
      <c r="A27" s="96" t="str">
        <f>IF(B27="","",MAX(A$4:A26)+1)</f>
        <v/>
      </c>
      <c r="B27" s="99" t="str">
        <f t="shared" si="0"/>
        <v/>
      </c>
      <c r="C27" s="35"/>
      <c r="D27" s="35"/>
      <c r="E27" s="35"/>
      <c r="F27" s="35"/>
      <c r="G27" s="36"/>
      <c r="H27" s="126" t="str">
        <v>Misc Components</v>
      </c>
      <c r="I27" t="str">
        <v>MISC1000</v>
      </c>
      <c r="J27">
        <v>4</v>
      </c>
      <c r="K27" s="3">
        <v>1000</v>
      </c>
      <c r="L27" t="str">
        <v>MISC</v>
      </c>
      <c r="M27">
        <v>1</v>
      </c>
      <c r="N27">
        <v>0</v>
      </c>
      <c r="O27" s="19">
        <f t="shared" si="1"/>
        <v>4</v>
      </c>
      <c r="P27" s="3">
        <f t="shared" si="2"/>
        <v>4000</v>
      </c>
      <c r="Q27" s="93" cm="1">
        <f t="array" ref="Q27">IF(ISNUMBER(O27),_xlfn._xlws.FILTER(PartsDB[Hrs_ShopAssy]*N27*O27,PartsDB[Catalog]=I27),"")</f>
        <v>0</v>
      </c>
      <c r="R27" s="92" cm="1">
        <f t="array" ref="R27">IF(ISNUMBER(O27),_xlfn._xlws.FILTER(PartsDB[Hrs_Eng]*O27,PartsDB[Catalog]=I27),"")</f>
        <v>0</v>
      </c>
      <c r="S27" s="92" cm="1">
        <f t="array" ref="S27">IF(ISNUMBER(O27),_xlfn._xlws.FILTER(PartsDB[Hrs_PanelAssy]*M27*O27,PartsDB[Catalog]=I27),"")</f>
        <v>0</v>
      </c>
    </row>
    <row r="28" spans="1:19" ht="16.5" thickTop="1" thickBot="1" x14ac:dyDescent="0.3">
      <c r="A28" s="96" t="str">
        <f>IF(B28="","",MAX(A$4:A27)+1)</f>
        <v/>
      </c>
      <c r="B28" s="99" t="str">
        <f t="shared" si="0"/>
        <v/>
      </c>
      <c r="C28" s="35"/>
      <c r="D28" s="35"/>
      <c r="E28" s="35"/>
      <c r="F28" s="35"/>
      <c r="G28" s="36"/>
      <c r="H28" s="126" t="str">
        <v>Panel Shop Material Per Door Estimated</v>
      </c>
      <c r="I28" t="str">
        <v>MtI/O</v>
      </c>
      <c r="J28">
        <v>2</v>
      </c>
      <c r="K28" s="3">
        <v>1500</v>
      </c>
      <c r="L28" t="str">
        <v>Assy-Mtl</v>
      </c>
      <c r="M28">
        <v>1</v>
      </c>
      <c r="N28">
        <v>0</v>
      </c>
      <c r="O28" s="19">
        <f t="shared" si="1"/>
        <v>2</v>
      </c>
      <c r="P28" s="3">
        <f t="shared" si="2"/>
        <v>3000</v>
      </c>
      <c r="Q28" s="93" cm="1">
        <f t="array" ref="Q28">IF(ISNUMBER(O28),_xlfn._xlws.FILTER(PartsDB[Hrs_ShopAssy]*N28*O28,PartsDB[Catalog]=I28),"")</f>
        <v>0</v>
      </c>
      <c r="R28" s="92" cm="1">
        <f t="array" ref="R28">IF(ISNUMBER(O28),_xlfn._xlws.FILTER(PartsDB[Hrs_Eng]*O28,PartsDB[Catalog]=I28),"")</f>
        <v>8</v>
      </c>
      <c r="S28" s="92" cm="1">
        <f t="array" ref="S28">IF(ISNUMBER(O28),_xlfn._xlws.FILTER(PartsDB[Hrs_PanelAssy]*M28*O28,PartsDB[Catalog]=I28),"")</f>
        <v>2</v>
      </c>
    </row>
    <row r="29" spans="1:19" ht="16.5" thickTop="1" thickBot="1" x14ac:dyDescent="0.3">
      <c r="A29" s="96" t="str">
        <f>IF(B29="","",MAX(A$4:A28)+1)</f>
        <v/>
      </c>
      <c r="B29" s="99" t="str">
        <f t="shared" si="0"/>
        <v/>
      </c>
      <c r="C29" s="35"/>
      <c r="D29" s="35"/>
      <c r="E29" s="35"/>
      <c r="F29" s="35"/>
      <c r="G29" s="36"/>
      <c r="O29" s="19" t="str">
        <f t="shared" si="1"/>
        <v/>
      </c>
      <c r="P29" s="3" t="str">
        <f t="shared" si="2"/>
        <v/>
      </c>
      <c r="Q29" s="93" t="str" cm="1">
        <f t="array" ref="Q29">IF(ISNUMBER(O29),_xlfn._xlws.FILTER(PartsDB[Hrs_ShopAssy]*N29*O29,PartsDB[Catalog]=I29),"")</f>
        <v/>
      </c>
      <c r="R29" s="92" t="str" cm="1">
        <f t="array" ref="R29">IF(ISNUMBER(O29),_xlfn._xlws.FILTER(PartsDB[Hrs_Eng]*O29,PartsDB[Catalog]=I29),"")</f>
        <v/>
      </c>
      <c r="S29" s="92" t="str" cm="1">
        <f t="array" ref="S29">IF(ISNUMBER(O29),_xlfn._xlws.FILTER(PartsDB[Hrs_PanelAssy]*M29*O29,PartsDB[Catalog]=I29),"")</f>
        <v/>
      </c>
    </row>
    <row r="30" spans="1:19" ht="16.5" thickTop="1" thickBot="1" x14ac:dyDescent="0.3">
      <c r="A30" s="96" t="str">
        <f>IF(B30="","",MAX(A$4:A29)+1)</f>
        <v/>
      </c>
      <c r="B30" s="99" t="str">
        <f t="shared" si="0"/>
        <v/>
      </c>
      <c r="C30" s="35"/>
      <c r="D30" s="35"/>
      <c r="E30" s="35"/>
      <c r="F30" s="35"/>
      <c r="G30" s="36"/>
      <c r="O30" s="19" t="str">
        <f t="shared" ref="O30:O70" si="3">IF(ISNUMBER(J30),J30,"")</f>
        <v/>
      </c>
      <c r="P30" s="3" t="str">
        <f t="shared" ref="P30:P70" si="4">IF(ISNUMBER(O30),O30*K30,"")</f>
        <v/>
      </c>
      <c r="Q30" s="93" t="str" cm="1">
        <f t="array" ref="Q30">IF(ISNUMBER(O30),_xlfn._xlws.FILTER(PartsDB[Hrs_ShopAssy]*N30*O30,PartsDB[Catalog]=I30),"")</f>
        <v/>
      </c>
      <c r="R30" s="92" t="str" cm="1">
        <f t="array" ref="R30">IF(ISNUMBER(O30),_xlfn._xlws.FILTER(PartsDB[Hrs_Eng]*O30,PartsDB[Catalog]=I30),"")</f>
        <v/>
      </c>
      <c r="S30" s="92" t="str" cm="1">
        <f t="array" ref="S30">IF(ISNUMBER(O30),_xlfn._xlws.FILTER(PartsDB[Hrs_PanelAssy]*M30*O30,PartsDB[Catalog]=I30),"")</f>
        <v/>
      </c>
    </row>
    <row r="31" spans="1:19" ht="16.5" thickTop="1" thickBot="1" x14ac:dyDescent="0.3">
      <c r="A31" s="96" t="str">
        <f>IF(B31="","",MAX(A$4:A30)+1)</f>
        <v/>
      </c>
      <c r="B31" s="99" t="str">
        <f t="shared" si="0"/>
        <v/>
      </c>
      <c r="C31" s="35"/>
      <c r="D31" s="35"/>
      <c r="E31" s="35"/>
      <c r="F31" s="35"/>
      <c r="G31" s="36"/>
      <c r="O31" s="19" t="str">
        <f t="shared" si="3"/>
        <v/>
      </c>
      <c r="P31" s="3" t="str">
        <f t="shared" si="4"/>
        <v/>
      </c>
      <c r="Q31" s="93" t="str" cm="1">
        <f t="array" ref="Q31">IF(ISNUMBER(O31),_xlfn._xlws.FILTER(PartsDB[Hrs_ShopAssy]*N31*O31,PartsDB[Catalog]=I31),"")</f>
        <v/>
      </c>
      <c r="R31" s="92" t="str" cm="1">
        <f t="array" ref="R31">IF(ISNUMBER(O31),_xlfn._xlws.FILTER(PartsDB[Hrs_Eng]*O31,PartsDB[Catalog]=I31),"")</f>
        <v/>
      </c>
      <c r="S31" s="92" t="str" cm="1">
        <f t="array" ref="S31">IF(ISNUMBER(O31),_xlfn._xlws.FILTER(PartsDB[Hrs_PanelAssy]*M31*O31,PartsDB[Catalog]=I31),"")</f>
        <v/>
      </c>
    </row>
    <row r="32" spans="1:19" ht="16.5" thickTop="1" thickBot="1" x14ac:dyDescent="0.3">
      <c r="A32" s="96" t="str">
        <f>IF(B32="","",MAX(A$4:A31)+1)</f>
        <v/>
      </c>
      <c r="B32" s="99" t="str">
        <f t="shared" si="0"/>
        <v/>
      </c>
      <c r="C32" s="35"/>
      <c r="D32" s="35"/>
      <c r="E32" s="35"/>
      <c r="F32" s="35"/>
      <c r="G32" s="36"/>
      <c r="O32" s="19" t="str">
        <f t="shared" si="3"/>
        <v/>
      </c>
      <c r="P32" s="3" t="str">
        <f t="shared" si="4"/>
        <v/>
      </c>
      <c r="Q32" s="93" t="str" cm="1">
        <f t="array" ref="Q32">IF(ISNUMBER(O32),_xlfn._xlws.FILTER(PartsDB[Hrs_ShopAssy]*N32*O32,PartsDB[Catalog]=I32),"")</f>
        <v/>
      </c>
      <c r="R32" s="92" t="str" cm="1">
        <f t="array" ref="R32">IF(ISNUMBER(O32),_xlfn._xlws.FILTER(PartsDB[Hrs_Eng]*O32,PartsDB[Catalog]=I32),"")</f>
        <v/>
      </c>
      <c r="S32" s="92" t="str" cm="1">
        <f t="array" ref="S32">IF(ISNUMBER(O32),_xlfn._xlws.FILTER(PartsDB[Hrs_PanelAssy]*M32*O32,PartsDB[Catalog]=I32),"")</f>
        <v/>
      </c>
    </row>
    <row r="33" spans="1:19" ht="16.5" thickTop="1" thickBot="1" x14ac:dyDescent="0.3">
      <c r="A33" s="96" t="str">
        <f>IF(B33="","",MAX(A$4:A32)+1)</f>
        <v/>
      </c>
      <c r="B33" s="99" t="str">
        <f t="shared" si="0"/>
        <v/>
      </c>
      <c r="C33" s="35"/>
      <c r="D33" s="35"/>
      <c r="E33" s="35"/>
      <c r="F33" s="35"/>
      <c r="G33" s="36"/>
      <c r="O33" s="19" t="str">
        <f t="shared" si="3"/>
        <v/>
      </c>
      <c r="P33" s="3" t="str">
        <f t="shared" si="4"/>
        <v/>
      </c>
      <c r="Q33" s="93" t="str" cm="1">
        <f t="array" ref="Q33">IF(ISNUMBER(O33),_xlfn._xlws.FILTER(PartsDB[Hrs_ShopAssy]*N33*O33,PartsDB[Catalog]=I33),"")</f>
        <v/>
      </c>
      <c r="R33" s="92" t="str" cm="1">
        <f t="array" ref="R33">IF(ISNUMBER(O33),_xlfn._xlws.FILTER(PartsDB[Hrs_Eng]*O33,PartsDB[Catalog]=I33),"")</f>
        <v/>
      </c>
      <c r="S33" s="92" t="str" cm="1">
        <f t="array" ref="S33">IF(ISNUMBER(O33),_xlfn._xlws.FILTER(PartsDB[Hrs_PanelAssy]*M33*O33,PartsDB[Catalog]=I33),"")</f>
        <v/>
      </c>
    </row>
    <row r="34" spans="1:19" ht="16.5" thickTop="1" thickBot="1" x14ac:dyDescent="0.3">
      <c r="A34" s="96" t="str">
        <f>IF(B34="","",MAX(A$4:A33)+1)</f>
        <v/>
      </c>
      <c r="B34" s="99" t="str">
        <f t="shared" si="0"/>
        <v/>
      </c>
      <c r="C34" s="35"/>
      <c r="D34" s="35"/>
      <c r="E34" s="35"/>
      <c r="F34" s="35"/>
      <c r="G34" s="36"/>
      <c r="O34" s="19" t="str">
        <f t="shared" si="3"/>
        <v/>
      </c>
      <c r="P34" s="3" t="str">
        <f t="shared" si="4"/>
        <v/>
      </c>
      <c r="Q34" s="93" t="str" cm="1">
        <f t="array" ref="Q34">IF(ISNUMBER(O34),_xlfn._xlws.FILTER(PartsDB[Hrs_ShopAssy]*N34*O34,PartsDB[Catalog]=I34),"")</f>
        <v/>
      </c>
      <c r="R34" s="92" t="str" cm="1">
        <f t="array" ref="R34">IF(ISNUMBER(O34),_xlfn._xlws.FILTER(PartsDB[Hrs_Eng]*O34,PartsDB[Catalog]=I34),"")</f>
        <v/>
      </c>
      <c r="S34" s="92" t="str" cm="1">
        <f t="array" ref="S34">IF(ISNUMBER(O34),_xlfn._xlws.FILTER(PartsDB[Hrs_PanelAssy]*M34*O34,PartsDB[Catalog]=I34),"")</f>
        <v/>
      </c>
    </row>
    <row r="35" spans="1:19" ht="16.5" thickTop="1" thickBot="1" x14ac:dyDescent="0.3">
      <c r="A35" s="96" t="str">
        <f>IF(B35="","",MAX(A$4:A34)+1)</f>
        <v/>
      </c>
      <c r="B35" s="99" t="str">
        <f t="shared" si="0"/>
        <v/>
      </c>
      <c r="C35" s="35"/>
      <c r="D35" s="35"/>
      <c r="E35" s="35"/>
      <c r="F35" s="35"/>
      <c r="G35" s="36"/>
      <c r="O35" s="19" t="str">
        <f t="shared" si="3"/>
        <v/>
      </c>
      <c r="P35" s="3" t="str">
        <f t="shared" si="4"/>
        <v/>
      </c>
      <c r="Q35" s="93" t="str" cm="1">
        <f t="array" ref="Q35">IF(ISNUMBER(O35),_xlfn._xlws.FILTER(PartsDB[Hrs_ShopAssy]*N35*O35,PartsDB[Catalog]=I35),"")</f>
        <v/>
      </c>
      <c r="R35" s="92" t="str" cm="1">
        <f t="array" ref="R35">IF(ISNUMBER(O35),_xlfn._xlws.FILTER(PartsDB[Hrs_Eng]*O35,PartsDB[Catalog]=I35),"")</f>
        <v/>
      </c>
      <c r="S35" s="92" t="str" cm="1">
        <f t="array" ref="S35">IF(ISNUMBER(O35),_xlfn._xlws.FILTER(PartsDB[Hrs_PanelAssy]*M35*O35,PartsDB[Catalog]=I35),"")</f>
        <v/>
      </c>
    </row>
    <row r="36" spans="1:19" ht="16.5" thickTop="1" thickBot="1" x14ac:dyDescent="0.3">
      <c r="A36" s="96" t="str">
        <f>IF(B36="","",MAX(A$4:A35)+1)</f>
        <v/>
      </c>
      <c r="B36" s="99" t="str">
        <f t="shared" si="0"/>
        <v/>
      </c>
      <c r="C36" s="35"/>
      <c r="D36" s="35"/>
      <c r="E36" s="35"/>
      <c r="F36" s="35"/>
      <c r="G36" s="36"/>
      <c r="O36" s="19" t="str">
        <f t="shared" si="3"/>
        <v/>
      </c>
      <c r="P36" s="3" t="str">
        <f t="shared" si="4"/>
        <v/>
      </c>
      <c r="Q36" s="93" t="str" cm="1">
        <f t="array" ref="Q36">IF(ISNUMBER(O36),_xlfn._xlws.FILTER(PartsDB[Hrs_ShopAssy]*N36*O36,PartsDB[Catalog]=I36),"")</f>
        <v/>
      </c>
      <c r="R36" s="92" t="str" cm="1">
        <f t="array" ref="R36">IF(ISNUMBER(O36),_xlfn._xlws.FILTER(PartsDB[Hrs_Eng]*O36,PartsDB[Catalog]=I36),"")</f>
        <v/>
      </c>
      <c r="S36" s="92" t="str" cm="1">
        <f t="array" ref="S36">IF(ISNUMBER(O36),_xlfn._xlws.FILTER(PartsDB[Hrs_PanelAssy]*M36*O36,PartsDB[Catalog]=I36),"")</f>
        <v/>
      </c>
    </row>
    <row r="37" spans="1:19" ht="16.5" thickTop="1" thickBot="1" x14ac:dyDescent="0.3">
      <c r="A37" s="96" t="str">
        <f>IF(B37="","",MAX(A$4:A36)+1)</f>
        <v/>
      </c>
      <c r="B37" s="99" t="str">
        <f t="shared" si="0"/>
        <v/>
      </c>
      <c r="C37" s="35"/>
      <c r="D37" s="35"/>
      <c r="E37" s="35"/>
      <c r="F37" s="35"/>
      <c r="G37" s="36"/>
      <c r="O37" s="19" t="str">
        <f t="shared" si="3"/>
        <v/>
      </c>
      <c r="P37" s="3" t="str">
        <f t="shared" si="4"/>
        <v/>
      </c>
      <c r="Q37" s="93" t="str" cm="1">
        <f t="array" ref="Q37">IF(ISNUMBER(O37),_xlfn._xlws.FILTER(PartsDB[Hrs_ShopAssy]*N37*O37,PartsDB[Catalog]=I37),"")</f>
        <v/>
      </c>
      <c r="R37" s="92" t="str" cm="1">
        <f t="array" ref="R37">IF(ISNUMBER(O37),_xlfn._xlws.FILTER(PartsDB[Hrs_Eng]*O37,PartsDB[Catalog]=I37),"")</f>
        <v/>
      </c>
      <c r="S37" s="92" t="str" cm="1">
        <f t="array" ref="S37">IF(ISNUMBER(O37),_xlfn._xlws.FILTER(PartsDB[Hrs_PanelAssy]*M37*O37,PartsDB[Catalog]=I37),"")</f>
        <v/>
      </c>
    </row>
    <row r="38" spans="1:19" ht="16.5" thickTop="1" thickBot="1" x14ac:dyDescent="0.3">
      <c r="A38" s="96" t="str">
        <f>IF(B38="","",MAX(A$4:A37)+1)</f>
        <v/>
      </c>
      <c r="B38" s="99" t="str">
        <f t="shared" si="0"/>
        <v/>
      </c>
      <c r="C38" s="35"/>
      <c r="D38" s="35"/>
      <c r="E38" s="35"/>
      <c r="F38" s="35"/>
      <c r="G38" s="36"/>
      <c r="O38" s="19" t="str">
        <f t="shared" si="3"/>
        <v/>
      </c>
      <c r="P38" s="3" t="str">
        <f t="shared" si="4"/>
        <v/>
      </c>
      <c r="Q38" s="93" t="str" cm="1">
        <f t="array" ref="Q38">IF(ISNUMBER(O38),_xlfn._xlws.FILTER(PartsDB[Hrs_ShopAssy]*N38*O38,PartsDB[Catalog]=I38),"")</f>
        <v/>
      </c>
      <c r="R38" s="92" t="str" cm="1">
        <f t="array" ref="R38">IF(ISNUMBER(O38),_xlfn._xlws.FILTER(PartsDB[Hrs_Eng]*O38,PartsDB[Catalog]=I38),"")</f>
        <v/>
      </c>
      <c r="S38" s="92" t="str" cm="1">
        <f t="array" ref="S38">IF(ISNUMBER(O38),_xlfn._xlws.FILTER(PartsDB[Hrs_PanelAssy]*M38*O38,PartsDB[Catalog]=I38),"")</f>
        <v/>
      </c>
    </row>
    <row r="39" spans="1:19" ht="16.5" thickTop="1" thickBot="1" x14ac:dyDescent="0.3">
      <c r="A39" s="96" t="str">
        <f>IF(B39="","",MAX(A$4:A38)+1)</f>
        <v/>
      </c>
      <c r="B39" s="99" t="str">
        <f t="shared" si="0"/>
        <v/>
      </c>
      <c r="C39" s="35"/>
      <c r="D39" s="35"/>
      <c r="E39" s="35"/>
      <c r="F39" s="35"/>
      <c r="G39" s="36"/>
      <c r="O39" s="19" t="str">
        <f t="shared" si="3"/>
        <v/>
      </c>
      <c r="P39" s="3" t="str">
        <f t="shared" si="4"/>
        <v/>
      </c>
      <c r="Q39" s="93" t="str" cm="1">
        <f t="array" ref="Q39">IF(ISNUMBER(O39),_xlfn._xlws.FILTER(PartsDB[Hrs_ShopAssy]*N39*O39,PartsDB[Catalog]=I39),"")</f>
        <v/>
      </c>
      <c r="R39" s="92" t="str" cm="1">
        <f t="array" ref="R39">IF(ISNUMBER(O39),_xlfn._xlws.FILTER(PartsDB[Hrs_Eng]*O39,PartsDB[Catalog]=I39),"")</f>
        <v/>
      </c>
      <c r="S39" s="92" t="str" cm="1">
        <f t="array" ref="S39">IF(ISNUMBER(O39),_xlfn._xlws.FILTER(PartsDB[Hrs_PanelAssy]*M39*O39,PartsDB[Catalog]=I39),"")</f>
        <v/>
      </c>
    </row>
    <row r="40" spans="1:19" ht="16.5" thickTop="1" thickBot="1" x14ac:dyDescent="0.3">
      <c r="A40" s="96" t="str">
        <f>IF(B40="","",MAX(A$4:A39)+1)</f>
        <v/>
      </c>
      <c r="B40" s="99" t="str">
        <f t="shared" si="0"/>
        <v/>
      </c>
      <c r="C40" s="35"/>
      <c r="D40" s="35"/>
      <c r="E40" s="35"/>
      <c r="F40" s="35"/>
      <c r="G40" s="36"/>
      <c r="O40" s="19" t="str">
        <f t="shared" si="3"/>
        <v/>
      </c>
      <c r="P40" s="3" t="str">
        <f t="shared" si="4"/>
        <v/>
      </c>
      <c r="Q40" s="93" t="str" cm="1">
        <f t="array" ref="Q40">IF(ISNUMBER(O40),_xlfn._xlws.FILTER(PartsDB[Hrs_ShopAssy]*N40*O40,PartsDB[Catalog]=I40),"")</f>
        <v/>
      </c>
      <c r="R40" s="92" t="str" cm="1">
        <f t="array" ref="R40">IF(ISNUMBER(O40),_xlfn._xlws.FILTER(PartsDB[Hrs_Eng]*O40,PartsDB[Catalog]=I40),"")</f>
        <v/>
      </c>
      <c r="S40" s="92" t="str" cm="1">
        <f t="array" ref="S40">IF(ISNUMBER(O40),_xlfn._xlws.FILTER(PartsDB[Hrs_PanelAssy]*M40*O40,PartsDB[Catalog]=I40),"")</f>
        <v/>
      </c>
    </row>
    <row r="41" spans="1:19" ht="16.5" thickTop="1" thickBot="1" x14ac:dyDescent="0.3">
      <c r="A41" s="96" t="str">
        <f>IF(B41="","",MAX(A$4:A40)+1)</f>
        <v/>
      </c>
      <c r="B41" s="99" t="str">
        <f t="shared" si="0"/>
        <v/>
      </c>
      <c r="C41" s="35"/>
      <c r="D41" s="35"/>
      <c r="E41" s="35"/>
      <c r="F41" s="35"/>
      <c r="G41" s="36"/>
      <c r="O41" s="19" t="str">
        <f t="shared" si="3"/>
        <v/>
      </c>
      <c r="P41" s="3" t="str">
        <f t="shared" si="4"/>
        <v/>
      </c>
      <c r="Q41" s="93" t="str" cm="1">
        <f t="array" ref="Q41">IF(ISNUMBER(O41),_xlfn._xlws.FILTER(PartsDB[Hrs_ShopAssy]*N41*O41,PartsDB[Catalog]=I41),"")</f>
        <v/>
      </c>
      <c r="R41" s="92" t="str" cm="1">
        <f t="array" ref="R41">IF(ISNUMBER(O41),_xlfn._xlws.FILTER(PartsDB[Hrs_Eng]*O41,PartsDB[Catalog]=I41),"")</f>
        <v/>
      </c>
      <c r="S41" s="92" t="str" cm="1">
        <f t="array" ref="S41">IF(ISNUMBER(O41),_xlfn._xlws.FILTER(PartsDB[Hrs_PanelAssy]*M41*O41,PartsDB[Catalog]=I41),"")</f>
        <v/>
      </c>
    </row>
    <row r="42" spans="1:19" ht="16.5" thickTop="1" thickBot="1" x14ac:dyDescent="0.3">
      <c r="A42" s="96" t="str">
        <f>IF(B42="","",MAX(A$4:A41)+1)</f>
        <v/>
      </c>
      <c r="B42" s="99" t="str">
        <f t="shared" si="0"/>
        <v/>
      </c>
      <c r="C42" s="35"/>
      <c r="D42" s="35"/>
      <c r="E42" s="35"/>
      <c r="F42" s="35"/>
      <c r="G42" s="36"/>
      <c r="O42" s="19" t="str">
        <f t="shared" si="3"/>
        <v/>
      </c>
      <c r="P42" s="3" t="str">
        <f t="shared" si="4"/>
        <v/>
      </c>
      <c r="Q42" s="93" t="str" cm="1">
        <f t="array" ref="Q42">IF(ISNUMBER(O42),_xlfn._xlws.FILTER(PartsDB[Hrs_ShopAssy]*N42*O42,PartsDB[Catalog]=I42),"")</f>
        <v/>
      </c>
      <c r="R42" s="92" t="str" cm="1">
        <f t="array" ref="R42">IF(ISNUMBER(O42),_xlfn._xlws.FILTER(PartsDB[Hrs_Eng]*O42,PartsDB[Catalog]=I42),"")</f>
        <v/>
      </c>
      <c r="S42" s="92" t="str" cm="1">
        <f t="array" ref="S42">IF(ISNUMBER(O42),_xlfn._xlws.FILTER(PartsDB[Hrs_PanelAssy]*M42*O42,PartsDB[Catalog]=I42),"")</f>
        <v/>
      </c>
    </row>
    <row r="43" spans="1:19" ht="16.5" thickTop="1" thickBot="1" x14ac:dyDescent="0.3">
      <c r="A43" s="96" t="str">
        <f>IF(B43="","",MAX(A$4:A42)+1)</f>
        <v/>
      </c>
      <c r="B43" s="99" t="str">
        <f t="shared" si="0"/>
        <v/>
      </c>
      <c r="C43" s="35"/>
      <c r="D43" s="35"/>
      <c r="E43" s="35"/>
      <c r="F43" s="35"/>
      <c r="G43" s="36"/>
      <c r="O43" s="19" t="str">
        <f t="shared" si="3"/>
        <v/>
      </c>
      <c r="P43" s="3" t="str">
        <f t="shared" si="4"/>
        <v/>
      </c>
      <c r="Q43" s="93" t="str" cm="1">
        <f t="array" ref="Q43">IF(ISNUMBER(O43),_xlfn._xlws.FILTER(PartsDB[Hrs_ShopAssy]*N43*O43,PartsDB[Catalog]=I43),"")</f>
        <v/>
      </c>
      <c r="R43" s="92" t="str" cm="1">
        <f t="array" ref="R43">IF(ISNUMBER(O43),_xlfn._xlws.FILTER(PartsDB[Hrs_Eng]*O43,PartsDB[Catalog]=I43),"")</f>
        <v/>
      </c>
      <c r="S43" s="92" t="str" cm="1">
        <f t="array" ref="S43">IF(ISNUMBER(O43),_xlfn._xlws.FILTER(PartsDB[Hrs_PanelAssy]*M43*O43,PartsDB[Catalog]=I43),"")</f>
        <v/>
      </c>
    </row>
    <row r="44" spans="1:19" ht="16.5" thickTop="1" thickBot="1" x14ac:dyDescent="0.3">
      <c r="A44" s="96" t="str">
        <f>IF(B44="","",MAX(A$4:A43)+1)</f>
        <v/>
      </c>
      <c r="B44" s="99" t="str">
        <f t="shared" si="0"/>
        <v/>
      </c>
      <c r="C44" s="35"/>
      <c r="D44" s="35"/>
      <c r="E44" s="35"/>
      <c r="F44" s="35"/>
      <c r="G44" s="36"/>
      <c r="O44" s="19" t="str">
        <f t="shared" si="3"/>
        <v/>
      </c>
      <c r="P44" s="3" t="str">
        <f t="shared" si="4"/>
        <v/>
      </c>
      <c r="Q44" s="93" t="str" cm="1">
        <f t="array" ref="Q44">IF(ISNUMBER(O44),_xlfn._xlws.FILTER(PartsDB[Hrs_ShopAssy]*N44*O44,PartsDB[Catalog]=I44),"")</f>
        <v/>
      </c>
      <c r="R44" s="92" t="str" cm="1">
        <f t="array" ref="R44">IF(ISNUMBER(O44),_xlfn._xlws.FILTER(PartsDB[Hrs_Eng]*O44,PartsDB[Catalog]=I44),"")</f>
        <v/>
      </c>
      <c r="S44" s="92" t="str" cm="1">
        <f t="array" ref="S44">IF(ISNUMBER(O44),_xlfn._xlws.FILTER(PartsDB[Hrs_PanelAssy]*M44*O44,PartsDB[Catalog]=I44),"")</f>
        <v/>
      </c>
    </row>
    <row r="45" spans="1:19" ht="16.5" thickTop="1" thickBot="1" x14ac:dyDescent="0.3">
      <c r="A45" s="96" t="str">
        <f>IF(B45="","",MAX(A$4:A44)+1)</f>
        <v/>
      </c>
      <c r="B45" s="99" t="str">
        <f t="shared" si="0"/>
        <v/>
      </c>
      <c r="C45" s="35"/>
      <c r="D45" s="35"/>
      <c r="E45" s="35"/>
      <c r="F45" s="35"/>
      <c r="G45" s="36"/>
      <c r="O45" s="19" t="str">
        <f t="shared" si="3"/>
        <v/>
      </c>
      <c r="P45" s="3" t="str">
        <f t="shared" si="4"/>
        <v/>
      </c>
      <c r="Q45" s="93" t="str" cm="1">
        <f t="array" ref="Q45">IF(ISNUMBER(O45),_xlfn._xlws.FILTER(PartsDB[Hrs_ShopAssy]*N45*O45,PartsDB[Catalog]=I45),"")</f>
        <v/>
      </c>
      <c r="R45" s="92" t="str" cm="1">
        <f t="array" ref="R45">IF(ISNUMBER(O45),_xlfn._xlws.FILTER(PartsDB[Hrs_Eng]*O45,PartsDB[Catalog]=I45),"")</f>
        <v/>
      </c>
      <c r="S45" s="92" t="str" cm="1">
        <f t="array" ref="S45">IF(ISNUMBER(O45),_xlfn._xlws.FILTER(PartsDB[Hrs_PanelAssy]*M45*O45,PartsDB[Catalog]=I45),"")</f>
        <v/>
      </c>
    </row>
    <row r="46" spans="1:19" ht="16.5" thickTop="1" thickBot="1" x14ac:dyDescent="0.3">
      <c r="A46" s="96" t="str">
        <f>IF(B46="","",MAX(A$4:A45)+1)</f>
        <v/>
      </c>
      <c r="B46" s="99" t="str">
        <f t="shared" si="0"/>
        <v/>
      </c>
      <c r="C46" s="35"/>
      <c r="D46" s="35"/>
      <c r="E46" s="35"/>
      <c r="F46" s="35"/>
      <c r="G46" s="36"/>
      <c r="O46" s="19" t="str">
        <f t="shared" si="3"/>
        <v/>
      </c>
      <c r="P46" s="3" t="str">
        <f t="shared" si="4"/>
        <v/>
      </c>
      <c r="Q46" s="93" t="str" cm="1">
        <f t="array" ref="Q46">IF(ISNUMBER(O46),_xlfn._xlws.FILTER(PartsDB[Hrs_ShopAssy]*N46*O46,PartsDB[Catalog]=I46),"")</f>
        <v/>
      </c>
      <c r="R46" s="92" t="str" cm="1">
        <f t="array" ref="R46">IF(ISNUMBER(O46),_xlfn._xlws.FILTER(PartsDB[Hrs_Eng]*O46,PartsDB[Catalog]=I46),"")</f>
        <v/>
      </c>
      <c r="S46" s="92" t="str" cm="1">
        <f t="array" ref="S46">IF(ISNUMBER(O46),_xlfn._xlws.FILTER(PartsDB[Hrs_PanelAssy]*M46*O46,PartsDB[Catalog]=I46),"")</f>
        <v/>
      </c>
    </row>
    <row r="47" spans="1:19" ht="16.5" thickTop="1" thickBot="1" x14ac:dyDescent="0.3">
      <c r="A47" s="96" t="str">
        <f>IF(B47="","",MAX(A$4:A46)+1)</f>
        <v/>
      </c>
      <c r="B47" s="99" t="str">
        <f t="shared" si="0"/>
        <v/>
      </c>
      <c r="C47" s="35"/>
      <c r="D47" s="35"/>
      <c r="E47" s="35"/>
      <c r="F47" s="35"/>
      <c r="G47" s="36"/>
      <c r="O47" s="19" t="str">
        <f t="shared" si="3"/>
        <v/>
      </c>
      <c r="P47" s="3" t="str">
        <f t="shared" si="4"/>
        <v/>
      </c>
      <c r="Q47" s="93" t="str" cm="1">
        <f t="array" ref="Q47">IF(ISNUMBER(O47),_xlfn._xlws.FILTER(PartsDB[Hrs_ShopAssy]*N47*O47,PartsDB[Catalog]=I47),"")</f>
        <v/>
      </c>
      <c r="R47" s="92" t="str" cm="1">
        <f t="array" ref="R47">IF(ISNUMBER(O47),_xlfn._xlws.FILTER(PartsDB[Hrs_Eng]*O47,PartsDB[Catalog]=I47),"")</f>
        <v/>
      </c>
      <c r="S47" s="92" t="str" cm="1">
        <f t="array" ref="S47">IF(ISNUMBER(O47),_xlfn._xlws.FILTER(PartsDB[Hrs_PanelAssy]*M47*O47,PartsDB[Catalog]=I47),"")</f>
        <v/>
      </c>
    </row>
    <row r="48" spans="1:19" ht="18.75" thickTop="1" thickBot="1" x14ac:dyDescent="0.3">
      <c r="A48" s="96" t="str">
        <f>IF(B48="","",MAX(A$4:A47)+1)</f>
        <v/>
      </c>
      <c r="B48" s="99" t="str">
        <f t="shared" si="0"/>
        <v/>
      </c>
      <c r="C48" s="35"/>
      <c r="D48" s="35"/>
      <c r="E48" s="35"/>
      <c r="F48" s="35"/>
      <c r="G48" s="36"/>
      <c r="H48" s="146"/>
      <c r="O48" s="19" t="str">
        <f t="shared" si="3"/>
        <v/>
      </c>
      <c r="P48" s="3" t="str">
        <f t="shared" si="4"/>
        <v/>
      </c>
      <c r="Q48" s="93" t="str" cm="1">
        <f t="array" ref="Q48">IF(ISNUMBER(O48),_xlfn._xlws.FILTER(PartsDB[Hrs_ShopAssy]*N48*O48,PartsDB[Catalog]=I48),"")</f>
        <v/>
      </c>
      <c r="R48" s="92" t="str" cm="1">
        <f t="array" ref="R48">IF(ISNUMBER(O48),_xlfn._xlws.FILTER(PartsDB[Hrs_Eng]*O48,PartsDB[Catalog]=I48),"")</f>
        <v/>
      </c>
      <c r="S48" s="92" t="str" cm="1">
        <f t="array" ref="S48">IF(ISNUMBER(O48),_xlfn._xlws.FILTER(PartsDB[Hrs_PanelAssy]*M48*O48,PartsDB[Catalog]=I48),"")</f>
        <v/>
      </c>
    </row>
    <row r="49" spans="1:19" ht="16.5" thickTop="1" thickBot="1" x14ac:dyDescent="0.3">
      <c r="A49" s="96" t="str">
        <f>IF(B49="","",MAX(A$4:A48)+1)</f>
        <v/>
      </c>
      <c r="B49" s="99" t="str">
        <f t="shared" si="0"/>
        <v/>
      </c>
      <c r="C49" s="35"/>
      <c r="D49" s="35"/>
      <c r="E49" s="35"/>
      <c r="F49" s="35"/>
      <c r="G49" s="36"/>
      <c r="H49" s="147"/>
      <c r="I49" s="145"/>
      <c r="O49" s="19" t="str">
        <f t="shared" si="3"/>
        <v/>
      </c>
      <c r="P49" s="3" t="str">
        <f t="shared" si="4"/>
        <v/>
      </c>
      <c r="Q49" s="93" t="str" cm="1">
        <f t="array" ref="Q49">IF(ISNUMBER(O49),_xlfn._xlws.FILTER(PartsDB[Hrs_ShopAssy]*N49*O49,PartsDB[Catalog]=I49),"")</f>
        <v/>
      </c>
      <c r="R49" s="92" t="str" cm="1">
        <f t="array" ref="R49">IF(ISNUMBER(O49),_xlfn._xlws.FILTER(PartsDB[Hrs_Eng]*O49,PartsDB[Catalog]=I49),"")</f>
        <v/>
      </c>
      <c r="S49" s="92" t="str" cm="1">
        <f t="array" ref="S49">IF(ISNUMBER(O49),_xlfn._xlws.FILTER(PartsDB[Hrs_PanelAssy]*M49*O49,PartsDB[Catalog]=I49),"")</f>
        <v/>
      </c>
    </row>
    <row r="50" spans="1:19" ht="16.5" thickTop="1" thickBot="1" x14ac:dyDescent="0.3">
      <c r="A50" s="96" t="str">
        <f>IF(B50="","",MAX(A$4:A49)+1)</f>
        <v/>
      </c>
      <c r="B50" s="99" t="str">
        <f t="shared" si="0"/>
        <v/>
      </c>
      <c r="C50" s="35"/>
      <c r="D50" s="35"/>
      <c r="E50" s="35"/>
      <c r="F50" s="35"/>
      <c r="G50" s="36"/>
      <c r="O50" s="19" t="str">
        <f t="shared" si="3"/>
        <v/>
      </c>
      <c r="P50" s="3" t="str">
        <f t="shared" si="4"/>
        <v/>
      </c>
      <c r="Q50" s="93" t="str" cm="1">
        <f t="array" ref="Q50">IF(ISNUMBER(O50),_xlfn._xlws.FILTER(PartsDB[Hrs_ShopAssy]*N50*O50,PartsDB[Catalog]=I50),"")</f>
        <v/>
      </c>
      <c r="R50" s="92" t="str" cm="1">
        <f t="array" ref="R50">IF(ISNUMBER(O50),_xlfn._xlws.FILTER(PartsDB[Hrs_Eng]*O50,PartsDB[Catalog]=I50),"")</f>
        <v/>
      </c>
      <c r="S50" s="92" t="str" cm="1">
        <f t="array" ref="S50">IF(ISNUMBER(O50),_xlfn._xlws.FILTER(PartsDB[Hrs_PanelAssy]*M50*O50,PartsDB[Catalog]=I50),"")</f>
        <v/>
      </c>
    </row>
    <row r="51" spans="1:19" ht="16.5" thickTop="1" thickBot="1" x14ac:dyDescent="0.3">
      <c r="A51" s="96" t="str">
        <f>IF(B51="","",MAX(A$4:A50)+1)</f>
        <v/>
      </c>
      <c r="B51" s="99" t="str">
        <f t="shared" si="0"/>
        <v/>
      </c>
      <c r="C51" s="35"/>
      <c r="D51" s="35"/>
      <c r="E51" s="35"/>
      <c r="F51" s="35"/>
      <c r="G51" s="36"/>
      <c r="O51" s="19" t="str">
        <f t="shared" si="3"/>
        <v/>
      </c>
      <c r="P51" s="3" t="str">
        <f t="shared" si="4"/>
        <v/>
      </c>
      <c r="Q51" s="93" t="str" cm="1">
        <f t="array" ref="Q51">IF(ISNUMBER(O51),_xlfn._xlws.FILTER(PartsDB[Hrs_ShopAssy]*N51*O51,PartsDB[Catalog]=I51),"")</f>
        <v/>
      </c>
      <c r="R51" s="92" t="str" cm="1">
        <f t="array" ref="R51">IF(ISNUMBER(O51),_xlfn._xlws.FILTER(PartsDB[Hrs_Eng]*O51,PartsDB[Catalog]=I51),"")</f>
        <v/>
      </c>
      <c r="S51" s="92" t="str" cm="1">
        <f t="array" ref="S51">IF(ISNUMBER(O51),_xlfn._xlws.FILTER(PartsDB[Hrs_PanelAssy]*M51*O51,PartsDB[Catalog]=I51),"")</f>
        <v/>
      </c>
    </row>
    <row r="52" spans="1:19" ht="16.5" thickTop="1" thickBot="1" x14ac:dyDescent="0.3">
      <c r="A52" s="96" t="str">
        <f>IF(B52="","",MAX(A$4:A51)+1)</f>
        <v/>
      </c>
      <c r="B52" s="99" t="str">
        <f t="shared" si="0"/>
        <v/>
      </c>
      <c r="C52" s="35"/>
      <c r="D52" s="35"/>
      <c r="E52" s="35"/>
      <c r="F52" s="35"/>
      <c r="G52" s="36"/>
      <c r="O52" s="19" t="str">
        <f t="shared" si="3"/>
        <v/>
      </c>
      <c r="P52" s="3" t="str">
        <f t="shared" si="4"/>
        <v/>
      </c>
      <c r="Q52" s="93" t="str" cm="1">
        <f t="array" ref="Q52">IF(ISNUMBER(O52),_xlfn._xlws.FILTER(PartsDB[Hrs_ShopAssy]*N52*O52,PartsDB[Catalog]=I52),"")</f>
        <v/>
      </c>
      <c r="R52" s="92" t="str" cm="1">
        <f t="array" ref="R52">IF(ISNUMBER(O52),_xlfn._xlws.FILTER(PartsDB[Hrs_Eng]*O52,PartsDB[Catalog]=I52),"")</f>
        <v/>
      </c>
      <c r="S52" s="92" t="str" cm="1">
        <f t="array" ref="S52">IF(ISNUMBER(O52),_xlfn._xlws.FILTER(PartsDB[Hrs_PanelAssy]*M52*O52,PartsDB[Catalog]=I52),"")</f>
        <v/>
      </c>
    </row>
    <row r="53" spans="1:19" ht="16.5" thickTop="1" thickBot="1" x14ac:dyDescent="0.3">
      <c r="A53" s="96" t="str">
        <f>IF(B53="","",MAX(A$4:A52)+1)</f>
        <v/>
      </c>
      <c r="B53" s="99" t="str">
        <f t="shared" si="0"/>
        <v/>
      </c>
      <c r="C53" s="35"/>
      <c r="D53" s="35"/>
      <c r="E53" s="35"/>
      <c r="F53" s="35"/>
      <c r="G53" s="36"/>
      <c r="H53" s="147"/>
      <c r="I53" s="145"/>
      <c r="O53" s="19" t="str">
        <f t="shared" si="3"/>
        <v/>
      </c>
      <c r="P53" s="3" t="str">
        <f t="shared" si="4"/>
        <v/>
      </c>
      <c r="Q53" s="93" t="str" cm="1">
        <f t="array" ref="Q53">IF(ISNUMBER(O53),_xlfn._xlws.FILTER(PartsDB[Hrs_ShopAssy]*N53*O53,PartsDB[Catalog]=I53),"")</f>
        <v/>
      </c>
      <c r="R53" s="92" t="str" cm="1">
        <f t="array" ref="R53">IF(ISNUMBER(O53),_xlfn._xlws.FILTER(PartsDB[Hrs_Eng]*O53,PartsDB[Catalog]=I53),"")</f>
        <v/>
      </c>
      <c r="S53" s="92" t="str" cm="1">
        <f t="array" ref="S53">IF(ISNUMBER(O53),_xlfn._xlws.FILTER(PartsDB[Hrs_PanelAssy]*M53*O53,PartsDB[Catalog]=I53),"")</f>
        <v/>
      </c>
    </row>
    <row r="54" spans="1:19" ht="16.5" thickTop="1" thickBot="1" x14ac:dyDescent="0.3">
      <c r="A54" s="96" t="str">
        <f>IF(B54="","",MAX(A$4:A53)+1)</f>
        <v/>
      </c>
      <c r="B54" s="99" t="str">
        <f t="shared" si="0"/>
        <v/>
      </c>
      <c r="C54" s="35"/>
      <c r="D54" s="35"/>
      <c r="E54" s="35"/>
      <c r="F54" s="35"/>
      <c r="G54" s="36"/>
      <c r="H54" s="147"/>
      <c r="I54" s="145"/>
      <c r="O54" s="19" t="str">
        <f t="shared" si="3"/>
        <v/>
      </c>
      <c r="P54" s="3" t="str">
        <f t="shared" si="4"/>
        <v/>
      </c>
      <c r="Q54" s="93" t="str" cm="1">
        <f t="array" ref="Q54">IF(ISNUMBER(O54),_xlfn._xlws.FILTER(PartsDB[Hrs_ShopAssy]*N54*O54,PartsDB[Catalog]=I54),"")</f>
        <v/>
      </c>
      <c r="R54" s="92" t="str" cm="1">
        <f t="array" ref="R54">IF(ISNUMBER(O54),_xlfn._xlws.FILTER(PartsDB[Hrs_Eng]*O54,PartsDB[Catalog]=I54),"")</f>
        <v/>
      </c>
      <c r="S54" s="92" t="str" cm="1">
        <f t="array" ref="S54">IF(ISNUMBER(O54),_xlfn._xlws.FILTER(PartsDB[Hrs_PanelAssy]*M54*O54,PartsDB[Catalog]=I54),"")</f>
        <v/>
      </c>
    </row>
    <row r="55" spans="1:19" ht="16.5" thickTop="1" thickBot="1" x14ac:dyDescent="0.3">
      <c r="A55" s="96" t="str">
        <f>IF(B55="","",MAX(A$4:A54)+1)</f>
        <v/>
      </c>
      <c r="B55" s="99" t="str">
        <f t="shared" si="0"/>
        <v/>
      </c>
      <c r="C55" s="35"/>
      <c r="D55" s="35"/>
      <c r="E55" s="35"/>
      <c r="F55" s="35"/>
      <c r="G55" s="36"/>
      <c r="O55" s="19" t="str">
        <f t="shared" si="3"/>
        <v/>
      </c>
      <c r="P55" s="3" t="str">
        <f t="shared" si="4"/>
        <v/>
      </c>
      <c r="Q55" s="93" t="str" cm="1">
        <f t="array" ref="Q55">IF(ISNUMBER(O55),_xlfn._xlws.FILTER(PartsDB[Hrs_ShopAssy]*N55*O55,PartsDB[Catalog]=I55),"")</f>
        <v/>
      </c>
      <c r="R55" s="92" t="str" cm="1">
        <f t="array" ref="R55">IF(ISNUMBER(O55),_xlfn._xlws.FILTER(PartsDB[Hrs_Eng]*O55,PartsDB[Catalog]=I55),"")</f>
        <v/>
      </c>
      <c r="S55" s="92" t="str" cm="1">
        <f t="array" ref="S55">IF(ISNUMBER(O55),_xlfn._xlws.FILTER(PartsDB[Hrs_PanelAssy]*M55*O55,PartsDB[Catalog]=I55),"")</f>
        <v/>
      </c>
    </row>
    <row r="56" spans="1:19" ht="16.5" thickTop="1" thickBot="1" x14ac:dyDescent="0.3">
      <c r="A56" s="96" t="str">
        <f>IF(B56="","",MAX(A$4:A55)+1)</f>
        <v/>
      </c>
      <c r="B56" s="99" t="str">
        <f t="shared" si="0"/>
        <v/>
      </c>
      <c r="C56" s="35"/>
      <c r="D56" s="35"/>
      <c r="E56" s="35"/>
      <c r="F56" s="35"/>
      <c r="G56" s="36"/>
      <c r="O56" s="19" t="str">
        <f t="shared" si="3"/>
        <v/>
      </c>
      <c r="P56" s="3" t="str">
        <f t="shared" si="4"/>
        <v/>
      </c>
      <c r="Q56" s="93" t="str" cm="1">
        <f t="array" ref="Q56">IF(ISNUMBER(O56),_xlfn._xlws.FILTER(PartsDB[Hrs_ShopAssy]*N56*O56,PartsDB[Catalog]=I56),"")</f>
        <v/>
      </c>
      <c r="R56" s="92" t="str" cm="1">
        <f t="array" ref="R56">IF(ISNUMBER(O56),_xlfn._xlws.FILTER(PartsDB[Hrs_Eng]*O56,PartsDB[Catalog]=I56),"")</f>
        <v/>
      </c>
      <c r="S56" s="92" t="str" cm="1">
        <f t="array" ref="S56">IF(ISNUMBER(O56),_xlfn._xlws.FILTER(PartsDB[Hrs_PanelAssy]*M56*O56,PartsDB[Catalog]=I56),"")</f>
        <v/>
      </c>
    </row>
    <row r="57" spans="1:19" ht="16.5" thickTop="1" thickBot="1" x14ac:dyDescent="0.3">
      <c r="A57" s="96" t="str">
        <f>IF(B57="","",MAX(A$4:A56)+1)</f>
        <v/>
      </c>
      <c r="B57" s="99" t="str">
        <f t="shared" si="0"/>
        <v/>
      </c>
      <c r="C57" s="35"/>
      <c r="D57" s="35"/>
      <c r="E57" s="35"/>
      <c r="F57" s="35"/>
      <c r="G57" s="36"/>
      <c r="O57" s="19" t="str">
        <f t="shared" si="3"/>
        <v/>
      </c>
      <c r="P57" s="3" t="str">
        <f t="shared" si="4"/>
        <v/>
      </c>
      <c r="Q57" s="93" t="str" cm="1">
        <f t="array" ref="Q57">IF(ISNUMBER(O57),_xlfn._xlws.FILTER(PartsDB[Hrs_ShopAssy]*N57*O57,PartsDB[Catalog]=I57),"")</f>
        <v/>
      </c>
      <c r="R57" s="92" t="str" cm="1">
        <f t="array" ref="R57">IF(ISNUMBER(O57),_xlfn._xlws.FILTER(PartsDB[Hrs_Eng]*O57,PartsDB[Catalog]=I57),"")</f>
        <v/>
      </c>
      <c r="S57" s="92" t="str" cm="1">
        <f t="array" ref="S57">IF(ISNUMBER(O57),_xlfn._xlws.FILTER(PartsDB[Hrs_PanelAssy]*M57*O57,PartsDB[Catalog]=I57),"")</f>
        <v/>
      </c>
    </row>
    <row r="58" spans="1:19" ht="16.5" thickTop="1" thickBot="1" x14ac:dyDescent="0.3">
      <c r="A58" s="96" t="str">
        <f>IF(B58="","",MAX(A$4:A57)+1)</f>
        <v/>
      </c>
      <c r="B58" s="99" t="str">
        <f t="shared" si="0"/>
        <v/>
      </c>
      <c r="C58" s="35"/>
      <c r="D58" s="35"/>
      <c r="E58" s="35"/>
      <c r="F58" s="35"/>
      <c r="G58" s="36"/>
      <c r="H58" s="147"/>
      <c r="O58" s="19" t="str">
        <f t="shared" si="3"/>
        <v/>
      </c>
      <c r="P58" s="3" t="str">
        <f t="shared" si="4"/>
        <v/>
      </c>
      <c r="Q58" s="93" t="str" cm="1">
        <f t="array" ref="Q58">IF(ISNUMBER(O58),_xlfn._xlws.FILTER(PartsDB[Hrs_ShopAssy]*N58*O58,PartsDB[Catalog]=I58),"")</f>
        <v/>
      </c>
      <c r="R58" s="92" t="str" cm="1">
        <f t="array" ref="R58">IF(ISNUMBER(O58),_xlfn._xlws.FILTER(PartsDB[Hrs_Eng]*O58,PartsDB[Catalog]=I58),"")</f>
        <v/>
      </c>
      <c r="S58" s="92" t="str" cm="1">
        <f t="array" ref="S58">IF(ISNUMBER(O58),_xlfn._xlws.FILTER(PartsDB[Hrs_PanelAssy]*M58*O58,PartsDB[Catalog]=I58),"")</f>
        <v/>
      </c>
    </row>
    <row r="59" spans="1:19" ht="16.5" thickTop="1" thickBot="1" x14ac:dyDescent="0.3">
      <c r="A59" s="96" t="str">
        <f>IF(B59="","",MAX(A$4:A58)+1)</f>
        <v/>
      </c>
      <c r="B59" s="99" t="str">
        <f t="shared" si="0"/>
        <v/>
      </c>
      <c r="C59" s="35"/>
      <c r="D59" s="35"/>
      <c r="E59" s="35"/>
      <c r="F59" s="35"/>
      <c r="G59" s="36"/>
      <c r="O59" s="19" t="str">
        <f t="shared" si="3"/>
        <v/>
      </c>
      <c r="P59" s="3" t="str">
        <f t="shared" si="4"/>
        <v/>
      </c>
      <c r="Q59" s="93" t="str" cm="1">
        <f t="array" ref="Q59">IF(ISNUMBER(O59),_xlfn._xlws.FILTER(PartsDB[Hrs_ShopAssy]*N59*O59,PartsDB[Catalog]=I59),"")</f>
        <v/>
      </c>
      <c r="R59" s="92" t="str" cm="1">
        <f t="array" ref="R59">IF(ISNUMBER(O59),_xlfn._xlws.FILTER(PartsDB[Hrs_Eng]*O59,PartsDB[Catalog]=I59),"")</f>
        <v/>
      </c>
      <c r="S59" s="92" t="str" cm="1">
        <f t="array" ref="S59">IF(ISNUMBER(O59),_xlfn._xlws.FILTER(PartsDB[Hrs_PanelAssy]*M59*O59,PartsDB[Catalog]=I59),"")</f>
        <v/>
      </c>
    </row>
    <row r="60" spans="1:19" ht="16.5" thickTop="1" thickBot="1" x14ac:dyDescent="0.3">
      <c r="A60" s="96" t="str">
        <f>IF(B60="","",MAX(A$4:A59)+1)</f>
        <v/>
      </c>
      <c r="B60" s="99" t="str">
        <f t="shared" si="0"/>
        <v/>
      </c>
      <c r="C60" s="35"/>
      <c r="D60" s="35"/>
      <c r="E60" s="35"/>
      <c r="F60" s="35"/>
      <c r="G60" s="36"/>
      <c r="O60" s="19" t="str">
        <f t="shared" si="3"/>
        <v/>
      </c>
      <c r="P60" s="3" t="str">
        <f t="shared" si="4"/>
        <v/>
      </c>
      <c r="Q60" s="93" t="str" cm="1">
        <f t="array" ref="Q60">IF(ISNUMBER(O60),_xlfn._xlws.FILTER(PartsDB[Hrs_ShopAssy]*N60*O60,PartsDB[Catalog]=I60),"")</f>
        <v/>
      </c>
      <c r="R60" s="92" t="str" cm="1">
        <f t="array" ref="R60">IF(ISNUMBER(O60),_xlfn._xlws.FILTER(PartsDB[Hrs_Eng]*O60,PartsDB[Catalog]=I60),"")</f>
        <v/>
      </c>
      <c r="S60" s="92" t="str" cm="1">
        <f t="array" ref="S60">IF(ISNUMBER(O60),_xlfn._xlws.FILTER(PartsDB[Hrs_PanelAssy]*M60*O60,PartsDB[Catalog]=I60),"")</f>
        <v/>
      </c>
    </row>
    <row r="61" spans="1:19" ht="16.5" thickTop="1" thickBot="1" x14ac:dyDescent="0.3">
      <c r="A61" s="96" t="str">
        <f>IF(B61="","",MAX(A$4:A60)+1)</f>
        <v/>
      </c>
      <c r="B61" s="99" t="str">
        <f t="shared" si="0"/>
        <v/>
      </c>
      <c r="C61" s="35"/>
      <c r="D61" s="35"/>
      <c r="E61" s="35"/>
      <c r="F61" s="35"/>
      <c r="G61" s="36"/>
      <c r="O61" s="19" t="str">
        <f t="shared" si="3"/>
        <v/>
      </c>
      <c r="P61" s="3" t="str">
        <f t="shared" si="4"/>
        <v/>
      </c>
      <c r="Q61" s="93" t="str" cm="1">
        <f t="array" ref="Q61">IF(ISNUMBER(O61),_xlfn._xlws.FILTER(PartsDB[Hrs_ShopAssy]*N61*O61,PartsDB[Catalog]=I61),"")</f>
        <v/>
      </c>
      <c r="R61" s="92" t="str" cm="1">
        <f t="array" ref="R61">IF(ISNUMBER(O61),_xlfn._xlws.FILTER(PartsDB[Hrs_Eng]*O61,PartsDB[Catalog]=I61),"")</f>
        <v/>
      </c>
      <c r="S61" s="92" t="str" cm="1">
        <f t="array" ref="S61">IF(ISNUMBER(O61),_xlfn._xlws.FILTER(PartsDB[Hrs_PanelAssy]*M61*O61,PartsDB[Catalog]=I61),"")</f>
        <v/>
      </c>
    </row>
    <row r="62" spans="1:19" ht="16.5" thickTop="1" thickBot="1" x14ac:dyDescent="0.3">
      <c r="A62" s="96" t="str">
        <f>IF(B62="","",MAX(A$4:A61)+1)</f>
        <v/>
      </c>
      <c r="B62" s="99" t="str">
        <f t="shared" si="0"/>
        <v/>
      </c>
      <c r="C62" s="35"/>
      <c r="D62" s="35"/>
      <c r="E62" s="35"/>
      <c r="F62" s="35"/>
      <c r="G62" s="36"/>
      <c r="O62" s="19" t="str">
        <f t="shared" si="3"/>
        <v/>
      </c>
      <c r="P62" s="3" t="str">
        <f t="shared" si="4"/>
        <v/>
      </c>
      <c r="Q62" s="93" t="str" cm="1">
        <f t="array" ref="Q62">IF(ISNUMBER(O62),_xlfn._xlws.FILTER(PartsDB[Hrs_ShopAssy]*N62*O62,PartsDB[Catalog]=I62),"")</f>
        <v/>
      </c>
      <c r="R62" s="92" t="str" cm="1">
        <f t="array" ref="R62">IF(ISNUMBER(O62),_xlfn._xlws.FILTER(PartsDB[Hrs_Eng]*O62,PartsDB[Catalog]=I62),"")</f>
        <v/>
      </c>
      <c r="S62" s="92" t="str" cm="1">
        <f t="array" ref="S62">IF(ISNUMBER(O62),_xlfn._xlws.FILTER(PartsDB[Hrs_PanelAssy]*M62*O62,PartsDB[Catalog]=I62),"")</f>
        <v/>
      </c>
    </row>
    <row r="63" spans="1:19" ht="16.5" thickTop="1" thickBot="1" x14ac:dyDescent="0.3">
      <c r="A63" s="96" t="str">
        <f>IF(B63="","",MAX(A$4:A62)+1)</f>
        <v/>
      </c>
      <c r="B63" s="99" t="str">
        <f t="shared" si="0"/>
        <v/>
      </c>
      <c r="C63" s="35"/>
      <c r="D63" s="35"/>
      <c r="E63" s="35"/>
      <c r="F63" s="35"/>
      <c r="G63" s="36"/>
      <c r="O63" s="19" t="str">
        <f t="shared" si="3"/>
        <v/>
      </c>
      <c r="P63" s="3" t="str">
        <f t="shared" si="4"/>
        <v/>
      </c>
      <c r="Q63" s="93" t="str" cm="1">
        <f t="array" ref="Q63">IF(ISNUMBER(O63),_xlfn._xlws.FILTER(PartsDB[Hrs_ShopAssy]*N63*O63,PartsDB[Catalog]=I63),"")</f>
        <v/>
      </c>
      <c r="R63" s="92" t="str" cm="1">
        <f t="array" ref="R63">IF(ISNUMBER(O63),_xlfn._xlws.FILTER(PartsDB[Hrs_Eng]*O63,PartsDB[Catalog]=I63),"")</f>
        <v/>
      </c>
      <c r="S63" s="92" t="str" cm="1">
        <f t="array" ref="S63">IF(ISNUMBER(O63),_xlfn._xlws.FILTER(PartsDB[Hrs_PanelAssy]*M63*O63,PartsDB[Catalog]=I63),"")</f>
        <v/>
      </c>
    </row>
    <row r="64" spans="1:19" ht="16.5" thickTop="1" thickBot="1" x14ac:dyDescent="0.3">
      <c r="A64" s="96" t="str">
        <f>IF(B64="","",MAX(A$4:A63)+1)</f>
        <v/>
      </c>
      <c r="B64" s="99" t="str">
        <f t="shared" si="0"/>
        <v/>
      </c>
      <c r="C64" s="35"/>
      <c r="D64" s="35"/>
      <c r="E64" s="35"/>
      <c r="F64" s="35"/>
      <c r="G64" s="36"/>
      <c r="O64" s="19" t="str">
        <f t="shared" si="3"/>
        <v/>
      </c>
      <c r="P64" s="3" t="str">
        <f t="shared" si="4"/>
        <v/>
      </c>
      <c r="Q64" s="93" t="str" cm="1">
        <f t="array" ref="Q64">IF(ISNUMBER(O64),_xlfn._xlws.FILTER(PartsDB[Hrs_ShopAssy]*N64*O64,PartsDB[Catalog]=I64),"")</f>
        <v/>
      </c>
      <c r="R64" s="92" t="str" cm="1">
        <f t="array" ref="R64">IF(ISNUMBER(O64),_xlfn._xlws.FILTER(PartsDB[Hrs_Eng]*O64,PartsDB[Catalog]=I64),"")</f>
        <v/>
      </c>
      <c r="S64" s="92" t="str" cm="1">
        <f t="array" ref="S64">IF(ISNUMBER(O64),_xlfn._xlws.FILTER(PartsDB[Hrs_PanelAssy]*M64*O64,PartsDB[Catalog]=I64),"")</f>
        <v/>
      </c>
    </row>
    <row r="65" spans="1:19" ht="16.5" thickTop="1" thickBot="1" x14ac:dyDescent="0.3">
      <c r="A65" s="96" t="str">
        <f>IF(B65="","",MAX(A$4:A64)+1)</f>
        <v/>
      </c>
      <c r="B65" s="99" t="str">
        <f t="shared" si="0"/>
        <v/>
      </c>
      <c r="C65" s="35"/>
      <c r="D65" s="35"/>
      <c r="E65" s="35"/>
      <c r="F65" s="35"/>
      <c r="G65" s="36"/>
      <c r="O65" s="19" t="str">
        <f t="shared" si="3"/>
        <v/>
      </c>
      <c r="P65" s="3" t="str">
        <f t="shared" si="4"/>
        <v/>
      </c>
      <c r="Q65" s="93" t="str" cm="1">
        <f t="array" ref="Q65">IF(ISNUMBER(O65),_xlfn._xlws.FILTER(PartsDB[Hrs_ShopAssy]*N65*O65,PartsDB[Catalog]=I65),"")</f>
        <v/>
      </c>
      <c r="R65" s="92" t="str" cm="1">
        <f t="array" ref="R65">IF(ISNUMBER(O65),_xlfn._xlws.FILTER(PartsDB[Hrs_Eng]*O65,PartsDB[Catalog]=I65),"")</f>
        <v/>
      </c>
      <c r="S65" s="92" t="str" cm="1">
        <f t="array" ref="S65">IF(ISNUMBER(O65),_xlfn._xlws.FILTER(PartsDB[Hrs_PanelAssy]*M65*O65,PartsDB[Catalog]=I65),"")</f>
        <v/>
      </c>
    </row>
    <row r="66" spans="1:19" ht="16.5" thickTop="1" thickBot="1" x14ac:dyDescent="0.3">
      <c r="A66" s="96" t="str">
        <f>IF(B66="","",MAX(A$4:A65)+1)</f>
        <v/>
      </c>
      <c r="B66" s="99" t="str">
        <f t="shared" si="0"/>
        <v/>
      </c>
      <c r="C66" s="35"/>
      <c r="D66" s="35"/>
      <c r="E66" s="35"/>
      <c r="F66" s="35"/>
      <c r="G66" s="36"/>
      <c r="O66" s="19" t="str">
        <f t="shared" si="3"/>
        <v/>
      </c>
      <c r="P66" s="3" t="str">
        <f t="shared" si="4"/>
        <v/>
      </c>
      <c r="Q66" s="93" t="str" cm="1">
        <f t="array" ref="Q66">IF(ISNUMBER(O66),_xlfn._xlws.FILTER(PartsDB[Hrs_ShopAssy]*N66*O66,PartsDB[Catalog]=I66),"")</f>
        <v/>
      </c>
      <c r="R66" s="92" t="str" cm="1">
        <f t="array" ref="R66">IF(ISNUMBER(O66),_xlfn._xlws.FILTER(PartsDB[Hrs_Eng]*O66,PartsDB[Catalog]=I66),"")</f>
        <v/>
      </c>
      <c r="S66" s="92" t="str" cm="1">
        <f t="array" ref="S66">IF(ISNUMBER(O66),_xlfn._xlws.FILTER(PartsDB[Hrs_PanelAssy]*M66*O66,PartsDB[Catalog]=I66),"")</f>
        <v/>
      </c>
    </row>
    <row r="67" spans="1:19" ht="16.5" thickTop="1" thickBot="1" x14ac:dyDescent="0.3">
      <c r="A67" s="96" t="str">
        <f>IF(B67="","",MAX(A$4:A66)+1)</f>
        <v/>
      </c>
      <c r="B67" s="99" t="str">
        <f t="shared" si="0"/>
        <v/>
      </c>
      <c r="C67" s="35"/>
      <c r="D67" s="35"/>
      <c r="E67" s="35"/>
      <c r="F67" s="35"/>
      <c r="G67" s="36"/>
      <c r="O67" s="19" t="str">
        <f t="shared" si="3"/>
        <v/>
      </c>
      <c r="P67" s="3" t="str">
        <f t="shared" si="4"/>
        <v/>
      </c>
      <c r="Q67" s="93" t="str" cm="1">
        <f t="array" ref="Q67">IF(ISNUMBER(O67),_xlfn._xlws.FILTER(PartsDB[Hrs_ShopAssy]*N67*O67,PartsDB[Catalog]=I67),"")</f>
        <v/>
      </c>
      <c r="R67" s="92" t="str" cm="1">
        <f t="array" ref="R67">IF(ISNUMBER(O67),_xlfn._xlws.FILTER(PartsDB[Hrs_Eng]*O67,PartsDB[Catalog]=I67),"")</f>
        <v/>
      </c>
      <c r="S67" s="92" t="str" cm="1">
        <f t="array" ref="S67">IF(ISNUMBER(O67),_xlfn._xlws.FILTER(PartsDB[Hrs_PanelAssy]*M67*O67,PartsDB[Catalog]=I67),"")</f>
        <v/>
      </c>
    </row>
    <row r="68" spans="1:19" ht="16.5" thickTop="1" thickBot="1" x14ac:dyDescent="0.3">
      <c r="A68" s="96" t="str">
        <f>IF(B68="","",MAX(A$4:A67)+1)</f>
        <v/>
      </c>
      <c r="B68" s="99" t="str">
        <f t="shared" si="0"/>
        <v/>
      </c>
      <c r="C68" s="35"/>
      <c r="D68" s="35"/>
      <c r="E68" s="35"/>
      <c r="F68" s="35"/>
      <c r="G68" s="36"/>
      <c r="O68" s="19" t="str">
        <f t="shared" si="3"/>
        <v/>
      </c>
      <c r="P68" s="3" t="str">
        <f t="shared" si="4"/>
        <v/>
      </c>
      <c r="Q68" s="93" t="str" cm="1">
        <f t="array" ref="Q68">IF(ISNUMBER(O68),_xlfn._xlws.FILTER(PartsDB[Hrs_ShopAssy]*N68*O68,PartsDB[Catalog]=I68),"")</f>
        <v/>
      </c>
      <c r="R68" s="92" t="str" cm="1">
        <f t="array" ref="R68">IF(ISNUMBER(O68),_xlfn._xlws.FILTER(PartsDB[Hrs_Eng]*O68,PartsDB[Catalog]=I68),"")</f>
        <v/>
      </c>
      <c r="S68" s="92" t="str" cm="1">
        <f t="array" ref="S68">IF(ISNUMBER(O68),_xlfn._xlws.FILTER(PartsDB[Hrs_PanelAssy]*M68*O68,PartsDB[Catalog]=I68),"")</f>
        <v/>
      </c>
    </row>
    <row r="69" spans="1:19" ht="16.5" thickTop="1" thickBot="1" x14ac:dyDescent="0.3">
      <c r="A69" s="96" t="str">
        <f>IF(B69="","",MAX(A$4:A68)+1)</f>
        <v/>
      </c>
      <c r="B69" s="99" t="str">
        <f t="shared" ref="B69:B132" si="5">IF(OR(ISBLANK($B$2),ISBLANK(D69)),"",$B$2)</f>
        <v/>
      </c>
      <c r="C69" s="35"/>
      <c r="D69" s="35"/>
      <c r="E69" s="35"/>
      <c r="F69" s="35"/>
      <c r="G69" s="36"/>
      <c r="O69" s="19" t="str">
        <f t="shared" si="3"/>
        <v/>
      </c>
      <c r="P69" s="3" t="str">
        <f t="shared" si="4"/>
        <v/>
      </c>
      <c r="Q69" s="93" t="str" cm="1">
        <f t="array" ref="Q69">IF(ISNUMBER(O69),_xlfn._xlws.FILTER(PartsDB[Hrs_ShopAssy]*N69*O69,PartsDB[Catalog]=I69),"")</f>
        <v/>
      </c>
      <c r="R69" s="92" t="str" cm="1">
        <f t="array" ref="R69">IF(ISNUMBER(O69),_xlfn._xlws.FILTER(PartsDB[Hrs_Eng]*O69,PartsDB[Catalog]=I69),"")</f>
        <v/>
      </c>
      <c r="S69" s="92" t="str" cm="1">
        <f t="array" ref="S69">IF(ISNUMBER(O69),_xlfn._xlws.FILTER(PartsDB[Hrs_PanelAssy]*M69*O69,PartsDB[Catalog]=I69),"")</f>
        <v/>
      </c>
    </row>
    <row r="70" spans="1:19" ht="16.5" thickTop="1" thickBot="1" x14ac:dyDescent="0.3">
      <c r="A70" s="96" t="str">
        <f>IF(B70="","",MAX(A$4:A69)+1)</f>
        <v/>
      </c>
      <c r="B70" s="99" t="str">
        <f t="shared" si="5"/>
        <v/>
      </c>
      <c r="C70" s="35"/>
      <c r="D70" s="35"/>
      <c r="E70" s="35"/>
      <c r="F70" s="35"/>
      <c r="G70" s="36"/>
      <c r="O70" s="19" t="str">
        <f t="shared" si="3"/>
        <v/>
      </c>
      <c r="P70" s="3" t="str">
        <f t="shared" si="4"/>
        <v/>
      </c>
      <c r="Q70" s="93" t="str" cm="1">
        <f t="array" ref="Q70">IF(ISNUMBER(O70),_xlfn._xlws.FILTER(PartsDB[Hrs_ShopAssy]*N70*O70,PartsDB[Catalog]=I70),"")</f>
        <v/>
      </c>
      <c r="R70" s="92" t="str" cm="1">
        <f t="array" ref="R70">IF(ISNUMBER(O70),_xlfn._xlws.FILTER(PartsDB[Hrs_Eng]*O70,PartsDB[Catalog]=I70),"")</f>
        <v/>
      </c>
      <c r="S70" s="92" t="str" cm="1">
        <f t="array" ref="S70">IF(ISNUMBER(O70),_xlfn._xlws.FILTER(PartsDB[Hrs_PanelAssy]*M70*O70,PartsDB[Catalog]=I70),"")</f>
        <v/>
      </c>
    </row>
    <row r="71" spans="1:19" ht="16.5" thickTop="1" thickBot="1" x14ac:dyDescent="0.3">
      <c r="A71" s="96" t="str">
        <f>IF(B71="","",MAX(A$4:A70)+1)</f>
        <v/>
      </c>
      <c r="B71" s="99" t="str">
        <f t="shared" si="5"/>
        <v/>
      </c>
      <c r="C71" s="35"/>
      <c r="D71" s="35"/>
      <c r="E71" s="35"/>
      <c r="F71" s="35"/>
      <c r="G71" s="36"/>
      <c r="O71" s="19" t="str">
        <f t="shared" ref="O71:O99" si="6">IF(ISNUMBER(J71),J71,"")</f>
        <v/>
      </c>
      <c r="P71" s="3" t="str">
        <f t="shared" ref="P71:P99" si="7">IF(ISNUMBER(O71),O71*K71,"")</f>
        <v/>
      </c>
      <c r="Q71" s="93" t="str" cm="1">
        <f t="array" ref="Q71">IF(ISNUMBER(O71),_xlfn._xlws.FILTER(PartsDB[Hrs_ShopAssy]*N71*O71,PartsDB[Catalog]=I71),"")</f>
        <v/>
      </c>
      <c r="R71" s="92" t="str" cm="1">
        <f t="array" ref="R71">IF(ISNUMBER(O71),_xlfn._xlws.FILTER(PartsDB[Hrs_Eng]*O71,PartsDB[Catalog]=I71),"")</f>
        <v/>
      </c>
      <c r="S71" s="92" t="str" cm="1">
        <f t="array" ref="S71">IF(ISNUMBER(O71),_xlfn._xlws.FILTER(PartsDB[Hrs_PanelAssy]*M71*O71,PartsDB[Catalog]=I71),"")</f>
        <v/>
      </c>
    </row>
    <row r="72" spans="1:19" ht="16.5" thickTop="1" thickBot="1" x14ac:dyDescent="0.3">
      <c r="A72" s="96" t="str">
        <f>IF(B72="","",MAX(A$4:A71)+1)</f>
        <v/>
      </c>
      <c r="B72" s="99" t="str">
        <f t="shared" si="5"/>
        <v/>
      </c>
      <c r="C72" s="35"/>
      <c r="D72" s="35"/>
      <c r="E72" s="35"/>
      <c r="F72" s="35"/>
      <c r="G72" s="36"/>
      <c r="O72" s="19" t="str">
        <f t="shared" si="6"/>
        <v/>
      </c>
      <c r="P72" s="3" t="str">
        <f t="shared" si="7"/>
        <v/>
      </c>
      <c r="Q72" s="93" t="str" cm="1">
        <f t="array" ref="Q72">IF(ISNUMBER(O72),_xlfn._xlws.FILTER(PartsDB[Hrs_ShopAssy]*N72*O72,PartsDB[Catalog]=I72),"")</f>
        <v/>
      </c>
      <c r="R72" s="92" t="str" cm="1">
        <f t="array" ref="R72">IF(ISNUMBER(O72),_xlfn._xlws.FILTER(PartsDB[Hrs_Eng]*O72,PartsDB[Catalog]=I72),"")</f>
        <v/>
      </c>
      <c r="S72" s="92" t="str" cm="1">
        <f t="array" ref="S72">IF(ISNUMBER(O72),_xlfn._xlws.FILTER(PartsDB[Hrs_PanelAssy]*M72*O72,PartsDB[Catalog]=I72),"")</f>
        <v/>
      </c>
    </row>
    <row r="73" spans="1:19" ht="16.5" thickTop="1" thickBot="1" x14ac:dyDescent="0.3">
      <c r="A73" s="96" t="str">
        <f>IF(B73="","",MAX(A$4:A72)+1)</f>
        <v/>
      </c>
      <c r="B73" s="99" t="str">
        <f t="shared" si="5"/>
        <v/>
      </c>
      <c r="C73" s="35"/>
      <c r="D73" s="35"/>
      <c r="E73" s="35"/>
      <c r="F73" s="35"/>
      <c r="G73" s="36"/>
      <c r="O73" s="19" t="str">
        <f t="shared" si="6"/>
        <v/>
      </c>
      <c r="P73" s="3" t="str">
        <f t="shared" si="7"/>
        <v/>
      </c>
      <c r="Q73" s="93" t="str" cm="1">
        <f t="array" ref="Q73">IF(ISNUMBER(O73),_xlfn._xlws.FILTER(PartsDB[Hrs_ShopAssy]*N73*O73,PartsDB[Catalog]=I73),"")</f>
        <v/>
      </c>
      <c r="R73" s="92" t="str" cm="1">
        <f t="array" ref="R73">IF(ISNUMBER(O73),_xlfn._xlws.FILTER(PartsDB[Hrs_Eng]*O73,PartsDB[Catalog]=I73),"")</f>
        <v/>
      </c>
      <c r="S73" s="92" t="str" cm="1">
        <f t="array" ref="S73">IF(ISNUMBER(O73),_xlfn._xlws.FILTER(PartsDB[Hrs_PanelAssy]*M73*O73,PartsDB[Catalog]=I73),"")</f>
        <v/>
      </c>
    </row>
    <row r="74" spans="1:19" ht="16.5" thickTop="1" thickBot="1" x14ac:dyDescent="0.3">
      <c r="A74" s="96" t="str">
        <f>IF(B74="","",MAX(A$4:A73)+1)</f>
        <v/>
      </c>
      <c r="B74" s="99" t="str">
        <f t="shared" si="5"/>
        <v/>
      </c>
      <c r="C74" s="35"/>
      <c r="D74" s="35"/>
      <c r="E74" s="35"/>
      <c r="F74" s="35"/>
      <c r="G74" s="36"/>
      <c r="O74" s="19" t="str">
        <f t="shared" si="6"/>
        <v/>
      </c>
      <c r="P74" s="3" t="str">
        <f t="shared" si="7"/>
        <v/>
      </c>
      <c r="Q74" s="93" t="str" cm="1">
        <f t="array" ref="Q74">IF(ISNUMBER(O74),_xlfn._xlws.FILTER(PartsDB[Hrs_ShopAssy]*N74*O74,PartsDB[Catalog]=I74),"")</f>
        <v/>
      </c>
      <c r="R74" s="92" t="str" cm="1">
        <f t="array" ref="R74">IF(ISNUMBER(O74),_xlfn._xlws.FILTER(PartsDB[Hrs_Eng]*O74,PartsDB[Catalog]=I74),"")</f>
        <v/>
      </c>
      <c r="S74" s="92" t="str" cm="1">
        <f t="array" ref="S74">IF(ISNUMBER(O74),_xlfn._xlws.FILTER(PartsDB[Hrs_PanelAssy]*M74*O74,PartsDB[Catalog]=I74),"")</f>
        <v/>
      </c>
    </row>
    <row r="75" spans="1:19" ht="16.5" thickTop="1" thickBot="1" x14ac:dyDescent="0.3">
      <c r="A75" s="96" t="str">
        <f>IF(B75="","",MAX(A$4:A74)+1)</f>
        <v/>
      </c>
      <c r="B75" s="99" t="str">
        <f t="shared" si="5"/>
        <v/>
      </c>
      <c r="C75" s="35"/>
      <c r="D75" s="35"/>
      <c r="E75" s="35"/>
      <c r="F75" s="35"/>
      <c r="G75" s="36"/>
      <c r="O75" s="19" t="str">
        <f t="shared" si="6"/>
        <v/>
      </c>
      <c r="P75" s="3" t="str">
        <f t="shared" si="7"/>
        <v/>
      </c>
      <c r="Q75" s="93" t="str" cm="1">
        <f t="array" ref="Q75">IF(ISNUMBER(O75),_xlfn._xlws.FILTER(PartsDB[Hrs_ShopAssy]*N75*O75,PartsDB[Catalog]=I75),"")</f>
        <v/>
      </c>
      <c r="R75" s="92" t="str" cm="1">
        <f t="array" ref="R75">IF(ISNUMBER(O75),_xlfn._xlws.FILTER(PartsDB[Hrs_Eng]*O75,PartsDB[Catalog]=I75),"")</f>
        <v/>
      </c>
      <c r="S75" s="92" t="str" cm="1">
        <f t="array" ref="S75">IF(ISNUMBER(O75),_xlfn._xlws.FILTER(PartsDB[Hrs_PanelAssy]*M75*O75,PartsDB[Catalog]=I75),"")</f>
        <v/>
      </c>
    </row>
    <row r="76" spans="1:19" ht="16.5" thickTop="1" thickBot="1" x14ac:dyDescent="0.3">
      <c r="A76" s="96" t="str">
        <f>IF(B76="","",MAX(A$4:A75)+1)</f>
        <v/>
      </c>
      <c r="B76" s="99" t="str">
        <f t="shared" si="5"/>
        <v/>
      </c>
      <c r="C76" s="35"/>
      <c r="D76" s="35"/>
      <c r="E76" s="35"/>
      <c r="F76" s="35"/>
      <c r="G76" s="36"/>
      <c r="O76" s="19" t="str">
        <f t="shared" si="6"/>
        <v/>
      </c>
      <c r="P76" s="3" t="str">
        <f t="shared" si="7"/>
        <v/>
      </c>
      <c r="Q76" s="93" t="str" cm="1">
        <f t="array" ref="Q76">IF(ISNUMBER(O76),_xlfn._xlws.FILTER(PartsDB[Hrs_ShopAssy]*N76*O76,PartsDB[Catalog]=I76),"")</f>
        <v/>
      </c>
      <c r="R76" s="92" t="str" cm="1">
        <f t="array" ref="R76">IF(ISNUMBER(O76),_xlfn._xlws.FILTER(PartsDB[Hrs_Eng]*O76,PartsDB[Catalog]=I76),"")</f>
        <v/>
      </c>
      <c r="S76" s="92" t="str" cm="1">
        <f t="array" ref="S76">IF(ISNUMBER(O76),_xlfn._xlws.FILTER(PartsDB[Hrs_PanelAssy]*M76*O76,PartsDB[Catalog]=I76),"")</f>
        <v/>
      </c>
    </row>
    <row r="77" spans="1:19" ht="16.5" thickTop="1" thickBot="1" x14ac:dyDescent="0.3">
      <c r="A77" s="96" t="str">
        <f>IF(B77="","",MAX(A$4:A76)+1)</f>
        <v/>
      </c>
      <c r="B77" s="99" t="str">
        <f t="shared" si="5"/>
        <v/>
      </c>
      <c r="C77" s="35"/>
      <c r="D77" s="35"/>
      <c r="E77" s="35"/>
      <c r="F77" s="35"/>
      <c r="G77" s="36"/>
      <c r="O77" s="19" t="str">
        <f t="shared" si="6"/>
        <v/>
      </c>
      <c r="P77" s="3" t="str">
        <f t="shared" si="7"/>
        <v/>
      </c>
      <c r="Q77" s="93" t="str" cm="1">
        <f t="array" ref="Q77">IF(ISNUMBER(O77),_xlfn._xlws.FILTER(PartsDB[Hrs_ShopAssy]*N77*O77,PartsDB[Catalog]=I77),"")</f>
        <v/>
      </c>
      <c r="R77" s="92" t="str" cm="1">
        <f t="array" ref="R77">IF(ISNUMBER(O77),_xlfn._xlws.FILTER(PartsDB[Hrs_Eng]*O77,PartsDB[Catalog]=I77),"")</f>
        <v/>
      </c>
      <c r="S77" s="92" t="str" cm="1">
        <f t="array" ref="S77">IF(ISNUMBER(O77),_xlfn._xlws.FILTER(PartsDB[Hrs_PanelAssy]*M77*O77,PartsDB[Catalog]=I77),"")</f>
        <v/>
      </c>
    </row>
    <row r="78" spans="1:19" ht="16.5" thickTop="1" thickBot="1" x14ac:dyDescent="0.3">
      <c r="A78" s="96" t="str">
        <f>IF(B78="","",MAX(A$4:A77)+1)</f>
        <v/>
      </c>
      <c r="B78" s="99" t="str">
        <f t="shared" si="5"/>
        <v/>
      </c>
      <c r="C78" s="35"/>
      <c r="D78" s="35"/>
      <c r="E78" s="35"/>
      <c r="F78" s="35"/>
      <c r="G78" s="36"/>
      <c r="O78" s="19" t="str">
        <f t="shared" si="6"/>
        <v/>
      </c>
      <c r="P78" s="3" t="str">
        <f t="shared" si="7"/>
        <v/>
      </c>
      <c r="Q78" s="93" t="str" cm="1">
        <f t="array" ref="Q78">IF(ISNUMBER(O78),_xlfn._xlws.FILTER(PartsDB[Hrs_ShopAssy]*N78*O78,PartsDB[Catalog]=I78),"")</f>
        <v/>
      </c>
      <c r="R78" s="92" t="str" cm="1">
        <f t="array" ref="R78">IF(ISNUMBER(O78),_xlfn._xlws.FILTER(PartsDB[Hrs_Eng]*O78,PartsDB[Catalog]=I78),"")</f>
        <v/>
      </c>
      <c r="S78" s="92" t="str" cm="1">
        <f t="array" ref="S78">IF(ISNUMBER(O78),_xlfn._xlws.FILTER(PartsDB[Hrs_PanelAssy]*M78*O78,PartsDB[Catalog]=I78),"")</f>
        <v/>
      </c>
    </row>
    <row r="79" spans="1:19" ht="16.5" thickTop="1" thickBot="1" x14ac:dyDescent="0.3">
      <c r="A79" s="96" t="str">
        <f>IF(B79="","",MAX(A$4:A78)+1)</f>
        <v/>
      </c>
      <c r="B79" s="99" t="str">
        <f t="shared" si="5"/>
        <v/>
      </c>
      <c r="C79" s="35"/>
      <c r="D79" s="35"/>
      <c r="E79" s="35"/>
      <c r="F79" s="35"/>
      <c r="G79" s="36"/>
      <c r="O79" s="19" t="str">
        <f t="shared" si="6"/>
        <v/>
      </c>
      <c r="P79" s="3" t="str">
        <f t="shared" si="7"/>
        <v/>
      </c>
      <c r="Q79" s="93" t="str" cm="1">
        <f t="array" ref="Q79">IF(ISNUMBER(O79),_xlfn._xlws.FILTER(PartsDB[Hrs_ShopAssy]*N79*O79,PartsDB[Catalog]=I79),"")</f>
        <v/>
      </c>
      <c r="R79" s="92" t="str" cm="1">
        <f t="array" ref="R79">IF(ISNUMBER(O79),_xlfn._xlws.FILTER(PartsDB[Hrs_Eng]*O79,PartsDB[Catalog]=I79),"")</f>
        <v/>
      </c>
      <c r="S79" s="92" t="str" cm="1">
        <f t="array" ref="S79">IF(ISNUMBER(O79),_xlfn._xlws.FILTER(PartsDB[Hrs_PanelAssy]*M79*O79,PartsDB[Catalog]=I79),"")</f>
        <v/>
      </c>
    </row>
    <row r="80" spans="1:19" ht="16.5" thickTop="1" thickBot="1" x14ac:dyDescent="0.3">
      <c r="A80" s="96" t="str">
        <f>IF(B80="","",MAX(A$4:A79)+1)</f>
        <v/>
      </c>
      <c r="B80" s="99" t="str">
        <f t="shared" si="5"/>
        <v/>
      </c>
      <c r="C80" s="35"/>
      <c r="D80" s="35"/>
      <c r="E80" s="35"/>
      <c r="F80" s="35"/>
      <c r="G80" s="36"/>
      <c r="O80" s="19" t="str">
        <f t="shared" si="6"/>
        <v/>
      </c>
      <c r="P80" s="3" t="str">
        <f t="shared" si="7"/>
        <v/>
      </c>
      <c r="Q80" s="93" t="str" cm="1">
        <f t="array" ref="Q80">IF(ISNUMBER(O80),_xlfn._xlws.FILTER(PartsDB[Hrs_ShopAssy]*N80*O80,PartsDB[Catalog]=I80),"")</f>
        <v/>
      </c>
      <c r="R80" s="92" t="str" cm="1">
        <f t="array" ref="R80">IF(ISNUMBER(O80),_xlfn._xlws.FILTER(PartsDB[Hrs_Eng]*O80,PartsDB[Catalog]=I80),"")</f>
        <v/>
      </c>
      <c r="S80" s="92" t="str" cm="1">
        <f t="array" ref="S80">IF(ISNUMBER(O80),_xlfn._xlws.FILTER(PartsDB[Hrs_PanelAssy]*M80*O80,PartsDB[Catalog]=I80),"")</f>
        <v/>
      </c>
    </row>
    <row r="81" spans="1:19" ht="16.5" thickTop="1" thickBot="1" x14ac:dyDescent="0.3">
      <c r="A81" s="96" t="str">
        <f>IF(B81="","",MAX(A$4:A80)+1)</f>
        <v/>
      </c>
      <c r="B81" s="99" t="str">
        <f t="shared" si="5"/>
        <v/>
      </c>
      <c r="C81" s="35"/>
      <c r="D81" s="35"/>
      <c r="E81" s="35"/>
      <c r="F81" s="35"/>
      <c r="G81" s="36"/>
      <c r="O81" s="19" t="str">
        <f t="shared" si="6"/>
        <v/>
      </c>
      <c r="P81" s="3" t="str">
        <f t="shared" si="7"/>
        <v/>
      </c>
      <c r="Q81" s="93" t="str" cm="1">
        <f t="array" ref="Q81">IF(ISNUMBER(O81),_xlfn._xlws.FILTER(PartsDB[Hrs_ShopAssy]*N81*O81,PartsDB[Catalog]=I81),"")</f>
        <v/>
      </c>
      <c r="R81" s="92" t="str" cm="1">
        <f t="array" ref="R81">IF(ISNUMBER(O81),_xlfn._xlws.FILTER(PartsDB[Hrs_Eng]*O81,PartsDB[Catalog]=I81),"")</f>
        <v/>
      </c>
      <c r="S81" s="92" t="str" cm="1">
        <f t="array" ref="S81">IF(ISNUMBER(O81),_xlfn._xlws.FILTER(PartsDB[Hrs_PanelAssy]*M81*O81,PartsDB[Catalog]=I81),"")</f>
        <v/>
      </c>
    </row>
    <row r="82" spans="1:19" ht="16.5" thickTop="1" thickBot="1" x14ac:dyDescent="0.3">
      <c r="A82" s="96" t="str">
        <f>IF(B82="","",MAX(A$4:A81)+1)</f>
        <v/>
      </c>
      <c r="B82" s="99" t="str">
        <f t="shared" si="5"/>
        <v/>
      </c>
      <c r="C82" s="35"/>
      <c r="D82" s="35"/>
      <c r="E82" s="35"/>
      <c r="F82" s="35"/>
      <c r="G82" s="36"/>
      <c r="O82" s="19" t="str">
        <f t="shared" si="6"/>
        <v/>
      </c>
      <c r="P82" s="3" t="str">
        <f t="shared" si="7"/>
        <v/>
      </c>
      <c r="Q82" s="93" t="str" cm="1">
        <f t="array" ref="Q82">IF(ISNUMBER(O82),_xlfn._xlws.FILTER(PartsDB[Hrs_ShopAssy]*N82*O82,PartsDB[Catalog]=I82),"")</f>
        <v/>
      </c>
      <c r="R82" s="92" t="str" cm="1">
        <f t="array" ref="R82">IF(ISNUMBER(O82),_xlfn._xlws.FILTER(PartsDB[Hrs_Eng]*O82,PartsDB[Catalog]=I82),"")</f>
        <v/>
      </c>
      <c r="S82" s="92" t="str" cm="1">
        <f t="array" ref="S82">IF(ISNUMBER(O82),_xlfn._xlws.FILTER(PartsDB[Hrs_PanelAssy]*M82*O82,PartsDB[Catalog]=I82),"")</f>
        <v/>
      </c>
    </row>
    <row r="83" spans="1:19" ht="16.5" thickTop="1" thickBot="1" x14ac:dyDescent="0.3">
      <c r="A83" s="96" t="str">
        <f>IF(B83="","",MAX(A$4:A82)+1)</f>
        <v/>
      </c>
      <c r="B83" s="99" t="str">
        <f t="shared" si="5"/>
        <v/>
      </c>
      <c r="C83" s="35"/>
      <c r="D83" s="35"/>
      <c r="E83" s="35"/>
      <c r="F83" s="35"/>
      <c r="G83" s="36"/>
      <c r="O83" s="19" t="str">
        <f t="shared" si="6"/>
        <v/>
      </c>
      <c r="P83" s="3" t="str">
        <f t="shared" si="7"/>
        <v/>
      </c>
      <c r="Q83" s="93" t="str" cm="1">
        <f t="array" ref="Q83">IF(ISNUMBER(O83),_xlfn._xlws.FILTER(PartsDB[Hrs_ShopAssy]*N83*O83,PartsDB[Catalog]=I83),"")</f>
        <v/>
      </c>
      <c r="R83" s="92" t="str" cm="1">
        <f t="array" ref="R83">IF(ISNUMBER(O83),_xlfn._xlws.FILTER(PartsDB[Hrs_Eng]*O83,PartsDB[Catalog]=I83),"")</f>
        <v/>
      </c>
      <c r="S83" s="92" t="str" cm="1">
        <f t="array" ref="S83">IF(ISNUMBER(O83),_xlfn._xlws.FILTER(PartsDB[Hrs_PanelAssy]*M83*O83,PartsDB[Catalog]=I83),"")</f>
        <v/>
      </c>
    </row>
    <row r="84" spans="1:19" ht="16.5" thickTop="1" thickBot="1" x14ac:dyDescent="0.3">
      <c r="A84" s="96" t="str">
        <f>IF(B84="","",MAX(A$4:A83)+1)</f>
        <v/>
      </c>
      <c r="B84" s="99" t="str">
        <f t="shared" si="5"/>
        <v/>
      </c>
      <c r="C84" s="35"/>
      <c r="D84" s="35"/>
      <c r="E84" s="35"/>
      <c r="F84" s="35"/>
      <c r="G84" s="36"/>
      <c r="O84" s="19" t="str">
        <f t="shared" si="6"/>
        <v/>
      </c>
      <c r="P84" s="3" t="str">
        <f t="shared" si="7"/>
        <v/>
      </c>
      <c r="Q84" s="93" t="str" cm="1">
        <f t="array" ref="Q84">IF(ISNUMBER(O84),_xlfn._xlws.FILTER(PartsDB[Hrs_ShopAssy]*N84*O84,PartsDB[Catalog]=I84),"")</f>
        <v/>
      </c>
      <c r="R84" s="92" t="str" cm="1">
        <f t="array" ref="R84">IF(ISNUMBER(O84),_xlfn._xlws.FILTER(PartsDB[Hrs_Eng]*O84,PartsDB[Catalog]=I84),"")</f>
        <v/>
      </c>
      <c r="S84" s="92" t="str" cm="1">
        <f t="array" ref="S84">IF(ISNUMBER(O84),_xlfn._xlws.FILTER(PartsDB[Hrs_PanelAssy]*M84*O84,PartsDB[Catalog]=I84),"")</f>
        <v/>
      </c>
    </row>
    <row r="85" spans="1:19" ht="16.5" thickTop="1" thickBot="1" x14ac:dyDescent="0.3">
      <c r="A85" s="96" t="str">
        <f>IF(B85="","",MAX(A$4:A84)+1)</f>
        <v/>
      </c>
      <c r="B85" s="99" t="str">
        <f t="shared" si="5"/>
        <v/>
      </c>
      <c r="C85" s="35"/>
      <c r="D85" s="35"/>
      <c r="E85" s="35"/>
      <c r="F85" s="35"/>
      <c r="G85" s="36"/>
      <c r="O85" s="19" t="str">
        <f t="shared" si="6"/>
        <v/>
      </c>
      <c r="P85" s="3" t="str">
        <f t="shared" si="7"/>
        <v/>
      </c>
      <c r="Q85" s="93" t="str" cm="1">
        <f t="array" ref="Q85">IF(ISNUMBER(O85),_xlfn._xlws.FILTER(PartsDB[Hrs_ShopAssy]*N85*O85,PartsDB[Catalog]=I85),"")</f>
        <v/>
      </c>
      <c r="R85" s="92" t="str" cm="1">
        <f t="array" ref="R85">IF(ISNUMBER(O85),_xlfn._xlws.FILTER(PartsDB[Hrs_Eng]*O85,PartsDB[Catalog]=I85),"")</f>
        <v/>
      </c>
      <c r="S85" s="92" t="str" cm="1">
        <f t="array" ref="S85">IF(ISNUMBER(O85),_xlfn._xlws.FILTER(PartsDB[Hrs_PanelAssy]*M85*O85,PartsDB[Catalog]=I85),"")</f>
        <v/>
      </c>
    </row>
    <row r="86" spans="1:19" ht="16.5" thickTop="1" thickBot="1" x14ac:dyDescent="0.3">
      <c r="A86" s="96" t="str">
        <f>IF(B86="","",MAX(A$4:A85)+1)</f>
        <v/>
      </c>
      <c r="B86" s="99" t="str">
        <f t="shared" si="5"/>
        <v/>
      </c>
      <c r="C86" s="35"/>
      <c r="D86" s="35"/>
      <c r="E86" s="35"/>
      <c r="F86" s="35"/>
      <c r="G86" s="36"/>
      <c r="O86" s="19" t="str">
        <f t="shared" si="6"/>
        <v/>
      </c>
      <c r="P86" s="3" t="str">
        <f t="shared" si="7"/>
        <v/>
      </c>
      <c r="Q86" s="93" t="str" cm="1">
        <f t="array" ref="Q86">IF(ISNUMBER(O86),_xlfn._xlws.FILTER(PartsDB[Hrs_ShopAssy]*N86*O86,PartsDB[Catalog]=I86),"")</f>
        <v/>
      </c>
      <c r="R86" s="92" t="str" cm="1">
        <f t="array" ref="R86">IF(ISNUMBER(O86),_xlfn._xlws.FILTER(PartsDB[Hrs_Eng]*O86,PartsDB[Catalog]=I86),"")</f>
        <v/>
      </c>
      <c r="S86" s="92" t="str" cm="1">
        <f t="array" ref="S86">IF(ISNUMBER(O86),_xlfn._xlws.FILTER(PartsDB[Hrs_PanelAssy]*M86*O86,PartsDB[Catalog]=I86),"")</f>
        <v/>
      </c>
    </row>
    <row r="87" spans="1:19" ht="16.5" thickTop="1" thickBot="1" x14ac:dyDescent="0.3">
      <c r="A87" s="96" t="str">
        <f>IF(B87="","",MAX(A$4:A86)+1)</f>
        <v/>
      </c>
      <c r="B87" s="99" t="str">
        <f t="shared" si="5"/>
        <v/>
      </c>
      <c r="C87" s="35"/>
      <c r="D87" s="35"/>
      <c r="E87" s="35"/>
      <c r="F87" s="35"/>
      <c r="G87" s="36"/>
      <c r="O87" s="19" t="str">
        <f t="shared" si="6"/>
        <v/>
      </c>
      <c r="P87" s="3" t="str">
        <f t="shared" si="7"/>
        <v/>
      </c>
      <c r="Q87" s="93" t="str" cm="1">
        <f t="array" ref="Q87">IF(ISNUMBER(O87),_xlfn._xlws.FILTER(PartsDB[Hrs_ShopAssy]*N87*O87,PartsDB[Catalog]=I87),"")</f>
        <v/>
      </c>
      <c r="R87" s="92" t="str" cm="1">
        <f t="array" ref="R87">IF(ISNUMBER(O87),_xlfn._xlws.FILTER(PartsDB[Hrs_Eng]*O87,PartsDB[Catalog]=I87),"")</f>
        <v/>
      </c>
      <c r="S87" s="92" t="str" cm="1">
        <f t="array" ref="S87">IF(ISNUMBER(O87),_xlfn._xlws.FILTER(PartsDB[Hrs_PanelAssy]*M87*O87,PartsDB[Catalog]=I87),"")</f>
        <v/>
      </c>
    </row>
    <row r="88" spans="1:19" ht="16.5" thickTop="1" thickBot="1" x14ac:dyDescent="0.3">
      <c r="A88" s="96" t="str">
        <f>IF(B88="","",MAX(A$4:A87)+1)</f>
        <v/>
      </c>
      <c r="B88" s="99" t="str">
        <f t="shared" si="5"/>
        <v/>
      </c>
      <c r="C88" s="35"/>
      <c r="D88" s="35"/>
      <c r="E88" s="35"/>
      <c r="F88" s="35"/>
      <c r="G88" s="36"/>
      <c r="O88" s="19" t="str">
        <f t="shared" si="6"/>
        <v/>
      </c>
      <c r="P88" s="3" t="str">
        <f t="shared" si="7"/>
        <v/>
      </c>
      <c r="Q88" s="93" t="str" cm="1">
        <f t="array" ref="Q88">IF(ISNUMBER(O88),_xlfn._xlws.FILTER(PartsDB[Hrs_ShopAssy]*N88*O88,PartsDB[Catalog]=I88),"")</f>
        <v/>
      </c>
      <c r="R88" s="92" t="str" cm="1">
        <f t="array" ref="R88">IF(ISNUMBER(O88),_xlfn._xlws.FILTER(PartsDB[Hrs_Eng]*O88,PartsDB[Catalog]=I88),"")</f>
        <v/>
      </c>
      <c r="S88" s="92" t="str" cm="1">
        <f t="array" ref="S88">IF(ISNUMBER(O88),_xlfn._xlws.FILTER(PartsDB[Hrs_PanelAssy]*M88*O88,PartsDB[Catalog]=I88),"")</f>
        <v/>
      </c>
    </row>
    <row r="89" spans="1:19" ht="16.5" thickTop="1" thickBot="1" x14ac:dyDescent="0.3">
      <c r="A89" s="96" t="str">
        <f>IF(B89="","",MAX(A$4:A88)+1)</f>
        <v/>
      </c>
      <c r="B89" s="99" t="str">
        <f t="shared" si="5"/>
        <v/>
      </c>
      <c r="C89" s="35"/>
      <c r="D89" s="35"/>
      <c r="E89" s="35"/>
      <c r="F89" s="35"/>
      <c r="G89" s="36"/>
      <c r="O89" s="19" t="str">
        <f t="shared" si="6"/>
        <v/>
      </c>
      <c r="P89" s="3" t="str">
        <f t="shared" si="7"/>
        <v/>
      </c>
      <c r="Q89" s="93" t="str" cm="1">
        <f t="array" ref="Q89">IF(ISNUMBER(O89),_xlfn._xlws.FILTER(PartsDB[Hrs_ShopAssy]*N89*O89,PartsDB[Catalog]=I89),"")</f>
        <v/>
      </c>
      <c r="R89" s="92" t="str" cm="1">
        <f t="array" ref="R89">IF(ISNUMBER(O89),_xlfn._xlws.FILTER(PartsDB[Hrs_Eng]*O89,PartsDB[Catalog]=I89),"")</f>
        <v/>
      </c>
      <c r="S89" s="92" t="str" cm="1">
        <f t="array" ref="S89">IF(ISNUMBER(O89),_xlfn._xlws.FILTER(PartsDB[Hrs_PanelAssy]*M89*O89,PartsDB[Catalog]=I89),"")</f>
        <v/>
      </c>
    </row>
    <row r="90" spans="1:19" ht="16.5" thickTop="1" thickBot="1" x14ac:dyDescent="0.3">
      <c r="A90" s="96" t="str">
        <f>IF(B90="","",MAX(A$4:A89)+1)</f>
        <v/>
      </c>
      <c r="B90" s="99" t="str">
        <f t="shared" si="5"/>
        <v/>
      </c>
      <c r="C90" s="35"/>
      <c r="D90" s="35"/>
      <c r="E90" s="35"/>
      <c r="F90" s="35"/>
      <c r="G90" s="36"/>
      <c r="O90" s="19" t="str">
        <f t="shared" si="6"/>
        <v/>
      </c>
      <c r="P90" s="3" t="str">
        <f t="shared" si="7"/>
        <v/>
      </c>
      <c r="Q90" s="93" t="str" cm="1">
        <f t="array" ref="Q90">IF(ISNUMBER(O90),_xlfn._xlws.FILTER(PartsDB[Hrs_ShopAssy]*N90*O90,PartsDB[Catalog]=I90),"")</f>
        <v/>
      </c>
      <c r="R90" s="92" t="str" cm="1">
        <f t="array" ref="R90">IF(ISNUMBER(O90),_xlfn._xlws.FILTER(PartsDB[Hrs_Eng]*O90,PartsDB[Catalog]=I90),"")</f>
        <v/>
      </c>
      <c r="S90" s="92" t="str" cm="1">
        <f t="array" ref="S90">IF(ISNUMBER(O90),_xlfn._xlws.FILTER(PartsDB[Hrs_PanelAssy]*M90*O90,PartsDB[Catalog]=I90),"")</f>
        <v/>
      </c>
    </row>
    <row r="91" spans="1:19" ht="16.5" thickTop="1" thickBot="1" x14ac:dyDescent="0.3">
      <c r="A91" s="96" t="str">
        <f>IF(B91="","",MAX(A$4:A90)+1)</f>
        <v/>
      </c>
      <c r="B91" s="99" t="str">
        <f t="shared" si="5"/>
        <v/>
      </c>
      <c r="C91" s="35"/>
      <c r="D91" s="35"/>
      <c r="E91" s="35"/>
      <c r="F91" s="35"/>
      <c r="G91" s="36"/>
      <c r="O91" s="19" t="str">
        <f t="shared" si="6"/>
        <v/>
      </c>
      <c r="P91" s="3" t="str">
        <f t="shared" si="7"/>
        <v/>
      </c>
      <c r="Q91" s="93" t="str" cm="1">
        <f t="array" ref="Q91">IF(ISNUMBER(O91),_xlfn._xlws.FILTER(PartsDB[Hrs_ShopAssy]*N91*O91,PartsDB[Catalog]=I91),"")</f>
        <v/>
      </c>
      <c r="R91" s="92" t="str" cm="1">
        <f t="array" ref="R91">IF(ISNUMBER(O91),_xlfn._xlws.FILTER(PartsDB[Hrs_Eng]*O91,PartsDB[Catalog]=I91),"")</f>
        <v/>
      </c>
      <c r="S91" s="92" t="str" cm="1">
        <f t="array" ref="S91">IF(ISNUMBER(O91),_xlfn._xlws.FILTER(PartsDB[Hrs_PanelAssy]*M91*O91,PartsDB[Catalog]=I91),"")</f>
        <v/>
      </c>
    </row>
    <row r="92" spans="1:19" ht="16.5" thickTop="1" thickBot="1" x14ac:dyDescent="0.3">
      <c r="A92" s="96" t="str">
        <f>IF(B92="","",MAX(A$4:A91)+1)</f>
        <v/>
      </c>
      <c r="B92" s="99" t="str">
        <f t="shared" si="5"/>
        <v/>
      </c>
      <c r="C92" s="35"/>
      <c r="D92" s="35"/>
      <c r="E92" s="35"/>
      <c r="F92" s="35"/>
      <c r="G92" s="36"/>
      <c r="O92" s="19" t="str">
        <f t="shared" si="6"/>
        <v/>
      </c>
      <c r="P92" s="3" t="str">
        <f t="shared" si="7"/>
        <v/>
      </c>
      <c r="Q92" s="93" t="str" cm="1">
        <f t="array" ref="Q92">IF(ISNUMBER(O92),_xlfn._xlws.FILTER(PartsDB[Hrs_ShopAssy]*N92*O92,PartsDB[Catalog]=I92),"")</f>
        <v/>
      </c>
      <c r="R92" s="92" t="str" cm="1">
        <f t="array" ref="R92">IF(ISNUMBER(O92),_xlfn._xlws.FILTER(PartsDB[Hrs_Eng]*O92,PartsDB[Catalog]=I92),"")</f>
        <v/>
      </c>
      <c r="S92" s="92" t="str" cm="1">
        <f t="array" ref="S92">IF(ISNUMBER(O92),_xlfn._xlws.FILTER(PartsDB[Hrs_PanelAssy]*M92*O92,PartsDB[Catalog]=I92),"")</f>
        <v/>
      </c>
    </row>
    <row r="93" spans="1:19" ht="16.5" thickTop="1" thickBot="1" x14ac:dyDescent="0.3">
      <c r="A93" s="96" t="str">
        <f>IF(B93="","",MAX(A$4:A92)+1)</f>
        <v/>
      </c>
      <c r="B93" s="99" t="str">
        <f t="shared" si="5"/>
        <v/>
      </c>
      <c r="C93" s="35"/>
      <c r="D93" s="35"/>
      <c r="E93" s="35"/>
      <c r="F93" s="35"/>
      <c r="G93" s="36"/>
      <c r="O93" s="19" t="str">
        <f t="shared" si="6"/>
        <v/>
      </c>
      <c r="P93" s="3" t="str">
        <f t="shared" si="7"/>
        <v/>
      </c>
      <c r="Q93" s="93" t="str" cm="1">
        <f t="array" ref="Q93">IF(ISNUMBER(O93),_xlfn._xlws.FILTER(PartsDB[Hrs_ShopAssy]*N93*O93,PartsDB[Catalog]=I93),"")</f>
        <v/>
      </c>
      <c r="R93" s="92" t="str" cm="1">
        <f t="array" ref="R93">IF(ISNUMBER(O93),_xlfn._xlws.FILTER(PartsDB[Hrs_Eng]*O93,PartsDB[Catalog]=I93),"")</f>
        <v/>
      </c>
      <c r="S93" s="92" t="str" cm="1">
        <f t="array" ref="S93">IF(ISNUMBER(O93),_xlfn._xlws.FILTER(PartsDB[Hrs_PanelAssy]*M93*O93,PartsDB[Catalog]=I93),"")</f>
        <v/>
      </c>
    </row>
    <row r="94" spans="1:19" ht="16.5" thickTop="1" thickBot="1" x14ac:dyDescent="0.3">
      <c r="A94" s="96" t="str">
        <f>IF(B94="","",MAX(A$4:A93)+1)</f>
        <v/>
      </c>
      <c r="B94" s="99" t="str">
        <f t="shared" si="5"/>
        <v/>
      </c>
      <c r="C94" s="35"/>
      <c r="D94" s="35"/>
      <c r="E94" s="35"/>
      <c r="F94" s="35"/>
      <c r="G94" s="36"/>
      <c r="O94" s="19" t="str">
        <f t="shared" si="6"/>
        <v/>
      </c>
      <c r="P94" s="3" t="str">
        <f t="shared" si="7"/>
        <v/>
      </c>
      <c r="Q94" s="93" t="str" cm="1">
        <f t="array" ref="Q94">IF(ISNUMBER(O94),_xlfn._xlws.FILTER(PartsDB[Hrs_ShopAssy]*N94*O94,PartsDB[Catalog]=I94),"")</f>
        <v/>
      </c>
      <c r="R94" s="92" t="str" cm="1">
        <f t="array" ref="R94">IF(ISNUMBER(O94),_xlfn._xlws.FILTER(PartsDB[Hrs_Eng]*O94,PartsDB[Catalog]=I94),"")</f>
        <v/>
      </c>
      <c r="S94" s="92" t="str" cm="1">
        <f t="array" ref="S94">IF(ISNUMBER(O94),_xlfn._xlws.FILTER(PartsDB[Hrs_PanelAssy]*M94*O94,PartsDB[Catalog]=I94),"")</f>
        <v/>
      </c>
    </row>
    <row r="95" spans="1:19" ht="16.5" thickTop="1" thickBot="1" x14ac:dyDescent="0.3">
      <c r="A95" s="96" t="str">
        <f>IF(B95="","",MAX(A$4:A94)+1)</f>
        <v/>
      </c>
      <c r="B95" s="99" t="str">
        <f t="shared" si="5"/>
        <v/>
      </c>
      <c r="C95" s="35"/>
      <c r="D95" s="35"/>
      <c r="E95" s="35"/>
      <c r="F95" s="35"/>
      <c r="G95" s="36"/>
      <c r="O95" s="19" t="str">
        <f t="shared" si="6"/>
        <v/>
      </c>
      <c r="P95" s="3" t="str">
        <f t="shared" si="7"/>
        <v/>
      </c>
      <c r="Q95" s="93" t="str" cm="1">
        <f t="array" ref="Q95">IF(ISNUMBER(O95),_xlfn._xlws.FILTER(PartsDB[Hrs_ShopAssy]*N95*O95,PartsDB[Catalog]=I95),"")</f>
        <v/>
      </c>
      <c r="R95" s="92" t="str" cm="1">
        <f t="array" ref="R95">IF(ISNUMBER(O95),_xlfn._xlws.FILTER(PartsDB[Hrs_Eng]*O95,PartsDB[Catalog]=I95),"")</f>
        <v/>
      </c>
      <c r="S95" s="92" t="str" cm="1">
        <f t="array" ref="S95">IF(ISNUMBER(O95),_xlfn._xlws.FILTER(PartsDB[Hrs_PanelAssy]*M95*O95,PartsDB[Catalog]=I95),"")</f>
        <v/>
      </c>
    </row>
    <row r="96" spans="1:19" ht="16.5" thickTop="1" thickBot="1" x14ac:dyDescent="0.3">
      <c r="A96" s="96" t="str">
        <f>IF(B96="","",MAX(A$4:A95)+1)</f>
        <v/>
      </c>
      <c r="B96" s="99" t="str">
        <f t="shared" si="5"/>
        <v/>
      </c>
      <c r="C96" s="35"/>
      <c r="D96" s="35"/>
      <c r="E96" s="35"/>
      <c r="F96" s="35"/>
      <c r="G96" s="36"/>
      <c r="O96" s="19" t="str">
        <f t="shared" si="6"/>
        <v/>
      </c>
      <c r="P96" s="3" t="str">
        <f t="shared" si="7"/>
        <v/>
      </c>
      <c r="Q96" s="93" t="str" cm="1">
        <f t="array" ref="Q96">IF(ISNUMBER(O96),_xlfn._xlws.FILTER(PartsDB[Hrs_ShopAssy]*N96*O96,PartsDB[Catalog]=I96),"")</f>
        <v/>
      </c>
      <c r="R96" s="92" t="str" cm="1">
        <f t="array" ref="R96">IF(ISNUMBER(O96),_xlfn._xlws.FILTER(PartsDB[Hrs_Eng]*O96,PartsDB[Catalog]=I96),"")</f>
        <v/>
      </c>
      <c r="S96" s="92" t="str" cm="1">
        <f t="array" ref="S96">IF(ISNUMBER(O96),_xlfn._xlws.FILTER(PartsDB[Hrs_PanelAssy]*M96*O96,PartsDB[Catalog]=I96),"")</f>
        <v/>
      </c>
    </row>
    <row r="97" spans="1:19" ht="16.5" thickTop="1" thickBot="1" x14ac:dyDescent="0.3">
      <c r="A97" s="96" t="str">
        <f>IF(B97="","",MAX(A$4:A96)+1)</f>
        <v/>
      </c>
      <c r="B97" s="99" t="str">
        <f t="shared" si="5"/>
        <v/>
      </c>
      <c r="C97" s="35"/>
      <c r="D97" s="35"/>
      <c r="E97" s="35"/>
      <c r="F97" s="35"/>
      <c r="G97" s="36"/>
      <c r="O97" s="19" t="str">
        <f t="shared" si="6"/>
        <v/>
      </c>
      <c r="P97" s="3" t="str">
        <f t="shared" si="7"/>
        <v/>
      </c>
      <c r="Q97" s="93" t="str" cm="1">
        <f t="array" ref="Q97">IF(ISNUMBER(O97),_xlfn._xlws.FILTER(PartsDB[Hrs_ShopAssy]*N97*O97,PartsDB[Catalog]=I97),"")</f>
        <v/>
      </c>
      <c r="R97" s="92" t="str" cm="1">
        <f t="array" ref="R97">IF(ISNUMBER(O97),_xlfn._xlws.FILTER(PartsDB[Hrs_Eng]*O97,PartsDB[Catalog]=I97),"")</f>
        <v/>
      </c>
      <c r="S97" s="92" t="str" cm="1">
        <f t="array" ref="S97">IF(ISNUMBER(O97),_xlfn._xlws.FILTER(PartsDB[Hrs_PanelAssy]*M97*O97,PartsDB[Catalog]=I97),"")</f>
        <v/>
      </c>
    </row>
    <row r="98" spans="1:19" ht="16.5" thickTop="1" thickBot="1" x14ac:dyDescent="0.3">
      <c r="A98" s="96" t="str">
        <f>IF(B98="","",MAX(A$4:A97)+1)</f>
        <v/>
      </c>
      <c r="B98" s="99" t="str">
        <f t="shared" si="5"/>
        <v/>
      </c>
      <c r="C98" s="35"/>
      <c r="D98" s="35"/>
      <c r="E98" s="35"/>
      <c r="F98" s="35"/>
      <c r="G98" s="36"/>
      <c r="O98" s="19" t="str">
        <f t="shared" si="6"/>
        <v/>
      </c>
      <c r="P98" s="3" t="str">
        <f t="shared" si="7"/>
        <v/>
      </c>
      <c r="Q98" s="93" t="str" cm="1">
        <f t="array" ref="Q98">IF(ISNUMBER(O98),_xlfn._xlws.FILTER(PartsDB[Hrs_ShopAssy]*N98*O98,PartsDB[Catalog]=I98),"")</f>
        <v/>
      </c>
      <c r="R98" s="92" t="str" cm="1">
        <f t="array" ref="R98">IF(ISNUMBER(O98),_xlfn._xlws.FILTER(PartsDB[Hrs_Eng]*O98,PartsDB[Catalog]=I98),"")</f>
        <v/>
      </c>
      <c r="S98" s="92" t="str" cm="1">
        <f t="array" ref="S98">IF(ISNUMBER(O98),_xlfn._xlws.FILTER(PartsDB[Hrs_PanelAssy]*M98*O98,PartsDB[Catalog]=I98),"")</f>
        <v/>
      </c>
    </row>
    <row r="99" spans="1:19" ht="16.5" thickTop="1" thickBot="1" x14ac:dyDescent="0.3">
      <c r="A99" s="96" t="str">
        <f>IF(B99="","",MAX(A$4:A98)+1)</f>
        <v/>
      </c>
      <c r="B99" s="99" t="str">
        <f t="shared" si="5"/>
        <v/>
      </c>
      <c r="C99" s="35"/>
      <c r="D99" s="35"/>
      <c r="E99" s="35"/>
      <c r="F99" s="35"/>
      <c r="G99" s="36"/>
      <c r="O99" s="19" t="str">
        <f t="shared" si="6"/>
        <v/>
      </c>
      <c r="P99" s="3" t="str">
        <f t="shared" si="7"/>
        <v/>
      </c>
      <c r="Q99" s="93" t="str" cm="1">
        <f t="array" ref="Q99">IF(ISNUMBER(O99),_xlfn._xlws.FILTER(PartsDB[Hrs_ShopAssy]*N99*O99,PartsDB[Catalog]=I99),"")</f>
        <v/>
      </c>
      <c r="R99" s="92" t="str" cm="1">
        <f t="array" ref="R99">IF(ISNUMBER(O99),_xlfn._xlws.FILTER(PartsDB[Hrs_Eng]*O99,PartsDB[Catalog]=I99),"")</f>
        <v/>
      </c>
      <c r="S99" s="92" t="str" cm="1">
        <f t="array" ref="S99">IF(ISNUMBER(O99),_xlfn._xlws.FILTER(PartsDB[Hrs_PanelAssy]*M99*O99,PartsDB[Catalog]=I99),"")</f>
        <v/>
      </c>
    </row>
    <row r="100" spans="1:19" ht="16.5" thickTop="1" thickBot="1" x14ac:dyDescent="0.3">
      <c r="A100" s="96" t="str">
        <f>IF(B100="","",MAX(A$4:A99)+1)</f>
        <v/>
      </c>
      <c r="B100" s="99" t="str">
        <f t="shared" si="5"/>
        <v/>
      </c>
      <c r="C100" s="35"/>
      <c r="D100" s="35"/>
      <c r="E100" s="35"/>
      <c r="F100" s="35"/>
      <c r="G100" s="36"/>
      <c r="O100" s="19" t="str">
        <f t="shared" ref="O100:O132" si="8">IF(ISNUMBER(J100),J100,"")</f>
        <v/>
      </c>
      <c r="P100" s="3" t="str">
        <f t="shared" ref="P100:P132" si="9">IF(ISNUMBER(O100),O100*K100,"")</f>
        <v/>
      </c>
      <c r="Q100" s="93" t="str" cm="1">
        <f t="array" ref="Q100">IF(ISNUMBER(O100),_xlfn._xlws.FILTER(PartsDB[Hrs_ShopAssy]*N100*O100,PartsDB[Catalog]=I100),"")</f>
        <v/>
      </c>
      <c r="R100" s="92" t="str" cm="1">
        <f t="array" ref="R100">IF(ISNUMBER(O100),_xlfn._xlws.FILTER(PartsDB[Hrs_Eng]*O100,PartsDB[Catalog]=I100),"")</f>
        <v/>
      </c>
      <c r="S100" s="92" t="str" cm="1">
        <f t="array" ref="S100">IF(ISNUMBER(O100),_xlfn._xlws.FILTER(PartsDB[Hrs_PanelAssy]*M100*O100,PartsDB[Catalog]=I100),"")</f>
        <v/>
      </c>
    </row>
    <row r="101" spans="1:19" ht="16.5" thickTop="1" thickBot="1" x14ac:dyDescent="0.3">
      <c r="A101" s="96" t="str">
        <f>IF(B101="","",MAX(A$4:A100)+1)</f>
        <v/>
      </c>
      <c r="B101" s="99" t="str">
        <f t="shared" si="5"/>
        <v/>
      </c>
      <c r="C101" s="35"/>
      <c r="D101" s="35"/>
      <c r="E101" s="35"/>
      <c r="F101" s="35"/>
      <c r="G101" s="36"/>
      <c r="O101" s="19" t="str">
        <f t="shared" si="8"/>
        <v/>
      </c>
      <c r="P101" s="3" t="str">
        <f t="shared" si="9"/>
        <v/>
      </c>
      <c r="Q101" s="93" t="str" cm="1">
        <f t="array" ref="Q101">IF(ISNUMBER(O101),_xlfn._xlws.FILTER(PartsDB[Hrs_ShopAssy]*N101*O101,PartsDB[Catalog]=I101),"")</f>
        <v/>
      </c>
      <c r="R101" s="92" t="str" cm="1">
        <f t="array" ref="R101">IF(ISNUMBER(O101),_xlfn._xlws.FILTER(PartsDB[Hrs_Eng]*O101,PartsDB[Catalog]=I101),"")</f>
        <v/>
      </c>
      <c r="S101" s="92" t="str" cm="1">
        <f t="array" ref="S101">IF(ISNUMBER(O101),_xlfn._xlws.FILTER(PartsDB[Hrs_PanelAssy]*M101*O101,PartsDB[Catalog]=I101),"")</f>
        <v/>
      </c>
    </row>
    <row r="102" spans="1:19" ht="16.5" thickTop="1" thickBot="1" x14ac:dyDescent="0.3">
      <c r="A102" s="96" t="str">
        <f>IF(B102="","",MAX(A$4:A101)+1)</f>
        <v/>
      </c>
      <c r="B102" s="99" t="str">
        <f t="shared" si="5"/>
        <v/>
      </c>
      <c r="C102" s="35"/>
      <c r="D102" s="35"/>
      <c r="E102" s="35"/>
      <c r="F102" s="35"/>
      <c r="G102" s="36"/>
      <c r="O102" s="19" t="str">
        <f t="shared" si="8"/>
        <v/>
      </c>
      <c r="P102" s="3" t="str">
        <f t="shared" si="9"/>
        <v/>
      </c>
      <c r="Q102" s="93" t="str" cm="1">
        <f t="array" ref="Q102">IF(ISNUMBER(O102),_xlfn._xlws.FILTER(PartsDB[Hrs_ShopAssy]*N102*O102,PartsDB[Catalog]=I102),"")</f>
        <v/>
      </c>
      <c r="R102" s="92" t="str" cm="1">
        <f t="array" ref="R102">IF(ISNUMBER(O102),_xlfn._xlws.FILTER(PartsDB[Hrs_Eng]*O102,PartsDB[Catalog]=I102),"")</f>
        <v/>
      </c>
      <c r="S102" s="92" t="str" cm="1">
        <f t="array" ref="S102">IF(ISNUMBER(O102),_xlfn._xlws.FILTER(PartsDB[Hrs_PanelAssy]*M102*O102,PartsDB[Catalog]=I102),"")</f>
        <v/>
      </c>
    </row>
    <row r="103" spans="1:19" ht="16.5" thickTop="1" thickBot="1" x14ac:dyDescent="0.3">
      <c r="A103" s="96" t="str">
        <f>IF(B103="","",MAX(A$4:A102)+1)</f>
        <v/>
      </c>
      <c r="B103" s="99" t="str">
        <f t="shared" si="5"/>
        <v/>
      </c>
      <c r="C103" s="35"/>
      <c r="D103" s="35"/>
      <c r="E103" s="35"/>
      <c r="F103" s="35"/>
      <c r="G103" s="36"/>
      <c r="O103" s="19" t="str">
        <f t="shared" si="8"/>
        <v/>
      </c>
      <c r="P103" s="3" t="str">
        <f t="shared" si="9"/>
        <v/>
      </c>
      <c r="Q103" s="93" t="str" cm="1">
        <f t="array" ref="Q103">IF(ISNUMBER(O103),_xlfn._xlws.FILTER(PartsDB[Hrs_ShopAssy]*N103*O103,PartsDB[Catalog]=I103),"")</f>
        <v/>
      </c>
      <c r="R103" s="92" t="str" cm="1">
        <f t="array" ref="R103">IF(ISNUMBER(O103),_xlfn._xlws.FILTER(PartsDB[Hrs_Eng]*O103,PartsDB[Catalog]=I103),"")</f>
        <v/>
      </c>
      <c r="S103" s="92" t="str" cm="1">
        <f t="array" ref="S103">IF(ISNUMBER(O103),_xlfn._xlws.FILTER(PartsDB[Hrs_PanelAssy]*M103*O103,PartsDB[Catalog]=I103),"")</f>
        <v/>
      </c>
    </row>
    <row r="104" spans="1:19" ht="16.5" thickTop="1" thickBot="1" x14ac:dyDescent="0.3">
      <c r="A104" s="96" t="str">
        <f>IF(B104="","",MAX(A$4:A103)+1)</f>
        <v/>
      </c>
      <c r="B104" s="99" t="str">
        <f t="shared" si="5"/>
        <v/>
      </c>
      <c r="C104" s="35"/>
      <c r="D104" s="35"/>
      <c r="E104" s="35"/>
      <c r="F104" s="35"/>
      <c r="G104" s="36"/>
      <c r="O104" s="19" t="str">
        <f t="shared" si="8"/>
        <v/>
      </c>
      <c r="P104" s="3" t="str">
        <f t="shared" si="9"/>
        <v/>
      </c>
      <c r="Q104" s="93" t="str" cm="1">
        <f t="array" ref="Q104">IF(ISNUMBER(O104),_xlfn._xlws.FILTER(PartsDB[Hrs_ShopAssy]*N104*O104,PartsDB[Catalog]=I104),"")</f>
        <v/>
      </c>
      <c r="R104" s="92" t="str" cm="1">
        <f t="array" ref="R104">IF(ISNUMBER(O104),_xlfn._xlws.FILTER(PartsDB[Hrs_Eng]*O104,PartsDB[Catalog]=I104),"")</f>
        <v/>
      </c>
      <c r="S104" s="92" t="str" cm="1">
        <f t="array" ref="S104">IF(ISNUMBER(O104),_xlfn._xlws.FILTER(PartsDB[Hrs_PanelAssy]*M104*O104,PartsDB[Catalog]=I104),"")</f>
        <v/>
      </c>
    </row>
    <row r="105" spans="1:19" ht="16.5" thickTop="1" thickBot="1" x14ac:dyDescent="0.3">
      <c r="A105" s="96" t="str">
        <f>IF(B105="","",MAX(A$4:A104)+1)</f>
        <v/>
      </c>
      <c r="B105" s="99" t="str">
        <f t="shared" si="5"/>
        <v/>
      </c>
      <c r="C105" s="35"/>
      <c r="D105" s="35"/>
      <c r="E105" s="35"/>
      <c r="F105" s="35"/>
      <c r="G105" s="36"/>
      <c r="O105" s="19" t="str">
        <f t="shared" si="8"/>
        <v/>
      </c>
      <c r="P105" s="3" t="str">
        <f t="shared" si="9"/>
        <v/>
      </c>
      <c r="Q105" s="93" t="str" cm="1">
        <f t="array" ref="Q105">IF(ISNUMBER(O105),_xlfn._xlws.FILTER(PartsDB[Hrs_ShopAssy]*N105*O105,PartsDB[Catalog]=I105),"")</f>
        <v/>
      </c>
      <c r="R105" s="92" t="str" cm="1">
        <f t="array" ref="R105">IF(ISNUMBER(O105),_xlfn._xlws.FILTER(PartsDB[Hrs_Eng]*O105,PartsDB[Catalog]=I105),"")</f>
        <v/>
      </c>
      <c r="S105" s="92" t="str" cm="1">
        <f t="array" ref="S105">IF(ISNUMBER(O105),_xlfn._xlws.FILTER(PartsDB[Hrs_PanelAssy]*M105*O105,PartsDB[Catalog]=I105),"")</f>
        <v/>
      </c>
    </row>
    <row r="106" spans="1:19" ht="16.5" thickTop="1" thickBot="1" x14ac:dyDescent="0.3">
      <c r="A106" s="96" t="str">
        <f>IF(B106="","",MAX(A$4:A105)+1)</f>
        <v/>
      </c>
      <c r="B106" s="99" t="str">
        <f t="shared" si="5"/>
        <v/>
      </c>
      <c r="C106" s="35"/>
      <c r="D106" s="35"/>
      <c r="E106" s="35"/>
      <c r="F106" s="35"/>
      <c r="G106" s="36"/>
      <c r="O106" s="19" t="str">
        <f t="shared" si="8"/>
        <v/>
      </c>
      <c r="P106" s="3" t="str">
        <f t="shared" si="9"/>
        <v/>
      </c>
      <c r="Q106" s="93" t="str" cm="1">
        <f t="array" ref="Q106">IF(ISNUMBER(O106),_xlfn._xlws.FILTER(PartsDB[Hrs_ShopAssy]*N106*O106,PartsDB[Catalog]=I106),"")</f>
        <v/>
      </c>
      <c r="R106" s="92" t="str" cm="1">
        <f t="array" ref="R106">IF(ISNUMBER(O106),_xlfn._xlws.FILTER(PartsDB[Hrs_Eng]*O106,PartsDB[Catalog]=I106),"")</f>
        <v/>
      </c>
      <c r="S106" s="92" t="str" cm="1">
        <f t="array" ref="S106">IF(ISNUMBER(O106),_xlfn._xlws.FILTER(PartsDB[Hrs_PanelAssy]*M106*O106,PartsDB[Catalog]=I106),"")</f>
        <v/>
      </c>
    </row>
    <row r="107" spans="1:19" ht="16.5" thickTop="1" thickBot="1" x14ac:dyDescent="0.3">
      <c r="A107" s="96" t="str">
        <f>IF(B107="","",MAX(A$4:A106)+1)</f>
        <v/>
      </c>
      <c r="B107" s="99" t="str">
        <f t="shared" si="5"/>
        <v/>
      </c>
      <c r="C107" s="35"/>
      <c r="D107" s="35"/>
      <c r="E107" s="35"/>
      <c r="F107" s="35"/>
      <c r="G107" s="36"/>
      <c r="O107" s="19" t="str">
        <f t="shared" si="8"/>
        <v/>
      </c>
      <c r="P107" s="3" t="str">
        <f t="shared" si="9"/>
        <v/>
      </c>
      <c r="Q107" s="93" t="str" cm="1">
        <f t="array" ref="Q107">IF(ISNUMBER(O107),_xlfn._xlws.FILTER(PartsDB[Hrs_ShopAssy]*N107*O107,PartsDB[Catalog]=I107),"")</f>
        <v/>
      </c>
      <c r="R107" s="92" t="str" cm="1">
        <f t="array" ref="R107">IF(ISNUMBER(O107),_xlfn._xlws.FILTER(PartsDB[Hrs_Eng]*O107,PartsDB[Catalog]=I107),"")</f>
        <v/>
      </c>
      <c r="S107" s="92" t="str" cm="1">
        <f t="array" ref="S107">IF(ISNUMBER(O107),_xlfn._xlws.FILTER(PartsDB[Hrs_PanelAssy]*M107*O107,PartsDB[Catalog]=I107),"")</f>
        <v/>
      </c>
    </row>
    <row r="108" spans="1:19" ht="16.5" thickTop="1" thickBot="1" x14ac:dyDescent="0.3">
      <c r="A108" s="96" t="str">
        <f>IF(B108="","",MAX(A$4:A107)+1)</f>
        <v/>
      </c>
      <c r="B108" s="99" t="str">
        <f t="shared" si="5"/>
        <v/>
      </c>
      <c r="C108" s="35"/>
      <c r="D108" s="35"/>
      <c r="E108" s="35"/>
      <c r="F108" s="35"/>
      <c r="G108" s="36"/>
      <c r="O108" s="19" t="str">
        <f t="shared" si="8"/>
        <v/>
      </c>
      <c r="P108" s="3" t="str">
        <f t="shared" si="9"/>
        <v/>
      </c>
      <c r="Q108" s="93" t="str" cm="1">
        <f t="array" ref="Q108">IF(ISNUMBER(O108),_xlfn._xlws.FILTER(PartsDB[Hrs_ShopAssy]*N108*O108,PartsDB[Catalog]=I108),"")</f>
        <v/>
      </c>
      <c r="R108" s="92" t="str" cm="1">
        <f t="array" ref="R108">IF(ISNUMBER(O108),_xlfn._xlws.FILTER(PartsDB[Hrs_Eng]*O108,PartsDB[Catalog]=I108),"")</f>
        <v/>
      </c>
      <c r="S108" s="92" t="str" cm="1">
        <f t="array" ref="S108">IF(ISNUMBER(O108),_xlfn._xlws.FILTER(PartsDB[Hrs_PanelAssy]*M108*O108,PartsDB[Catalog]=I108),"")</f>
        <v/>
      </c>
    </row>
    <row r="109" spans="1:19" ht="16.5" thickTop="1" thickBot="1" x14ac:dyDescent="0.3">
      <c r="A109" s="96" t="str">
        <f>IF(B109="","",MAX(A$4:A108)+1)</f>
        <v/>
      </c>
      <c r="B109" s="99" t="str">
        <f t="shared" si="5"/>
        <v/>
      </c>
      <c r="C109" s="35"/>
      <c r="D109" s="35"/>
      <c r="E109" s="35"/>
      <c r="F109" s="35"/>
      <c r="G109" s="36"/>
      <c r="O109" s="19" t="str">
        <f t="shared" si="8"/>
        <v/>
      </c>
      <c r="P109" s="3" t="str">
        <f t="shared" si="9"/>
        <v/>
      </c>
      <c r="Q109" s="93" t="str" cm="1">
        <f t="array" ref="Q109">IF(ISNUMBER(O109),_xlfn._xlws.FILTER(PartsDB[Hrs_ShopAssy]*N109*O109,PartsDB[Catalog]=I109),"")</f>
        <v/>
      </c>
      <c r="R109" s="92" t="str" cm="1">
        <f t="array" ref="R109">IF(ISNUMBER(O109),_xlfn._xlws.FILTER(PartsDB[Hrs_Eng]*O109,PartsDB[Catalog]=I109),"")</f>
        <v/>
      </c>
      <c r="S109" s="92" t="str" cm="1">
        <f t="array" ref="S109">IF(ISNUMBER(O109),_xlfn._xlws.FILTER(PartsDB[Hrs_PanelAssy]*M109*O109,PartsDB[Catalog]=I109),"")</f>
        <v/>
      </c>
    </row>
    <row r="110" spans="1:19" ht="16.5" thickTop="1" thickBot="1" x14ac:dyDescent="0.3">
      <c r="A110" s="96" t="str">
        <f>IF(B110="","",MAX(A$4:A109)+1)</f>
        <v/>
      </c>
      <c r="B110" s="99" t="str">
        <f t="shared" si="5"/>
        <v/>
      </c>
      <c r="C110" s="35"/>
      <c r="D110" s="35"/>
      <c r="E110" s="35"/>
      <c r="F110" s="35"/>
      <c r="G110" s="36"/>
      <c r="O110" s="19" t="str">
        <f t="shared" si="8"/>
        <v/>
      </c>
      <c r="P110" s="3" t="str">
        <f t="shared" si="9"/>
        <v/>
      </c>
      <c r="Q110" s="93" t="str" cm="1">
        <f t="array" ref="Q110">IF(ISNUMBER(O110),_xlfn._xlws.FILTER(PartsDB[Hrs_ShopAssy]*N110*O110,PartsDB[Catalog]=I110),"")</f>
        <v/>
      </c>
      <c r="R110" s="92" t="str" cm="1">
        <f t="array" ref="R110">IF(ISNUMBER(O110),_xlfn._xlws.FILTER(PartsDB[Hrs_Eng]*O110,PartsDB[Catalog]=I110),"")</f>
        <v/>
      </c>
      <c r="S110" s="92" t="str" cm="1">
        <f t="array" ref="S110">IF(ISNUMBER(O110),_xlfn._xlws.FILTER(PartsDB[Hrs_PanelAssy]*M110*O110,PartsDB[Catalog]=I110),"")</f>
        <v/>
      </c>
    </row>
    <row r="111" spans="1:19" ht="16.5" thickTop="1" thickBot="1" x14ac:dyDescent="0.3">
      <c r="A111" s="96" t="str">
        <f>IF(B111="","",MAX(A$4:A110)+1)</f>
        <v/>
      </c>
      <c r="B111" s="99" t="str">
        <f t="shared" si="5"/>
        <v/>
      </c>
      <c r="C111" s="35"/>
      <c r="D111" s="35"/>
      <c r="E111" s="35"/>
      <c r="F111" s="35"/>
      <c r="G111" s="36"/>
      <c r="O111" s="19" t="str">
        <f t="shared" si="8"/>
        <v/>
      </c>
      <c r="P111" s="3" t="str">
        <f t="shared" si="9"/>
        <v/>
      </c>
      <c r="Q111" s="93" t="str" cm="1">
        <f t="array" ref="Q111">IF(ISNUMBER(O111),_xlfn._xlws.FILTER(PartsDB[Hrs_ShopAssy]*N111*O111,PartsDB[Catalog]=I111),"")</f>
        <v/>
      </c>
      <c r="R111" s="92" t="str" cm="1">
        <f t="array" ref="R111">IF(ISNUMBER(O111),_xlfn._xlws.FILTER(PartsDB[Hrs_Eng]*O111,PartsDB[Catalog]=I111),"")</f>
        <v/>
      </c>
      <c r="S111" s="92" t="str" cm="1">
        <f t="array" ref="S111">IF(ISNUMBER(O111),_xlfn._xlws.FILTER(PartsDB[Hrs_PanelAssy]*M111*O111,PartsDB[Catalog]=I111),"")</f>
        <v/>
      </c>
    </row>
    <row r="112" spans="1:19" ht="16.5" thickTop="1" thickBot="1" x14ac:dyDescent="0.3">
      <c r="A112" s="96" t="str">
        <f>IF(B112="","",MAX(A$4:A111)+1)</f>
        <v/>
      </c>
      <c r="B112" s="99" t="str">
        <f t="shared" si="5"/>
        <v/>
      </c>
      <c r="C112" s="35"/>
      <c r="D112" s="35"/>
      <c r="E112" s="35"/>
      <c r="F112" s="35"/>
      <c r="G112" s="36"/>
      <c r="O112" s="19" t="str">
        <f t="shared" si="8"/>
        <v/>
      </c>
      <c r="P112" s="3" t="str">
        <f t="shared" si="9"/>
        <v/>
      </c>
      <c r="Q112" s="93" t="str" cm="1">
        <f t="array" ref="Q112">IF(ISNUMBER(O112),_xlfn._xlws.FILTER(PartsDB[Hrs_ShopAssy]*N112*O112,PartsDB[Catalog]=I112),"")</f>
        <v/>
      </c>
      <c r="R112" s="92" t="str" cm="1">
        <f t="array" ref="R112">IF(ISNUMBER(O112),_xlfn._xlws.FILTER(PartsDB[Hrs_Eng]*O112,PartsDB[Catalog]=I112),"")</f>
        <v/>
      </c>
      <c r="S112" s="92" t="str" cm="1">
        <f t="array" ref="S112">IF(ISNUMBER(O112),_xlfn._xlws.FILTER(PartsDB[Hrs_PanelAssy]*M112*O112,PartsDB[Catalog]=I112),"")</f>
        <v/>
      </c>
    </row>
    <row r="113" spans="1:19" ht="16.5" thickTop="1" thickBot="1" x14ac:dyDescent="0.3">
      <c r="A113" s="96" t="str">
        <f>IF(B113="","",MAX(A$4:A112)+1)</f>
        <v/>
      </c>
      <c r="B113" s="99" t="str">
        <f t="shared" si="5"/>
        <v/>
      </c>
      <c r="C113" s="35"/>
      <c r="D113" s="35"/>
      <c r="E113" s="35"/>
      <c r="F113" s="35"/>
      <c r="G113" s="36"/>
      <c r="O113" s="19" t="str">
        <f t="shared" si="8"/>
        <v/>
      </c>
      <c r="P113" s="3" t="str">
        <f t="shared" si="9"/>
        <v/>
      </c>
      <c r="Q113" s="93" t="str" cm="1">
        <f t="array" ref="Q113">IF(ISNUMBER(O113),_xlfn._xlws.FILTER(PartsDB[Hrs_ShopAssy]*N113*O113,PartsDB[Catalog]=I113),"")</f>
        <v/>
      </c>
      <c r="R113" s="92" t="str" cm="1">
        <f t="array" ref="R113">IF(ISNUMBER(O113),_xlfn._xlws.FILTER(PartsDB[Hrs_Eng]*O113,PartsDB[Catalog]=I113),"")</f>
        <v/>
      </c>
      <c r="S113" s="92" t="str" cm="1">
        <f t="array" ref="S113">IF(ISNUMBER(O113),_xlfn._xlws.FILTER(PartsDB[Hrs_PanelAssy]*M113*O113,PartsDB[Catalog]=I113),"")</f>
        <v/>
      </c>
    </row>
    <row r="114" spans="1:19" ht="16.5" thickTop="1" thickBot="1" x14ac:dyDescent="0.3">
      <c r="A114" s="96" t="str">
        <f>IF(B114="","",MAX(A$4:A113)+1)</f>
        <v/>
      </c>
      <c r="B114" s="99" t="str">
        <f t="shared" si="5"/>
        <v/>
      </c>
      <c r="C114" s="35"/>
      <c r="D114" s="35"/>
      <c r="E114" s="35"/>
      <c r="F114" s="35"/>
      <c r="G114" s="36"/>
      <c r="O114" s="19" t="str">
        <f t="shared" si="8"/>
        <v/>
      </c>
      <c r="P114" s="3" t="str">
        <f t="shared" si="9"/>
        <v/>
      </c>
      <c r="Q114" s="93" t="str" cm="1">
        <f t="array" ref="Q114">IF(ISNUMBER(O114),_xlfn._xlws.FILTER(PartsDB[Hrs_ShopAssy]*N114*O114,PartsDB[Catalog]=I114),"")</f>
        <v/>
      </c>
      <c r="R114" s="92" t="str" cm="1">
        <f t="array" ref="R114">IF(ISNUMBER(O114),_xlfn._xlws.FILTER(PartsDB[Hrs_Eng]*O114,PartsDB[Catalog]=I114),"")</f>
        <v/>
      </c>
      <c r="S114" s="92" t="str" cm="1">
        <f t="array" ref="S114">IF(ISNUMBER(O114),_xlfn._xlws.FILTER(PartsDB[Hrs_PanelAssy]*M114*O114,PartsDB[Catalog]=I114),"")</f>
        <v/>
      </c>
    </row>
    <row r="115" spans="1:19" ht="16.5" thickTop="1" thickBot="1" x14ac:dyDescent="0.3">
      <c r="A115" s="96" t="str">
        <f>IF(B115="","",MAX(A$4:A114)+1)</f>
        <v/>
      </c>
      <c r="B115" s="99" t="str">
        <f t="shared" si="5"/>
        <v/>
      </c>
      <c r="C115" s="35"/>
      <c r="D115" s="35"/>
      <c r="E115" s="35"/>
      <c r="F115" s="35"/>
      <c r="G115" s="36"/>
      <c r="O115" s="19" t="str">
        <f t="shared" si="8"/>
        <v/>
      </c>
      <c r="P115" s="3" t="str">
        <f t="shared" si="9"/>
        <v/>
      </c>
      <c r="Q115" s="93" t="str" cm="1">
        <f t="array" ref="Q115">IF(ISNUMBER(O115),_xlfn._xlws.FILTER(PartsDB[Hrs_ShopAssy]*N115*O115,PartsDB[Catalog]=I115),"")</f>
        <v/>
      </c>
      <c r="R115" s="92" t="str" cm="1">
        <f t="array" ref="R115">IF(ISNUMBER(O115),_xlfn._xlws.FILTER(PartsDB[Hrs_Eng]*O115,PartsDB[Catalog]=I115),"")</f>
        <v/>
      </c>
      <c r="S115" s="92" t="str" cm="1">
        <f t="array" ref="S115">IF(ISNUMBER(O115),_xlfn._xlws.FILTER(PartsDB[Hrs_PanelAssy]*M115*O115,PartsDB[Catalog]=I115),"")</f>
        <v/>
      </c>
    </row>
    <row r="116" spans="1:19" ht="16.5" thickTop="1" thickBot="1" x14ac:dyDescent="0.3">
      <c r="A116" s="96" t="str">
        <f>IF(B116="","",MAX(A$4:A115)+1)</f>
        <v/>
      </c>
      <c r="B116" s="99" t="str">
        <f t="shared" si="5"/>
        <v/>
      </c>
      <c r="C116" s="35"/>
      <c r="D116" s="35"/>
      <c r="E116" s="35"/>
      <c r="F116" s="35"/>
      <c r="G116" s="36"/>
      <c r="O116" s="19" t="str">
        <f t="shared" si="8"/>
        <v/>
      </c>
      <c r="P116" s="3" t="str">
        <f t="shared" si="9"/>
        <v/>
      </c>
      <c r="Q116" s="93" t="str" cm="1">
        <f t="array" ref="Q116">IF(ISNUMBER(O116),_xlfn._xlws.FILTER(PartsDB[Hrs_ShopAssy]*N116*O116,PartsDB[Catalog]=I116),"")</f>
        <v/>
      </c>
      <c r="R116" s="92" t="str" cm="1">
        <f t="array" ref="R116">IF(ISNUMBER(O116),_xlfn._xlws.FILTER(PartsDB[Hrs_Eng]*O116,PartsDB[Catalog]=I116),"")</f>
        <v/>
      </c>
      <c r="S116" s="92" t="str" cm="1">
        <f t="array" ref="S116">IF(ISNUMBER(O116),_xlfn._xlws.FILTER(PartsDB[Hrs_PanelAssy]*M116*O116,PartsDB[Catalog]=I116),"")</f>
        <v/>
      </c>
    </row>
    <row r="117" spans="1:19" ht="16.5" thickTop="1" thickBot="1" x14ac:dyDescent="0.3">
      <c r="A117" s="96" t="str">
        <f>IF(B117="","",MAX(A$4:A116)+1)</f>
        <v/>
      </c>
      <c r="B117" s="99" t="str">
        <f t="shared" si="5"/>
        <v/>
      </c>
      <c r="C117" s="35"/>
      <c r="D117" s="35"/>
      <c r="E117" s="35"/>
      <c r="F117" s="35"/>
      <c r="G117" s="36"/>
      <c r="O117" s="19" t="str">
        <f t="shared" si="8"/>
        <v/>
      </c>
      <c r="P117" s="3" t="str">
        <f t="shared" si="9"/>
        <v/>
      </c>
      <c r="Q117" s="93" t="str" cm="1">
        <f t="array" ref="Q117">IF(ISNUMBER(O117),_xlfn._xlws.FILTER(PartsDB[Hrs_ShopAssy]*N117*O117,PartsDB[Catalog]=I117),"")</f>
        <v/>
      </c>
      <c r="R117" s="92" t="str" cm="1">
        <f t="array" ref="R117">IF(ISNUMBER(O117),_xlfn._xlws.FILTER(PartsDB[Hrs_Eng]*O117,PartsDB[Catalog]=I117),"")</f>
        <v/>
      </c>
      <c r="S117" s="92" t="str" cm="1">
        <f t="array" ref="S117">IF(ISNUMBER(O117),_xlfn._xlws.FILTER(PartsDB[Hrs_PanelAssy]*M117*O117,PartsDB[Catalog]=I117),"")</f>
        <v/>
      </c>
    </row>
    <row r="118" spans="1:19" ht="16.5" thickTop="1" thickBot="1" x14ac:dyDescent="0.3">
      <c r="A118" s="96" t="str">
        <f>IF(B118="","",MAX(A$4:A117)+1)</f>
        <v/>
      </c>
      <c r="B118" s="99" t="str">
        <f t="shared" si="5"/>
        <v/>
      </c>
      <c r="C118" s="35"/>
      <c r="D118" s="35"/>
      <c r="E118" s="35"/>
      <c r="F118" s="35"/>
      <c r="G118" s="36"/>
      <c r="O118" s="19" t="str">
        <f t="shared" si="8"/>
        <v/>
      </c>
      <c r="P118" s="3" t="str">
        <f t="shared" si="9"/>
        <v/>
      </c>
      <c r="Q118" s="93" t="str" cm="1">
        <f t="array" ref="Q118">IF(ISNUMBER(O118),_xlfn._xlws.FILTER(PartsDB[Hrs_ShopAssy]*N118*O118,PartsDB[Catalog]=I118),"")</f>
        <v/>
      </c>
      <c r="R118" s="92" t="str" cm="1">
        <f t="array" ref="R118">IF(ISNUMBER(O118),_xlfn._xlws.FILTER(PartsDB[Hrs_Eng]*O118,PartsDB[Catalog]=I118),"")</f>
        <v/>
      </c>
      <c r="S118" s="92" t="str" cm="1">
        <f t="array" ref="S118">IF(ISNUMBER(O118),_xlfn._xlws.FILTER(PartsDB[Hrs_PanelAssy]*M118*O118,PartsDB[Catalog]=I118),"")</f>
        <v/>
      </c>
    </row>
    <row r="119" spans="1:19" ht="16.5" thickTop="1" thickBot="1" x14ac:dyDescent="0.3">
      <c r="A119" s="96" t="str">
        <f>IF(B119="","",MAX(A$4:A118)+1)</f>
        <v/>
      </c>
      <c r="B119" s="99" t="str">
        <f t="shared" si="5"/>
        <v/>
      </c>
      <c r="C119" s="35"/>
      <c r="D119" s="35"/>
      <c r="E119" s="35"/>
      <c r="F119" s="35"/>
      <c r="G119" s="36"/>
      <c r="O119" s="19" t="str">
        <f t="shared" si="8"/>
        <v/>
      </c>
      <c r="P119" s="3" t="str">
        <f t="shared" si="9"/>
        <v/>
      </c>
      <c r="Q119" s="93" t="str" cm="1">
        <f t="array" ref="Q119">IF(ISNUMBER(O119),_xlfn._xlws.FILTER(PartsDB[Hrs_ShopAssy]*N119*O119,PartsDB[Catalog]=I119),"")</f>
        <v/>
      </c>
      <c r="R119" s="92" t="str" cm="1">
        <f t="array" ref="R119">IF(ISNUMBER(O119),_xlfn._xlws.FILTER(PartsDB[Hrs_Eng]*O119,PartsDB[Catalog]=I119),"")</f>
        <v/>
      </c>
      <c r="S119" s="92" t="str" cm="1">
        <f t="array" ref="S119">IF(ISNUMBER(O119),_xlfn._xlws.FILTER(PartsDB[Hrs_PanelAssy]*M119*O119,PartsDB[Catalog]=I119),"")</f>
        <v/>
      </c>
    </row>
    <row r="120" spans="1:19" ht="16.5" thickTop="1" thickBot="1" x14ac:dyDescent="0.3">
      <c r="A120" s="96" t="str">
        <f>IF(B120="","",MAX(A$4:A119)+1)</f>
        <v/>
      </c>
      <c r="B120" s="99" t="str">
        <f t="shared" si="5"/>
        <v/>
      </c>
      <c r="C120" s="35"/>
      <c r="D120" s="35"/>
      <c r="E120" s="35"/>
      <c r="F120" s="35"/>
      <c r="G120" s="36"/>
      <c r="O120" s="19" t="str">
        <f t="shared" si="8"/>
        <v/>
      </c>
      <c r="P120" s="3" t="str">
        <f t="shared" si="9"/>
        <v/>
      </c>
      <c r="Q120" s="93" t="str" cm="1">
        <f t="array" ref="Q120">IF(ISNUMBER(O120),_xlfn._xlws.FILTER(PartsDB[Hrs_ShopAssy]*N120*O120,PartsDB[Catalog]=I120),"")</f>
        <v/>
      </c>
      <c r="R120" s="92" t="str" cm="1">
        <f t="array" ref="R120">IF(ISNUMBER(O120),_xlfn._xlws.FILTER(PartsDB[Hrs_Eng]*O120,PartsDB[Catalog]=I120),"")</f>
        <v/>
      </c>
      <c r="S120" s="92" t="str" cm="1">
        <f t="array" ref="S120">IF(ISNUMBER(O120),_xlfn._xlws.FILTER(PartsDB[Hrs_PanelAssy]*M120*O120,PartsDB[Catalog]=I120),"")</f>
        <v/>
      </c>
    </row>
    <row r="121" spans="1:19" ht="16.5" thickTop="1" thickBot="1" x14ac:dyDescent="0.3">
      <c r="A121" s="96" t="str">
        <f>IF(B121="","",MAX(A$4:A120)+1)</f>
        <v/>
      </c>
      <c r="B121" s="99" t="str">
        <f t="shared" si="5"/>
        <v/>
      </c>
      <c r="C121" s="35"/>
      <c r="D121" s="35"/>
      <c r="E121" s="35"/>
      <c r="F121" s="35"/>
      <c r="G121" s="36"/>
      <c r="O121" s="19" t="str">
        <f t="shared" si="8"/>
        <v/>
      </c>
      <c r="P121" s="3" t="str">
        <f t="shared" si="9"/>
        <v/>
      </c>
      <c r="Q121" s="93" t="str" cm="1">
        <f t="array" ref="Q121">IF(ISNUMBER(O121),_xlfn._xlws.FILTER(PartsDB[Hrs_ShopAssy]*N121*O121,PartsDB[Catalog]=I121),"")</f>
        <v/>
      </c>
      <c r="R121" s="92" t="str" cm="1">
        <f t="array" ref="R121">IF(ISNUMBER(O121),_xlfn._xlws.FILTER(PartsDB[Hrs_Eng]*O121,PartsDB[Catalog]=I121),"")</f>
        <v/>
      </c>
      <c r="S121" s="92" t="str" cm="1">
        <f t="array" ref="S121">IF(ISNUMBER(O121),_xlfn._xlws.FILTER(PartsDB[Hrs_PanelAssy]*M121*O121,PartsDB[Catalog]=I121),"")</f>
        <v/>
      </c>
    </row>
    <row r="122" spans="1:19" ht="16.5" thickTop="1" thickBot="1" x14ac:dyDescent="0.3">
      <c r="A122" s="96" t="str">
        <f>IF(B122="","",MAX(A$4:A121)+1)</f>
        <v/>
      </c>
      <c r="B122" s="99" t="str">
        <f t="shared" si="5"/>
        <v/>
      </c>
      <c r="C122" s="35"/>
      <c r="D122" s="35"/>
      <c r="E122" s="35"/>
      <c r="F122" s="35"/>
      <c r="G122" s="36"/>
      <c r="O122" s="19" t="str">
        <f t="shared" si="8"/>
        <v/>
      </c>
      <c r="P122" s="3" t="str">
        <f t="shared" si="9"/>
        <v/>
      </c>
      <c r="Q122" s="93" t="str" cm="1">
        <f t="array" ref="Q122">IF(ISNUMBER(O122),_xlfn._xlws.FILTER(PartsDB[Hrs_ShopAssy]*N122*O122,PartsDB[Catalog]=I122),"")</f>
        <v/>
      </c>
      <c r="R122" s="92" t="str" cm="1">
        <f t="array" ref="R122">IF(ISNUMBER(O122),_xlfn._xlws.FILTER(PartsDB[Hrs_Eng]*O122,PartsDB[Catalog]=I122),"")</f>
        <v/>
      </c>
      <c r="S122" s="92" t="str" cm="1">
        <f t="array" ref="S122">IF(ISNUMBER(O122),_xlfn._xlws.FILTER(PartsDB[Hrs_PanelAssy]*M122*O122,PartsDB[Catalog]=I122),"")</f>
        <v/>
      </c>
    </row>
    <row r="123" spans="1:19" ht="16.5" thickTop="1" thickBot="1" x14ac:dyDescent="0.3">
      <c r="A123" s="96" t="str">
        <f>IF(B123="","",MAX(A$4:A122)+1)</f>
        <v/>
      </c>
      <c r="B123" s="99" t="str">
        <f t="shared" si="5"/>
        <v/>
      </c>
      <c r="C123" s="35"/>
      <c r="D123" s="35"/>
      <c r="E123" s="35"/>
      <c r="F123" s="35"/>
      <c r="G123" s="36"/>
      <c r="O123" s="19" t="str">
        <f t="shared" si="8"/>
        <v/>
      </c>
      <c r="P123" s="3" t="str">
        <f t="shared" si="9"/>
        <v/>
      </c>
      <c r="Q123" s="93" t="str" cm="1">
        <f t="array" ref="Q123">IF(ISNUMBER(O123),_xlfn._xlws.FILTER(PartsDB[Hrs_ShopAssy]*N123*O123,PartsDB[Catalog]=I123),"")</f>
        <v/>
      </c>
      <c r="R123" s="92" t="str" cm="1">
        <f t="array" ref="R123">IF(ISNUMBER(O123),_xlfn._xlws.FILTER(PartsDB[Hrs_Eng]*O123,PartsDB[Catalog]=I123),"")</f>
        <v/>
      </c>
      <c r="S123" s="92" t="str" cm="1">
        <f t="array" ref="S123">IF(ISNUMBER(O123),_xlfn._xlws.FILTER(PartsDB[Hrs_PanelAssy]*M123*O123,PartsDB[Catalog]=I123),"")</f>
        <v/>
      </c>
    </row>
    <row r="124" spans="1:19" ht="16.5" thickTop="1" thickBot="1" x14ac:dyDescent="0.3">
      <c r="A124" s="96" t="str">
        <f>IF(B124="","",MAX(A$4:A123)+1)</f>
        <v/>
      </c>
      <c r="B124" s="99" t="str">
        <f t="shared" si="5"/>
        <v/>
      </c>
      <c r="C124" s="35"/>
      <c r="D124" s="35"/>
      <c r="E124" s="35"/>
      <c r="F124" s="35"/>
      <c r="G124" s="36"/>
      <c r="O124" s="19" t="str">
        <f t="shared" si="8"/>
        <v/>
      </c>
      <c r="P124" s="3" t="str">
        <f t="shared" si="9"/>
        <v/>
      </c>
      <c r="Q124" s="93" t="str" cm="1">
        <f t="array" ref="Q124">IF(ISNUMBER(O124),_xlfn._xlws.FILTER(PartsDB[Hrs_ShopAssy]*N124*O124,PartsDB[Catalog]=I124),"")</f>
        <v/>
      </c>
      <c r="R124" s="92" t="str" cm="1">
        <f t="array" ref="R124">IF(ISNUMBER(O124),_xlfn._xlws.FILTER(PartsDB[Hrs_Eng]*O124,PartsDB[Catalog]=I124),"")</f>
        <v/>
      </c>
      <c r="S124" s="92" t="str" cm="1">
        <f t="array" ref="S124">IF(ISNUMBER(O124),_xlfn._xlws.FILTER(PartsDB[Hrs_PanelAssy]*M124*O124,PartsDB[Catalog]=I124),"")</f>
        <v/>
      </c>
    </row>
    <row r="125" spans="1:19" ht="16.5" thickTop="1" thickBot="1" x14ac:dyDescent="0.3">
      <c r="A125" s="96" t="str">
        <f>IF(B125="","",MAX(A$4:A124)+1)</f>
        <v/>
      </c>
      <c r="B125" s="99" t="str">
        <f t="shared" si="5"/>
        <v/>
      </c>
      <c r="C125" s="35"/>
      <c r="D125" s="35"/>
      <c r="E125" s="35"/>
      <c r="F125" s="35"/>
      <c r="G125" s="36"/>
      <c r="O125" s="19" t="str">
        <f t="shared" si="8"/>
        <v/>
      </c>
      <c r="P125" s="3" t="str">
        <f t="shared" si="9"/>
        <v/>
      </c>
      <c r="Q125" s="93" t="str" cm="1">
        <f t="array" ref="Q125">IF(ISNUMBER(O125),_xlfn._xlws.FILTER(PartsDB[Hrs_ShopAssy]*N125*O125,PartsDB[Catalog]=I125),"")</f>
        <v/>
      </c>
      <c r="R125" s="92" t="str" cm="1">
        <f t="array" ref="R125">IF(ISNUMBER(O125),_xlfn._xlws.FILTER(PartsDB[Hrs_Eng]*O125,PartsDB[Catalog]=I125),"")</f>
        <v/>
      </c>
      <c r="S125" s="92" t="str" cm="1">
        <f t="array" ref="S125">IF(ISNUMBER(O125),_xlfn._xlws.FILTER(PartsDB[Hrs_PanelAssy]*M125*O125,PartsDB[Catalog]=I125),"")</f>
        <v/>
      </c>
    </row>
    <row r="126" spans="1:19" ht="16.5" thickTop="1" thickBot="1" x14ac:dyDescent="0.3">
      <c r="A126" s="96" t="str">
        <f>IF(B126="","",MAX(A$4:A125)+1)</f>
        <v/>
      </c>
      <c r="B126" s="99" t="str">
        <f t="shared" si="5"/>
        <v/>
      </c>
      <c r="C126" s="35"/>
      <c r="D126" s="35"/>
      <c r="E126" s="35"/>
      <c r="F126" s="35"/>
      <c r="G126" s="36"/>
      <c r="O126" s="19" t="str">
        <f t="shared" si="8"/>
        <v/>
      </c>
      <c r="P126" s="3" t="str">
        <f t="shared" si="9"/>
        <v/>
      </c>
      <c r="Q126" s="93" t="str" cm="1">
        <f t="array" ref="Q126">IF(ISNUMBER(O126),_xlfn._xlws.FILTER(PartsDB[Hrs_ShopAssy]*N126*O126,PartsDB[Catalog]=I126),"")</f>
        <v/>
      </c>
      <c r="R126" s="92" t="str" cm="1">
        <f t="array" ref="R126">IF(ISNUMBER(O126),_xlfn._xlws.FILTER(PartsDB[Hrs_Eng]*O126,PartsDB[Catalog]=I126),"")</f>
        <v/>
      </c>
      <c r="S126" s="92" t="str" cm="1">
        <f t="array" ref="S126">IF(ISNUMBER(O126),_xlfn._xlws.FILTER(PartsDB[Hrs_PanelAssy]*M126*O126,PartsDB[Catalog]=I126),"")</f>
        <v/>
      </c>
    </row>
    <row r="127" spans="1:19" ht="16.5" thickTop="1" thickBot="1" x14ac:dyDescent="0.3">
      <c r="A127" s="96" t="str">
        <f>IF(B127="","",MAX(A$4:A126)+1)</f>
        <v/>
      </c>
      <c r="B127" s="99" t="str">
        <f t="shared" si="5"/>
        <v/>
      </c>
      <c r="C127" s="35"/>
      <c r="D127" s="35"/>
      <c r="E127" s="35"/>
      <c r="F127" s="35"/>
      <c r="G127" s="36"/>
      <c r="O127" s="19" t="str">
        <f t="shared" si="8"/>
        <v/>
      </c>
      <c r="P127" s="3" t="str">
        <f t="shared" si="9"/>
        <v/>
      </c>
      <c r="Q127" s="93" t="str" cm="1">
        <f t="array" ref="Q127">IF(ISNUMBER(O127),_xlfn._xlws.FILTER(PartsDB[Hrs_ShopAssy]*N127*O127,PartsDB[Catalog]=I127),"")</f>
        <v/>
      </c>
      <c r="R127" s="92" t="str" cm="1">
        <f t="array" ref="R127">IF(ISNUMBER(O127),_xlfn._xlws.FILTER(PartsDB[Hrs_Eng]*O127,PartsDB[Catalog]=I127),"")</f>
        <v/>
      </c>
      <c r="S127" s="92" t="str" cm="1">
        <f t="array" ref="S127">IF(ISNUMBER(O127),_xlfn._xlws.FILTER(PartsDB[Hrs_PanelAssy]*M127*O127,PartsDB[Catalog]=I127),"")</f>
        <v/>
      </c>
    </row>
    <row r="128" spans="1:19" ht="16.5" thickTop="1" thickBot="1" x14ac:dyDescent="0.3">
      <c r="A128" s="96" t="str">
        <f>IF(B128="","",MAX(A$4:A127)+1)</f>
        <v/>
      </c>
      <c r="B128" s="99" t="str">
        <f t="shared" si="5"/>
        <v/>
      </c>
      <c r="C128" s="35"/>
      <c r="D128" s="35"/>
      <c r="E128" s="35"/>
      <c r="F128" s="35"/>
      <c r="G128" s="36"/>
      <c r="O128" s="19" t="str">
        <f t="shared" si="8"/>
        <v/>
      </c>
      <c r="P128" s="3" t="str">
        <f t="shared" si="9"/>
        <v/>
      </c>
      <c r="Q128" s="93" t="str" cm="1">
        <f t="array" ref="Q128">IF(ISNUMBER(O128),_xlfn._xlws.FILTER(PartsDB[Hrs_ShopAssy]*N128*O128,PartsDB[Catalog]=I128),"")</f>
        <v/>
      </c>
      <c r="R128" s="92" t="str" cm="1">
        <f t="array" ref="R128">IF(ISNUMBER(O128),_xlfn._xlws.FILTER(PartsDB[Hrs_Eng]*O128,PartsDB[Catalog]=I128),"")</f>
        <v/>
      </c>
      <c r="S128" s="92" t="str" cm="1">
        <f t="array" ref="S128">IF(ISNUMBER(O128),_xlfn._xlws.FILTER(PartsDB[Hrs_PanelAssy]*M128*O128,PartsDB[Catalog]=I128),"")</f>
        <v/>
      </c>
    </row>
    <row r="129" spans="1:19" ht="16.5" thickTop="1" thickBot="1" x14ac:dyDescent="0.3">
      <c r="A129" s="96" t="str">
        <f>IF(B129="","",MAX(A$4:A128)+1)</f>
        <v/>
      </c>
      <c r="B129" s="99" t="str">
        <f t="shared" si="5"/>
        <v/>
      </c>
      <c r="C129" s="35"/>
      <c r="D129" s="35"/>
      <c r="E129" s="35"/>
      <c r="F129" s="35"/>
      <c r="G129" s="36"/>
      <c r="O129" s="19" t="str">
        <f t="shared" si="8"/>
        <v/>
      </c>
      <c r="P129" s="3" t="str">
        <f t="shared" si="9"/>
        <v/>
      </c>
      <c r="Q129" s="93" t="str" cm="1">
        <f t="array" ref="Q129">IF(ISNUMBER(O129),_xlfn._xlws.FILTER(PartsDB[Hrs_ShopAssy]*N129*O129,PartsDB[Catalog]=I129),"")</f>
        <v/>
      </c>
      <c r="R129" s="92" t="str" cm="1">
        <f t="array" ref="R129">IF(ISNUMBER(O129),_xlfn._xlws.FILTER(PartsDB[Hrs_Eng]*O129,PartsDB[Catalog]=I129),"")</f>
        <v/>
      </c>
      <c r="S129" s="92" t="str" cm="1">
        <f t="array" ref="S129">IF(ISNUMBER(O129),_xlfn._xlws.FILTER(PartsDB[Hrs_PanelAssy]*M129*O129,PartsDB[Catalog]=I129),"")</f>
        <v/>
      </c>
    </row>
    <row r="130" spans="1:19" ht="16.5" thickTop="1" thickBot="1" x14ac:dyDescent="0.3">
      <c r="A130" s="96" t="str">
        <f>IF(B130="","",MAX(A$4:A129)+1)</f>
        <v/>
      </c>
      <c r="B130" s="99" t="str">
        <f t="shared" si="5"/>
        <v/>
      </c>
      <c r="C130" s="35"/>
      <c r="D130" s="35"/>
      <c r="E130" s="35"/>
      <c r="F130" s="35"/>
      <c r="G130" s="36"/>
      <c r="O130" s="19" t="str">
        <f t="shared" si="8"/>
        <v/>
      </c>
      <c r="P130" s="3" t="str">
        <f t="shared" si="9"/>
        <v/>
      </c>
      <c r="Q130" s="93" t="str" cm="1">
        <f t="array" ref="Q130">IF(ISNUMBER(O130),_xlfn._xlws.FILTER(PartsDB[Hrs_ShopAssy]*N130*O130,PartsDB[Catalog]=I130),"")</f>
        <v/>
      </c>
      <c r="R130" s="92" t="str" cm="1">
        <f t="array" ref="R130">IF(ISNUMBER(O130),_xlfn._xlws.FILTER(PartsDB[Hrs_Eng]*O130,PartsDB[Catalog]=I130),"")</f>
        <v/>
      </c>
      <c r="S130" s="92" t="str" cm="1">
        <f t="array" ref="S130">IF(ISNUMBER(O130),_xlfn._xlws.FILTER(PartsDB[Hrs_PanelAssy]*M130*O130,PartsDB[Catalog]=I130),"")</f>
        <v/>
      </c>
    </row>
    <row r="131" spans="1:19" ht="16.5" thickTop="1" thickBot="1" x14ac:dyDescent="0.3">
      <c r="A131" s="96" t="str">
        <f>IF(B131="","",MAX(A$4:A130)+1)</f>
        <v/>
      </c>
      <c r="B131" s="99" t="str">
        <f t="shared" si="5"/>
        <v/>
      </c>
      <c r="C131" s="35"/>
      <c r="D131" s="35"/>
      <c r="E131" s="35"/>
      <c r="F131" s="35"/>
      <c r="G131" s="36"/>
      <c r="O131" s="19" t="str">
        <f t="shared" si="8"/>
        <v/>
      </c>
      <c r="P131" s="3" t="str">
        <f t="shared" si="9"/>
        <v/>
      </c>
      <c r="Q131" s="93" t="str" cm="1">
        <f t="array" ref="Q131">IF(ISNUMBER(O131),_xlfn._xlws.FILTER(PartsDB[Hrs_ShopAssy]*N131*O131,PartsDB[Catalog]=I131),"")</f>
        <v/>
      </c>
      <c r="R131" s="92" t="str" cm="1">
        <f t="array" ref="R131">IF(ISNUMBER(O131),_xlfn._xlws.FILTER(PartsDB[Hrs_Eng]*O131,PartsDB[Catalog]=I131),"")</f>
        <v/>
      </c>
      <c r="S131" s="92" t="str" cm="1">
        <f t="array" ref="S131">IF(ISNUMBER(O131),_xlfn._xlws.FILTER(PartsDB[Hrs_PanelAssy]*M131*O131,PartsDB[Catalog]=I131),"")</f>
        <v/>
      </c>
    </row>
    <row r="132" spans="1:19" ht="16.5" thickTop="1" thickBot="1" x14ac:dyDescent="0.3">
      <c r="A132" s="96" t="str">
        <f>IF(B132="","",MAX(A$4:A131)+1)</f>
        <v/>
      </c>
      <c r="B132" s="99" t="str">
        <f t="shared" si="5"/>
        <v/>
      </c>
      <c r="C132" s="35"/>
      <c r="D132" s="35"/>
      <c r="E132" s="35"/>
      <c r="F132" s="35"/>
      <c r="G132" s="36"/>
      <c r="O132" s="19" t="str">
        <f t="shared" si="8"/>
        <v/>
      </c>
      <c r="P132" s="3" t="str">
        <f t="shared" si="9"/>
        <v/>
      </c>
      <c r="Q132" s="93" t="str" cm="1">
        <f t="array" ref="Q132">IF(ISNUMBER(O132),_xlfn._xlws.FILTER(PartsDB[Hrs_ShopAssy]*N132*O132,PartsDB[Catalog]=I132),"")</f>
        <v/>
      </c>
      <c r="R132" s="92" t="str" cm="1">
        <f t="array" ref="R132">IF(ISNUMBER(O132),_xlfn._xlws.FILTER(PartsDB[Hrs_Eng]*O132,PartsDB[Catalog]=I132),"")</f>
        <v/>
      </c>
      <c r="S132" s="92" t="str" cm="1">
        <f t="array" ref="S132">IF(ISNUMBER(O132),_xlfn._xlws.FILTER(PartsDB[Hrs_PanelAssy]*M132*O132,PartsDB[Catalog]=I132),"")</f>
        <v/>
      </c>
    </row>
    <row r="133" spans="1:19" ht="16.5" thickTop="1" thickBot="1" x14ac:dyDescent="0.3">
      <c r="A133" s="96" t="str">
        <f>IF(B133="","",MAX(A$4:A132)+1)</f>
        <v/>
      </c>
      <c r="B133" s="99" t="str">
        <f t="shared" ref="B133:B196" si="10">IF(OR(ISBLANK($B$2),ISBLANK(D133)),"",$B$2)</f>
        <v/>
      </c>
      <c r="C133" s="35"/>
      <c r="D133" s="35"/>
      <c r="E133" s="35"/>
      <c r="F133" s="35"/>
      <c r="G133" s="36"/>
      <c r="O133" s="19" t="str">
        <f t="shared" ref="O133:O158" si="11">IF(ISNUMBER(J133),J133,"")</f>
        <v/>
      </c>
      <c r="P133" s="3" t="str">
        <f t="shared" ref="P133:P158" si="12">IF(ISNUMBER(O133),O133*K133,"")</f>
        <v/>
      </c>
      <c r="Q133" s="93" t="str" cm="1">
        <f t="array" ref="Q133">IF(ISNUMBER(O133),_xlfn._xlws.FILTER(PartsDB[Hrs_ShopAssy]*N133*O133,PartsDB[Catalog]=I133),"")</f>
        <v/>
      </c>
      <c r="R133" s="92" t="str" cm="1">
        <f t="array" ref="R133">IF(ISNUMBER(O133),_xlfn._xlws.FILTER(PartsDB[Hrs_Eng]*O133,PartsDB[Catalog]=I133),"")</f>
        <v/>
      </c>
      <c r="S133" s="92" t="str" cm="1">
        <f t="array" ref="S133">IF(ISNUMBER(O133),_xlfn._xlws.FILTER(PartsDB[Hrs_PanelAssy]*M133*O133,PartsDB[Catalog]=I133),"")</f>
        <v/>
      </c>
    </row>
    <row r="134" spans="1:19" ht="16.5" thickTop="1" thickBot="1" x14ac:dyDescent="0.3">
      <c r="A134" s="96" t="str">
        <f>IF(B134="","",MAX(A$4:A133)+1)</f>
        <v/>
      </c>
      <c r="B134" s="99" t="str">
        <f t="shared" si="10"/>
        <v/>
      </c>
      <c r="C134" s="35"/>
      <c r="D134" s="35"/>
      <c r="E134" s="35"/>
      <c r="F134" s="35"/>
      <c r="G134" s="36"/>
      <c r="O134" s="19" t="str">
        <f t="shared" si="11"/>
        <v/>
      </c>
      <c r="P134" s="3" t="str">
        <f t="shared" si="12"/>
        <v/>
      </c>
      <c r="Q134" s="93" t="str" cm="1">
        <f t="array" ref="Q134">IF(ISNUMBER(O134),_xlfn._xlws.FILTER(PartsDB[Hrs_ShopAssy]*N134*O134,PartsDB[Catalog]=I134),"")</f>
        <v/>
      </c>
      <c r="R134" s="92" t="str" cm="1">
        <f t="array" ref="R134">IF(ISNUMBER(O134),_xlfn._xlws.FILTER(PartsDB[Hrs_Eng]*O134,PartsDB[Catalog]=I134),"")</f>
        <v/>
      </c>
      <c r="S134" s="92" t="str" cm="1">
        <f t="array" ref="S134">IF(ISNUMBER(O134),_xlfn._xlws.FILTER(PartsDB[Hrs_PanelAssy]*M134*O134,PartsDB[Catalog]=I134),"")</f>
        <v/>
      </c>
    </row>
    <row r="135" spans="1:19" ht="16.5" thickTop="1" thickBot="1" x14ac:dyDescent="0.3">
      <c r="A135" s="96" t="str">
        <f>IF(B135="","",MAX(A$4:A134)+1)</f>
        <v/>
      </c>
      <c r="B135" s="99" t="str">
        <f t="shared" si="10"/>
        <v/>
      </c>
      <c r="C135" s="35"/>
      <c r="D135" s="35"/>
      <c r="E135" s="35"/>
      <c r="F135" s="35"/>
      <c r="G135" s="36"/>
      <c r="O135" s="19" t="str">
        <f t="shared" si="11"/>
        <v/>
      </c>
      <c r="P135" s="3" t="str">
        <f t="shared" si="12"/>
        <v/>
      </c>
      <c r="Q135" s="93" t="str" cm="1">
        <f t="array" ref="Q135">IF(ISNUMBER(O135),_xlfn._xlws.FILTER(PartsDB[Hrs_ShopAssy]*N135*O135,PartsDB[Catalog]=I135),"")</f>
        <v/>
      </c>
      <c r="R135" s="92" t="str" cm="1">
        <f t="array" ref="R135">IF(ISNUMBER(O135),_xlfn._xlws.FILTER(PartsDB[Hrs_Eng]*O135,PartsDB[Catalog]=I135),"")</f>
        <v/>
      </c>
      <c r="S135" s="92" t="str" cm="1">
        <f t="array" ref="S135">IF(ISNUMBER(O135),_xlfn._xlws.FILTER(PartsDB[Hrs_PanelAssy]*M135*O135,PartsDB[Catalog]=I135),"")</f>
        <v/>
      </c>
    </row>
    <row r="136" spans="1:19" ht="16.5" thickTop="1" thickBot="1" x14ac:dyDescent="0.3">
      <c r="A136" s="96" t="str">
        <f>IF(B136="","",MAX(A$4:A135)+1)</f>
        <v/>
      </c>
      <c r="B136" s="99" t="str">
        <f t="shared" si="10"/>
        <v/>
      </c>
      <c r="C136" s="35"/>
      <c r="D136" s="35"/>
      <c r="E136" s="35"/>
      <c r="F136" s="35"/>
      <c r="G136" s="36"/>
      <c r="O136" s="19" t="str">
        <f t="shared" si="11"/>
        <v/>
      </c>
      <c r="P136" s="3" t="str">
        <f t="shared" si="12"/>
        <v/>
      </c>
      <c r="Q136" s="93" t="str" cm="1">
        <f t="array" ref="Q136">IF(ISNUMBER(O136),_xlfn._xlws.FILTER(PartsDB[Hrs_ShopAssy]*N136*O136,PartsDB[Catalog]=I136),"")</f>
        <v/>
      </c>
      <c r="R136" s="92" t="str" cm="1">
        <f t="array" ref="R136">IF(ISNUMBER(O136),_xlfn._xlws.FILTER(PartsDB[Hrs_Eng]*O136,PartsDB[Catalog]=I136),"")</f>
        <v/>
      </c>
      <c r="S136" s="92" t="str" cm="1">
        <f t="array" ref="S136">IF(ISNUMBER(O136),_xlfn._xlws.FILTER(PartsDB[Hrs_PanelAssy]*M136*O136,PartsDB[Catalog]=I136),"")</f>
        <v/>
      </c>
    </row>
    <row r="137" spans="1:19" ht="16.5" thickTop="1" thickBot="1" x14ac:dyDescent="0.3">
      <c r="A137" s="96" t="str">
        <f>IF(B137="","",MAX(A$4:A136)+1)</f>
        <v/>
      </c>
      <c r="B137" s="99" t="str">
        <f t="shared" si="10"/>
        <v/>
      </c>
      <c r="C137" s="35"/>
      <c r="D137" s="35"/>
      <c r="E137" s="35"/>
      <c r="F137" s="35"/>
      <c r="G137" s="36"/>
      <c r="O137" s="19" t="str">
        <f t="shared" si="11"/>
        <v/>
      </c>
      <c r="P137" s="3" t="str">
        <f t="shared" si="12"/>
        <v/>
      </c>
      <c r="Q137" s="93" t="str" cm="1">
        <f t="array" ref="Q137">IF(ISNUMBER(O137),_xlfn._xlws.FILTER(PartsDB[Hrs_ShopAssy]*N137*O137,PartsDB[Catalog]=I137),"")</f>
        <v/>
      </c>
      <c r="R137" s="92" t="str" cm="1">
        <f t="array" ref="R137">IF(ISNUMBER(O137),_xlfn._xlws.FILTER(PartsDB[Hrs_Eng]*O137,PartsDB[Catalog]=I137),"")</f>
        <v/>
      </c>
      <c r="S137" s="92" t="str" cm="1">
        <f t="array" ref="S137">IF(ISNUMBER(O137),_xlfn._xlws.FILTER(PartsDB[Hrs_PanelAssy]*M137*O137,PartsDB[Catalog]=I137),"")</f>
        <v/>
      </c>
    </row>
    <row r="138" spans="1:19" ht="16.5" thickTop="1" thickBot="1" x14ac:dyDescent="0.3">
      <c r="A138" s="96" t="str">
        <f>IF(B138="","",MAX(A$4:A137)+1)</f>
        <v/>
      </c>
      <c r="B138" s="99" t="str">
        <f t="shared" si="10"/>
        <v/>
      </c>
      <c r="C138" s="35"/>
      <c r="D138" s="35"/>
      <c r="E138" s="35"/>
      <c r="F138" s="35"/>
      <c r="G138" s="36"/>
      <c r="O138" s="19" t="str">
        <f t="shared" si="11"/>
        <v/>
      </c>
      <c r="P138" s="3" t="str">
        <f t="shared" si="12"/>
        <v/>
      </c>
      <c r="Q138" s="93" t="str" cm="1">
        <f t="array" ref="Q138">IF(ISNUMBER(O138),_xlfn._xlws.FILTER(PartsDB[Hrs_ShopAssy]*N138*O138,PartsDB[Catalog]=I138),"")</f>
        <v/>
      </c>
      <c r="R138" s="92" t="str" cm="1">
        <f t="array" ref="R138">IF(ISNUMBER(O138),_xlfn._xlws.FILTER(PartsDB[Hrs_Eng]*O138,PartsDB[Catalog]=I138),"")</f>
        <v/>
      </c>
      <c r="S138" s="92" t="str" cm="1">
        <f t="array" ref="S138">IF(ISNUMBER(O138),_xlfn._xlws.FILTER(PartsDB[Hrs_PanelAssy]*M138*O138,PartsDB[Catalog]=I138),"")</f>
        <v/>
      </c>
    </row>
    <row r="139" spans="1:19" ht="16.5" thickTop="1" thickBot="1" x14ac:dyDescent="0.3">
      <c r="A139" s="96" t="str">
        <f>IF(B139="","",MAX(A$4:A138)+1)</f>
        <v/>
      </c>
      <c r="B139" s="99" t="str">
        <f t="shared" si="10"/>
        <v/>
      </c>
      <c r="C139" s="35"/>
      <c r="D139" s="35"/>
      <c r="E139" s="35"/>
      <c r="F139" s="35"/>
      <c r="G139" s="36"/>
      <c r="O139" s="19" t="str">
        <f t="shared" si="11"/>
        <v/>
      </c>
      <c r="P139" s="3" t="str">
        <f t="shared" si="12"/>
        <v/>
      </c>
      <c r="Q139" s="93" t="str" cm="1">
        <f t="array" ref="Q139">IF(ISNUMBER(O139),_xlfn._xlws.FILTER(PartsDB[Hrs_ShopAssy]*N139*O139,PartsDB[Catalog]=I139),"")</f>
        <v/>
      </c>
      <c r="R139" s="92" t="str" cm="1">
        <f t="array" ref="R139">IF(ISNUMBER(O139),_xlfn._xlws.FILTER(PartsDB[Hrs_Eng]*O139,PartsDB[Catalog]=I139),"")</f>
        <v/>
      </c>
      <c r="S139" s="92" t="str" cm="1">
        <f t="array" ref="S139">IF(ISNUMBER(O139),_xlfn._xlws.FILTER(PartsDB[Hrs_PanelAssy]*M139*O139,PartsDB[Catalog]=I139),"")</f>
        <v/>
      </c>
    </row>
    <row r="140" spans="1:19" ht="16.5" thickTop="1" thickBot="1" x14ac:dyDescent="0.3">
      <c r="A140" s="96" t="str">
        <f>IF(B140="","",MAX(A$4:A139)+1)</f>
        <v/>
      </c>
      <c r="B140" s="99" t="str">
        <f t="shared" si="10"/>
        <v/>
      </c>
      <c r="C140" s="35"/>
      <c r="D140" s="35"/>
      <c r="E140" s="35"/>
      <c r="F140" s="35"/>
      <c r="G140" s="36"/>
      <c r="O140" s="19" t="str">
        <f t="shared" si="11"/>
        <v/>
      </c>
      <c r="P140" s="3" t="str">
        <f t="shared" si="12"/>
        <v/>
      </c>
      <c r="Q140" s="93" t="str" cm="1">
        <f t="array" ref="Q140">IF(ISNUMBER(O140),_xlfn._xlws.FILTER(PartsDB[Hrs_ShopAssy]*N140*O140,PartsDB[Catalog]=I140),"")</f>
        <v/>
      </c>
      <c r="R140" s="92" t="str" cm="1">
        <f t="array" ref="R140">IF(ISNUMBER(O140),_xlfn._xlws.FILTER(PartsDB[Hrs_Eng]*O140,PartsDB[Catalog]=I140),"")</f>
        <v/>
      </c>
      <c r="S140" s="92" t="str" cm="1">
        <f t="array" ref="S140">IF(ISNUMBER(O140),_xlfn._xlws.FILTER(PartsDB[Hrs_PanelAssy]*M140*O140,PartsDB[Catalog]=I140),"")</f>
        <v/>
      </c>
    </row>
    <row r="141" spans="1:19" ht="16.5" thickTop="1" thickBot="1" x14ac:dyDescent="0.3">
      <c r="A141" s="96" t="str">
        <f>IF(B141="","",MAX(A$4:A140)+1)</f>
        <v/>
      </c>
      <c r="B141" s="99" t="str">
        <f t="shared" si="10"/>
        <v/>
      </c>
      <c r="C141" s="35"/>
      <c r="D141" s="35"/>
      <c r="E141" s="35"/>
      <c r="F141" s="35"/>
      <c r="G141" s="36"/>
      <c r="O141" s="19" t="str">
        <f t="shared" si="11"/>
        <v/>
      </c>
      <c r="P141" s="3" t="str">
        <f t="shared" si="12"/>
        <v/>
      </c>
      <c r="Q141" s="93" t="str" cm="1">
        <f t="array" ref="Q141">IF(ISNUMBER(O141),_xlfn._xlws.FILTER(PartsDB[Hrs_ShopAssy]*N141*O141,PartsDB[Catalog]=I141),"")</f>
        <v/>
      </c>
      <c r="R141" s="92" t="str" cm="1">
        <f t="array" ref="R141">IF(ISNUMBER(O141),_xlfn._xlws.FILTER(PartsDB[Hrs_Eng]*O141,PartsDB[Catalog]=I141),"")</f>
        <v/>
      </c>
      <c r="S141" s="92" t="str" cm="1">
        <f t="array" ref="S141">IF(ISNUMBER(O141),_xlfn._xlws.FILTER(PartsDB[Hrs_PanelAssy]*M141*O141,PartsDB[Catalog]=I141),"")</f>
        <v/>
      </c>
    </row>
    <row r="142" spans="1:19" ht="16.5" thickTop="1" thickBot="1" x14ac:dyDescent="0.3">
      <c r="A142" s="96" t="str">
        <f>IF(B142="","",MAX(A$4:A141)+1)</f>
        <v/>
      </c>
      <c r="B142" s="99" t="str">
        <f t="shared" si="10"/>
        <v/>
      </c>
      <c r="C142" s="35"/>
      <c r="D142" s="35"/>
      <c r="E142" s="35"/>
      <c r="F142" s="35"/>
      <c r="G142" s="36"/>
      <c r="O142" s="19" t="str">
        <f t="shared" si="11"/>
        <v/>
      </c>
      <c r="P142" s="3" t="str">
        <f t="shared" si="12"/>
        <v/>
      </c>
      <c r="Q142" s="93" t="str" cm="1">
        <f t="array" ref="Q142">IF(ISNUMBER(O142),_xlfn._xlws.FILTER(PartsDB[Hrs_ShopAssy]*N142*O142,PartsDB[Catalog]=I142),"")</f>
        <v/>
      </c>
      <c r="R142" s="92" t="str" cm="1">
        <f t="array" ref="R142">IF(ISNUMBER(O142),_xlfn._xlws.FILTER(PartsDB[Hrs_Eng]*O142,PartsDB[Catalog]=I142),"")</f>
        <v/>
      </c>
      <c r="S142" s="92" t="str" cm="1">
        <f t="array" ref="S142">IF(ISNUMBER(O142),_xlfn._xlws.FILTER(PartsDB[Hrs_PanelAssy]*M142*O142,PartsDB[Catalog]=I142),"")</f>
        <v/>
      </c>
    </row>
    <row r="143" spans="1:19" ht="16.5" thickTop="1" thickBot="1" x14ac:dyDescent="0.3">
      <c r="A143" s="96" t="str">
        <f>IF(B143="","",MAX(A$4:A142)+1)</f>
        <v/>
      </c>
      <c r="B143" s="99" t="str">
        <f t="shared" si="10"/>
        <v/>
      </c>
      <c r="C143" s="35"/>
      <c r="D143" s="35"/>
      <c r="E143" s="35"/>
      <c r="F143" s="35"/>
      <c r="G143" s="36"/>
      <c r="O143" s="19" t="str">
        <f t="shared" si="11"/>
        <v/>
      </c>
      <c r="P143" s="3" t="str">
        <f t="shared" si="12"/>
        <v/>
      </c>
      <c r="Q143" s="93" t="str" cm="1">
        <f t="array" ref="Q143">IF(ISNUMBER(O143),_xlfn._xlws.FILTER(PartsDB[Hrs_ShopAssy]*N143*O143,PartsDB[Catalog]=I143),"")</f>
        <v/>
      </c>
      <c r="R143" s="92" t="str" cm="1">
        <f t="array" ref="R143">IF(ISNUMBER(O143),_xlfn._xlws.FILTER(PartsDB[Hrs_Eng]*O143,PartsDB[Catalog]=I143),"")</f>
        <v/>
      </c>
      <c r="S143" s="92" t="str" cm="1">
        <f t="array" ref="S143">IF(ISNUMBER(O143),_xlfn._xlws.FILTER(PartsDB[Hrs_PanelAssy]*M143*O143,PartsDB[Catalog]=I143),"")</f>
        <v/>
      </c>
    </row>
    <row r="144" spans="1:19" ht="16.5" thickTop="1" thickBot="1" x14ac:dyDescent="0.3">
      <c r="A144" s="96" t="str">
        <f>IF(B144="","",MAX(A$4:A143)+1)</f>
        <v/>
      </c>
      <c r="B144" s="99" t="str">
        <f t="shared" si="10"/>
        <v/>
      </c>
      <c r="C144" s="35"/>
      <c r="D144" s="35"/>
      <c r="E144" s="35"/>
      <c r="F144" s="35"/>
      <c r="G144" s="36"/>
      <c r="O144" s="19" t="str">
        <f t="shared" si="11"/>
        <v/>
      </c>
      <c r="P144" s="3" t="str">
        <f t="shared" si="12"/>
        <v/>
      </c>
      <c r="Q144" s="93" t="str" cm="1">
        <f t="array" ref="Q144">IF(ISNUMBER(O144),_xlfn._xlws.FILTER(PartsDB[Hrs_ShopAssy]*N144*O144,PartsDB[Catalog]=I144),"")</f>
        <v/>
      </c>
      <c r="R144" s="92" t="str" cm="1">
        <f t="array" ref="R144">IF(ISNUMBER(O144),_xlfn._xlws.FILTER(PartsDB[Hrs_Eng]*O144,PartsDB[Catalog]=I144),"")</f>
        <v/>
      </c>
      <c r="S144" s="92" t="str" cm="1">
        <f t="array" ref="S144">IF(ISNUMBER(O144),_xlfn._xlws.FILTER(PartsDB[Hrs_PanelAssy]*M144*O144,PartsDB[Catalog]=I144),"")</f>
        <v/>
      </c>
    </row>
    <row r="145" spans="1:19" ht="16.5" thickTop="1" thickBot="1" x14ac:dyDescent="0.3">
      <c r="A145" s="96" t="str">
        <f>IF(B145="","",MAX(A$4:A144)+1)</f>
        <v/>
      </c>
      <c r="B145" s="99" t="str">
        <f t="shared" si="10"/>
        <v/>
      </c>
      <c r="C145" s="35"/>
      <c r="D145" s="35"/>
      <c r="E145" s="35"/>
      <c r="F145" s="35"/>
      <c r="G145" s="36"/>
      <c r="O145" s="19" t="str">
        <f t="shared" si="11"/>
        <v/>
      </c>
      <c r="P145" s="3" t="str">
        <f t="shared" si="12"/>
        <v/>
      </c>
      <c r="Q145" s="93" t="str" cm="1">
        <f t="array" ref="Q145">IF(ISNUMBER(O145),_xlfn._xlws.FILTER(PartsDB[Hrs_ShopAssy]*N145*O145,PartsDB[Catalog]=I145),"")</f>
        <v/>
      </c>
      <c r="R145" s="92" t="str" cm="1">
        <f t="array" ref="R145">IF(ISNUMBER(O145),_xlfn._xlws.FILTER(PartsDB[Hrs_Eng]*O145,PartsDB[Catalog]=I145),"")</f>
        <v/>
      </c>
      <c r="S145" s="92" t="str" cm="1">
        <f t="array" ref="S145">IF(ISNUMBER(O145),_xlfn._xlws.FILTER(PartsDB[Hrs_PanelAssy]*M145*O145,PartsDB[Catalog]=I145),"")</f>
        <v/>
      </c>
    </row>
    <row r="146" spans="1:19" ht="16.5" thickTop="1" thickBot="1" x14ac:dyDescent="0.3">
      <c r="A146" s="96" t="str">
        <f>IF(B146="","",MAX(A$4:A145)+1)</f>
        <v/>
      </c>
      <c r="B146" s="99" t="str">
        <f t="shared" si="10"/>
        <v/>
      </c>
      <c r="C146" s="35"/>
      <c r="D146" s="35"/>
      <c r="E146" s="35"/>
      <c r="F146" s="35"/>
      <c r="G146" s="36"/>
      <c r="O146" s="19" t="str">
        <f t="shared" si="11"/>
        <v/>
      </c>
      <c r="P146" s="3" t="str">
        <f t="shared" si="12"/>
        <v/>
      </c>
      <c r="Q146" s="93" t="str" cm="1">
        <f t="array" ref="Q146">IF(ISNUMBER(O146),_xlfn._xlws.FILTER(PartsDB[Hrs_ShopAssy]*N146*O146,PartsDB[Catalog]=I146),"")</f>
        <v/>
      </c>
      <c r="R146" s="92" t="str" cm="1">
        <f t="array" ref="R146">IF(ISNUMBER(O146),_xlfn._xlws.FILTER(PartsDB[Hrs_Eng]*O146,PartsDB[Catalog]=I146),"")</f>
        <v/>
      </c>
      <c r="S146" s="92" t="str" cm="1">
        <f t="array" ref="S146">IF(ISNUMBER(O146),_xlfn._xlws.FILTER(PartsDB[Hrs_PanelAssy]*M146*O146,PartsDB[Catalog]=I146),"")</f>
        <v/>
      </c>
    </row>
    <row r="147" spans="1:19" ht="16.5" thickTop="1" thickBot="1" x14ac:dyDescent="0.3">
      <c r="A147" s="96" t="str">
        <f>IF(B147="","",MAX(A$4:A146)+1)</f>
        <v/>
      </c>
      <c r="B147" s="99" t="str">
        <f t="shared" si="10"/>
        <v/>
      </c>
      <c r="C147" s="35"/>
      <c r="D147" s="35"/>
      <c r="E147" s="35"/>
      <c r="F147" s="35"/>
      <c r="G147" s="36"/>
      <c r="O147" s="19" t="str">
        <f t="shared" si="11"/>
        <v/>
      </c>
      <c r="P147" s="3" t="str">
        <f t="shared" si="12"/>
        <v/>
      </c>
      <c r="Q147" s="93" t="str" cm="1">
        <f t="array" ref="Q147">IF(ISNUMBER(O147),_xlfn._xlws.FILTER(PartsDB[Hrs_ShopAssy]*N147*O147,PartsDB[Catalog]=I147),"")</f>
        <v/>
      </c>
      <c r="R147" s="92" t="str" cm="1">
        <f t="array" ref="R147">IF(ISNUMBER(O147),_xlfn._xlws.FILTER(PartsDB[Hrs_Eng]*O147,PartsDB[Catalog]=I147),"")</f>
        <v/>
      </c>
      <c r="S147" s="92" t="str" cm="1">
        <f t="array" ref="S147">IF(ISNUMBER(O147),_xlfn._xlws.FILTER(PartsDB[Hrs_PanelAssy]*M147*O147,PartsDB[Catalog]=I147),"")</f>
        <v/>
      </c>
    </row>
    <row r="148" spans="1:19" ht="16.5" thickTop="1" thickBot="1" x14ac:dyDescent="0.3">
      <c r="A148" s="96" t="str">
        <f>IF(B148="","",MAX(A$4:A147)+1)</f>
        <v/>
      </c>
      <c r="B148" s="99" t="str">
        <f t="shared" si="10"/>
        <v/>
      </c>
      <c r="C148" s="35"/>
      <c r="D148" s="35"/>
      <c r="E148" s="35"/>
      <c r="F148" s="35"/>
      <c r="G148" s="36"/>
      <c r="O148" s="19" t="str">
        <f t="shared" si="11"/>
        <v/>
      </c>
      <c r="P148" s="3" t="str">
        <f t="shared" si="12"/>
        <v/>
      </c>
      <c r="Q148" s="93" t="str" cm="1">
        <f t="array" ref="Q148">IF(ISNUMBER(O148),_xlfn._xlws.FILTER(PartsDB[Hrs_ShopAssy]*N148*O148,PartsDB[Catalog]=I148),"")</f>
        <v/>
      </c>
      <c r="R148" s="92" t="str" cm="1">
        <f t="array" ref="R148">IF(ISNUMBER(O148),_xlfn._xlws.FILTER(PartsDB[Hrs_Eng]*O148,PartsDB[Catalog]=I148),"")</f>
        <v/>
      </c>
      <c r="S148" s="92" t="str" cm="1">
        <f t="array" ref="S148">IF(ISNUMBER(O148),_xlfn._xlws.FILTER(PartsDB[Hrs_PanelAssy]*M148*O148,PartsDB[Catalog]=I148),"")</f>
        <v/>
      </c>
    </row>
    <row r="149" spans="1:19" ht="16.5" thickTop="1" thickBot="1" x14ac:dyDescent="0.3">
      <c r="A149" s="96" t="str">
        <f>IF(B149="","",MAX(A$4:A148)+1)</f>
        <v/>
      </c>
      <c r="B149" s="99" t="str">
        <f t="shared" si="10"/>
        <v/>
      </c>
      <c r="C149" s="35"/>
      <c r="D149" s="35"/>
      <c r="E149" s="35"/>
      <c r="F149" s="35"/>
      <c r="G149" s="36"/>
      <c r="O149" s="19" t="str">
        <f t="shared" si="11"/>
        <v/>
      </c>
      <c r="P149" s="3" t="str">
        <f t="shared" si="12"/>
        <v/>
      </c>
      <c r="Q149" s="93" t="str" cm="1">
        <f t="array" ref="Q149">IF(ISNUMBER(O149),_xlfn._xlws.FILTER(PartsDB[Hrs_ShopAssy]*N149*O149,PartsDB[Catalog]=I149),"")</f>
        <v/>
      </c>
      <c r="R149" s="92" t="str" cm="1">
        <f t="array" ref="R149">IF(ISNUMBER(O149),_xlfn._xlws.FILTER(PartsDB[Hrs_Eng]*O149,PartsDB[Catalog]=I149),"")</f>
        <v/>
      </c>
      <c r="S149" s="92" t="str" cm="1">
        <f t="array" ref="S149">IF(ISNUMBER(O149),_xlfn._xlws.FILTER(PartsDB[Hrs_PanelAssy]*M149*O149,PartsDB[Catalog]=I149),"")</f>
        <v/>
      </c>
    </row>
    <row r="150" spans="1:19" ht="16.5" thickTop="1" thickBot="1" x14ac:dyDescent="0.3">
      <c r="A150" s="96" t="str">
        <f>IF(B150="","",MAX(A$4:A149)+1)</f>
        <v/>
      </c>
      <c r="B150" s="99" t="str">
        <f t="shared" si="10"/>
        <v/>
      </c>
      <c r="C150" s="35"/>
      <c r="D150" s="35"/>
      <c r="E150" s="35"/>
      <c r="F150" s="35"/>
      <c r="G150" s="36"/>
      <c r="O150" s="19" t="str">
        <f t="shared" si="11"/>
        <v/>
      </c>
      <c r="P150" s="3" t="str">
        <f t="shared" si="12"/>
        <v/>
      </c>
      <c r="Q150" s="93" t="str" cm="1">
        <f t="array" ref="Q150">IF(ISNUMBER(O150),_xlfn._xlws.FILTER(PartsDB[Hrs_ShopAssy]*N150*O150,PartsDB[Catalog]=I150),"")</f>
        <v/>
      </c>
      <c r="R150" s="92" t="str" cm="1">
        <f t="array" ref="R150">IF(ISNUMBER(O150),_xlfn._xlws.FILTER(PartsDB[Hrs_Eng]*O150,PartsDB[Catalog]=I150),"")</f>
        <v/>
      </c>
      <c r="S150" s="92" t="str" cm="1">
        <f t="array" ref="S150">IF(ISNUMBER(O150),_xlfn._xlws.FILTER(PartsDB[Hrs_PanelAssy]*M150*O150,PartsDB[Catalog]=I150),"")</f>
        <v/>
      </c>
    </row>
    <row r="151" spans="1:19" ht="16.5" thickTop="1" thickBot="1" x14ac:dyDescent="0.3">
      <c r="A151" s="96" t="str">
        <f>IF(B151="","",MAX(A$4:A150)+1)</f>
        <v/>
      </c>
      <c r="B151" s="99" t="str">
        <f t="shared" si="10"/>
        <v/>
      </c>
      <c r="C151" s="35"/>
      <c r="D151" s="35"/>
      <c r="E151" s="35"/>
      <c r="F151" s="35"/>
      <c r="G151" s="36"/>
      <c r="O151" s="19" t="str">
        <f t="shared" si="11"/>
        <v/>
      </c>
      <c r="P151" s="3" t="str">
        <f t="shared" si="12"/>
        <v/>
      </c>
      <c r="Q151" s="93" t="str" cm="1">
        <f t="array" ref="Q151">IF(ISNUMBER(O151),_xlfn._xlws.FILTER(PartsDB[Hrs_ShopAssy]*N151*O151,PartsDB[Catalog]=I151),"")</f>
        <v/>
      </c>
      <c r="R151" s="92" t="str" cm="1">
        <f t="array" ref="R151">IF(ISNUMBER(O151),_xlfn._xlws.FILTER(PartsDB[Hrs_Eng]*O151,PartsDB[Catalog]=I151),"")</f>
        <v/>
      </c>
      <c r="S151" s="92" t="str" cm="1">
        <f t="array" ref="S151">IF(ISNUMBER(O151),_xlfn._xlws.FILTER(PartsDB[Hrs_PanelAssy]*M151*O151,PartsDB[Catalog]=I151),"")</f>
        <v/>
      </c>
    </row>
    <row r="152" spans="1:19" ht="16.5" thickTop="1" thickBot="1" x14ac:dyDescent="0.3">
      <c r="A152" s="96" t="str">
        <f>IF(B152="","",MAX(A$4:A151)+1)</f>
        <v/>
      </c>
      <c r="B152" s="99" t="str">
        <f t="shared" si="10"/>
        <v/>
      </c>
      <c r="C152" s="35"/>
      <c r="D152" s="35"/>
      <c r="E152" s="35"/>
      <c r="F152" s="35"/>
      <c r="G152" s="36"/>
      <c r="O152" s="19" t="str">
        <f t="shared" si="11"/>
        <v/>
      </c>
      <c r="P152" s="3" t="str">
        <f t="shared" si="12"/>
        <v/>
      </c>
      <c r="Q152" s="93" t="str" cm="1">
        <f t="array" ref="Q152">IF(ISNUMBER(O152),_xlfn._xlws.FILTER(PartsDB[Hrs_ShopAssy]*N152*O152,PartsDB[Catalog]=I152),"")</f>
        <v/>
      </c>
      <c r="R152" s="92" t="str" cm="1">
        <f t="array" ref="R152">IF(ISNUMBER(O152),_xlfn._xlws.FILTER(PartsDB[Hrs_Eng]*O152,PartsDB[Catalog]=I152),"")</f>
        <v/>
      </c>
      <c r="S152" s="92" t="str" cm="1">
        <f t="array" ref="S152">IF(ISNUMBER(O152),_xlfn._xlws.FILTER(PartsDB[Hrs_PanelAssy]*M152*O152,PartsDB[Catalog]=I152),"")</f>
        <v/>
      </c>
    </row>
    <row r="153" spans="1:19" ht="16.5" thickTop="1" thickBot="1" x14ac:dyDescent="0.3">
      <c r="A153" s="96" t="str">
        <f>IF(B153="","",MAX(A$4:A152)+1)</f>
        <v/>
      </c>
      <c r="B153" s="99" t="str">
        <f t="shared" si="10"/>
        <v/>
      </c>
      <c r="C153" s="35"/>
      <c r="D153" s="35"/>
      <c r="E153" s="35"/>
      <c r="F153" s="35"/>
      <c r="G153" s="36"/>
      <c r="O153" s="19" t="str">
        <f t="shared" si="11"/>
        <v/>
      </c>
      <c r="P153" s="3" t="str">
        <f t="shared" si="12"/>
        <v/>
      </c>
      <c r="Q153" s="93" t="str" cm="1">
        <f t="array" ref="Q153">IF(ISNUMBER(O153),_xlfn._xlws.FILTER(PartsDB[Hrs_ShopAssy]*N153*O153,PartsDB[Catalog]=I153),"")</f>
        <v/>
      </c>
      <c r="R153" s="92" t="str" cm="1">
        <f t="array" ref="R153">IF(ISNUMBER(O153),_xlfn._xlws.FILTER(PartsDB[Hrs_Eng]*O153,PartsDB[Catalog]=I153),"")</f>
        <v/>
      </c>
      <c r="S153" s="92" t="str" cm="1">
        <f t="array" ref="S153">IF(ISNUMBER(O153),_xlfn._xlws.FILTER(PartsDB[Hrs_PanelAssy]*M153*O153,PartsDB[Catalog]=I153),"")</f>
        <v/>
      </c>
    </row>
    <row r="154" spans="1:19" ht="16.5" thickTop="1" thickBot="1" x14ac:dyDescent="0.3">
      <c r="A154" s="96" t="str">
        <f>IF(B154="","",MAX(A$4:A153)+1)</f>
        <v/>
      </c>
      <c r="B154" s="99" t="str">
        <f t="shared" si="10"/>
        <v/>
      </c>
      <c r="C154" s="35"/>
      <c r="D154" s="35"/>
      <c r="E154" s="35"/>
      <c r="F154" s="35"/>
      <c r="G154" s="36"/>
      <c r="O154" s="19" t="str">
        <f t="shared" si="11"/>
        <v/>
      </c>
      <c r="P154" s="3" t="str">
        <f t="shared" si="12"/>
        <v/>
      </c>
      <c r="Q154" s="93" t="str" cm="1">
        <f t="array" ref="Q154">IF(ISNUMBER(O154),_xlfn._xlws.FILTER(PartsDB[Hrs_ShopAssy]*N154*O154,PartsDB[Catalog]=I154),"")</f>
        <v/>
      </c>
      <c r="R154" s="92" t="str" cm="1">
        <f t="array" ref="R154">IF(ISNUMBER(O154),_xlfn._xlws.FILTER(PartsDB[Hrs_Eng]*O154,PartsDB[Catalog]=I154),"")</f>
        <v/>
      </c>
      <c r="S154" s="92" t="str" cm="1">
        <f t="array" ref="S154">IF(ISNUMBER(O154),_xlfn._xlws.FILTER(PartsDB[Hrs_PanelAssy]*M154*O154,PartsDB[Catalog]=I154),"")</f>
        <v/>
      </c>
    </row>
    <row r="155" spans="1:19" ht="16.5" thickTop="1" thickBot="1" x14ac:dyDescent="0.3">
      <c r="A155" s="96" t="str">
        <f>IF(B155="","",MAX(A$4:A154)+1)</f>
        <v/>
      </c>
      <c r="B155" s="99" t="str">
        <f t="shared" si="10"/>
        <v/>
      </c>
      <c r="C155" s="35"/>
      <c r="D155" s="35"/>
      <c r="E155" s="35"/>
      <c r="F155" s="35"/>
      <c r="G155" s="36"/>
      <c r="O155" s="19" t="str">
        <f t="shared" si="11"/>
        <v/>
      </c>
      <c r="P155" s="3" t="str">
        <f t="shared" si="12"/>
        <v/>
      </c>
      <c r="Q155" s="93" t="str" cm="1">
        <f t="array" ref="Q155">IF(ISNUMBER(O155),_xlfn._xlws.FILTER(PartsDB[Hrs_ShopAssy]*N155*O155,PartsDB[Catalog]=I155),"")</f>
        <v/>
      </c>
      <c r="R155" s="92" t="str" cm="1">
        <f t="array" ref="R155">IF(ISNUMBER(O155),_xlfn._xlws.FILTER(PartsDB[Hrs_Eng]*O155,PartsDB[Catalog]=I155),"")</f>
        <v/>
      </c>
      <c r="S155" s="92" t="str" cm="1">
        <f t="array" ref="S155">IF(ISNUMBER(O155),_xlfn._xlws.FILTER(PartsDB[Hrs_PanelAssy]*M155*O155,PartsDB[Catalog]=I155),"")</f>
        <v/>
      </c>
    </row>
    <row r="156" spans="1:19" ht="16.5" thickTop="1" thickBot="1" x14ac:dyDescent="0.3">
      <c r="A156" s="96" t="str">
        <f>IF(B156="","",MAX(A$4:A155)+1)</f>
        <v/>
      </c>
      <c r="B156" s="99" t="str">
        <f t="shared" si="10"/>
        <v/>
      </c>
      <c r="C156" s="35"/>
      <c r="D156" s="35"/>
      <c r="E156" s="35"/>
      <c r="F156" s="35"/>
      <c r="G156" s="36"/>
      <c r="O156" s="19" t="str">
        <f t="shared" si="11"/>
        <v/>
      </c>
      <c r="P156" s="3" t="str">
        <f t="shared" si="12"/>
        <v/>
      </c>
      <c r="Q156" s="93" t="str" cm="1">
        <f t="array" ref="Q156">IF(ISNUMBER(O156),_xlfn._xlws.FILTER(PartsDB[Hrs_ShopAssy]*N156*O156,PartsDB[Catalog]=I156),"")</f>
        <v/>
      </c>
      <c r="R156" s="92" t="str" cm="1">
        <f t="array" ref="R156">IF(ISNUMBER(O156),_xlfn._xlws.FILTER(PartsDB[Hrs_Eng]*O156,PartsDB[Catalog]=I156),"")</f>
        <v/>
      </c>
      <c r="S156" s="92" t="str" cm="1">
        <f t="array" ref="S156">IF(ISNUMBER(O156),_xlfn._xlws.FILTER(PartsDB[Hrs_PanelAssy]*M156*O156,PartsDB[Catalog]=I156),"")</f>
        <v/>
      </c>
    </row>
    <row r="157" spans="1:19" ht="16.5" thickTop="1" thickBot="1" x14ac:dyDescent="0.3">
      <c r="A157" s="96" t="str">
        <f>IF(B157="","",MAX(A$4:A156)+1)</f>
        <v/>
      </c>
      <c r="B157" s="99" t="str">
        <f t="shared" si="10"/>
        <v/>
      </c>
      <c r="C157" s="35"/>
      <c r="D157" s="35"/>
      <c r="E157" s="35"/>
      <c r="F157" s="35"/>
      <c r="G157" s="36"/>
      <c r="O157" s="19" t="str">
        <f t="shared" si="11"/>
        <v/>
      </c>
      <c r="P157" s="3" t="str">
        <f t="shared" si="12"/>
        <v/>
      </c>
      <c r="Q157" s="93" t="str" cm="1">
        <f t="array" ref="Q157">IF(ISNUMBER(O157),_xlfn._xlws.FILTER(PartsDB[Hrs_ShopAssy]*N157*O157,PartsDB[Catalog]=I157),"")</f>
        <v/>
      </c>
      <c r="R157" s="92" t="str" cm="1">
        <f t="array" ref="R157">IF(ISNUMBER(O157),_xlfn._xlws.FILTER(PartsDB[Hrs_Eng]*O157,PartsDB[Catalog]=I157),"")</f>
        <v/>
      </c>
      <c r="S157" s="92" t="str" cm="1">
        <f t="array" ref="S157">IF(ISNUMBER(O157),_xlfn._xlws.FILTER(PartsDB[Hrs_PanelAssy]*M157*O157,PartsDB[Catalog]=I157),"")</f>
        <v/>
      </c>
    </row>
    <row r="158" spans="1:19" ht="16.5" thickTop="1" thickBot="1" x14ac:dyDescent="0.3">
      <c r="A158" s="96" t="str">
        <f>IF(B158="","",MAX(A$4:A157)+1)</f>
        <v/>
      </c>
      <c r="B158" s="99" t="str">
        <f t="shared" si="10"/>
        <v/>
      </c>
      <c r="C158" s="35"/>
      <c r="D158" s="35"/>
      <c r="E158" s="35"/>
      <c r="F158" s="35"/>
      <c r="G158" s="36"/>
      <c r="O158" s="19" t="str">
        <f t="shared" si="11"/>
        <v/>
      </c>
      <c r="P158" s="3" t="str">
        <f t="shared" si="12"/>
        <v/>
      </c>
      <c r="Q158" s="93" t="str" cm="1">
        <f t="array" ref="Q158">IF(ISNUMBER(O158),_xlfn._xlws.FILTER(PartsDB[Hrs_ShopAssy]*N158*O158,PartsDB[Catalog]=I158),"")</f>
        <v/>
      </c>
      <c r="R158" s="92" t="str" cm="1">
        <f t="array" ref="R158">IF(ISNUMBER(O158),_xlfn._xlws.FILTER(PartsDB[Hrs_Eng]*O158,PartsDB[Catalog]=I158),"")</f>
        <v/>
      </c>
      <c r="S158" s="92" t="str" cm="1">
        <f t="array" ref="S158">IF(ISNUMBER(O158),_xlfn._xlws.FILTER(PartsDB[Hrs_PanelAssy]*M158*O158,PartsDB[Catalog]=I158),"")</f>
        <v/>
      </c>
    </row>
    <row r="159" spans="1:19" ht="16.5" thickTop="1" thickBot="1" x14ac:dyDescent="0.3">
      <c r="A159" s="96" t="str">
        <f>IF(B159="","",MAX(A$4:A158)+1)</f>
        <v/>
      </c>
      <c r="B159" s="99" t="str">
        <f t="shared" si="10"/>
        <v/>
      </c>
      <c r="C159" s="35"/>
      <c r="D159" s="35"/>
      <c r="E159" s="35"/>
      <c r="F159" s="35"/>
      <c r="G159" s="36"/>
      <c r="O159" s="19"/>
      <c r="P159" s="3"/>
      <c r="Q159" s="93" t="str" cm="1">
        <f t="array" ref="Q159">IF(ISNUMBER(O159),_xlfn._xlws.FILTER(PartsDB[Hrs_ShopAssy]*N159*O159,PartsDB[Catalog]=I159),"")</f>
        <v/>
      </c>
      <c r="R159" s="92" t="str" cm="1">
        <f t="array" ref="R159">IF(ISNUMBER(O159),_xlfn._xlws.FILTER(PartsDB[Hrs_Eng]*O159,PartsDB[Catalog]=I159),"")</f>
        <v/>
      </c>
      <c r="S159" s="92" t="str" cm="1">
        <f t="array" ref="S159">IF(ISNUMBER(O159),_xlfn._xlws.FILTER(PartsDB[Hrs_PanelAssy]*M159*O159,PartsDB[Catalog]=I159),"")</f>
        <v/>
      </c>
    </row>
    <row r="160" spans="1:19" ht="16.5" thickTop="1" thickBot="1" x14ac:dyDescent="0.3">
      <c r="A160" s="96" t="str">
        <f>IF(B160="","",MAX(A$4:A159)+1)</f>
        <v/>
      </c>
      <c r="B160" s="99" t="str">
        <f t="shared" si="10"/>
        <v/>
      </c>
      <c r="C160" s="35"/>
      <c r="D160" s="35"/>
      <c r="E160" s="35"/>
      <c r="F160" s="35"/>
      <c r="G160" s="36"/>
      <c r="O160" s="19"/>
      <c r="P160" s="3"/>
      <c r="Q160" s="93" t="str" cm="1">
        <f t="array" ref="Q160">IF(ISNUMBER(O160),_xlfn._xlws.FILTER(PartsDB[Hrs_ShopAssy]*N160*O160,PartsDB[Catalog]=I160),"")</f>
        <v/>
      </c>
      <c r="R160" s="92" t="str" cm="1">
        <f t="array" ref="R160">IF(ISNUMBER(O160),_xlfn._xlws.FILTER(PartsDB[Hrs_Eng]*O160,PartsDB[Catalog]=I160),"")</f>
        <v/>
      </c>
      <c r="S160" s="92" t="str" cm="1">
        <f t="array" ref="S160">IF(ISNUMBER(O160),_xlfn._xlws.FILTER(PartsDB[Hrs_PanelAssy]*M160*O160,PartsDB[Catalog]=I160),"")</f>
        <v/>
      </c>
    </row>
    <row r="161" spans="1:19" ht="16.5" thickTop="1" thickBot="1" x14ac:dyDescent="0.3">
      <c r="A161" s="96" t="str">
        <f>IF(B161="","",MAX(A$4:A160)+1)</f>
        <v/>
      </c>
      <c r="B161" s="99" t="str">
        <f t="shared" si="10"/>
        <v/>
      </c>
      <c r="C161" s="35"/>
      <c r="D161" s="35"/>
      <c r="E161" s="35"/>
      <c r="F161" s="35"/>
      <c r="G161" s="36"/>
      <c r="O161" s="19"/>
      <c r="P161" s="3"/>
      <c r="Q161" s="93" t="str" cm="1">
        <f t="array" ref="Q161">IF(ISNUMBER(O161),_xlfn._xlws.FILTER(PartsDB[Hrs_ShopAssy]*N161*O161,PartsDB[Catalog]=I161),"")</f>
        <v/>
      </c>
      <c r="R161" s="92" t="str" cm="1">
        <f t="array" ref="R161">IF(ISNUMBER(O161),_xlfn._xlws.FILTER(PartsDB[Hrs_Eng]*O161,PartsDB[Catalog]=I161),"")</f>
        <v/>
      </c>
      <c r="S161" s="92" t="str" cm="1">
        <f t="array" ref="S161">IF(ISNUMBER(O161),_xlfn._xlws.FILTER(PartsDB[Hrs_PanelAssy]*M161*O161,PartsDB[Catalog]=I161),"")</f>
        <v/>
      </c>
    </row>
    <row r="162" spans="1:19" ht="16.5" thickTop="1" thickBot="1" x14ac:dyDescent="0.3">
      <c r="A162" s="96" t="str">
        <f>IF(B162="","",MAX(A$4:A161)+1)</f>
        <v/>
      </c>
      <c r="B162" s="99" t="str">
        <f t="shared" si="10"/>
        <v/>
      </c>
      <c r="C162" s="35"/>
      <c r="D162" s="35"/>
      <c r="E162" s="35"/>
      <c r="F162" s="35"/>
      <c r="G162" s="36"/>
      <c r="O162" s="19"/>
      <c r="P162" s="3"/>
      <c r="Q162" s="93" t="str" cm="1">
        <f t="array" ref="Q162">IF(ISNUMBER(O162),_xlfn._xlws.FILTER(PartsDB[Hrs_ShopAssy]*N162*O162,PartsDB[Catalog]=I162),"")</f>
        <v/>
      </c>
      <c r="R162" s="92" t="str" cm="1">
        <f t="array" ref="R162">IF(ISNUMBER(O162),_xlfn._xlws.FILTER(PartsDB[Hrs_Eng]*O162,PartsDB[Catalog]=I162),"")</f>
        <v/>
      </c>
      <c r="S162" s="92" t="str" cm="1">
        <f t="array" ref="S162">IF(ISNUMBER(O162),_xlfn._xlws.FILTER(PartsDB[Hrs_PanelAssy]*M162*O162,PartsDB[Catalog]=I162),"")</f>
        <v/>
      </c>
    </row>
    <row r="163" spans="1:19" ht="16.5" thickTop="1" thickBot="1" x14ac:dyDescent="0.3">
      <c r="A163" s="96" t="str">
        <f>IF(B163="","",MAX(A$4:A162)+1)</f>
        <v/>
      </c>
      <c r="B163" s="99" t="str">
        <f t="shared" si="10"/>
        <v/>
      </c>
      <c r="C163" s="35"/>
      <c r="D163" s="35"/>
      <c r="E163" s="35"/>
      <c r="F163" s="35"/>
      <c r="G163" s="36"/>
      <c r="O163" s="19"/>
      <c r="P163" s="3"/>
      <c r="Q163" s="93" t="str" cm="1">
        <f t="array" ref="Q163">IF(ISNUMBER(O163),_xlfn._xlws.FILTER(PartsDB[Hrs_ShopAssy]*N163*O163,PartsDB[Catalog]=I163),"")</f>
        <v/>
      </c>
      <c r="R163" s="92" t="str" cm="1">
        <f t="array" ref="R163">IF(ISNUMBER(O163),_xlfn._xlws.FILTER(PartsDB[Hrs_Eng]*O163,PartsDB[Catalog]=I163),"")</f>
        <v/>
      </c>
      <c r="S163" s="92" t="str" cm="1">
        <f t="array" ref="S163">IF(ISNUMBER(O163),_xlfn._xlws.FILTER(PartsDB[Hrs_PanelAssy]*M163*O163,PartsDB[Catalog]=I163),"")</f>
        <v/>
      </c>
    </row>
    <row r="164" spans="1:19" ht="16.5" thickTop="1" thickBot="1" x14ac:dyDescent="0.3">
      <c r="A164" s="96" t="str">
        <f>IF(B164="","",MAX(A$4:A163)+1)</f>
        <v/>
      </c>
      <c r="B164" s="99" t="str">
        <f t="shared" si="10"/>
        <v/>
      </c>
      <c r="C164" s="35"/>
      <c r="D164" s="35"/>
      <c r="E164" s="35"/>
      <c r="F164" s="35"/>
      <c r="G164" s="36"/>
      <c r="O164" s="19"/>
      <c r="P164" s="3"/>
      <c r="Q164" s="93" t="str" cm="1">
        <f t="array" ref="Q164">IF(ISNUMBER(O164),_xlfn._xlws.FILTER(PartsDB[Hrs_ShopAssy]*N164*O164,PartsDB[Catalog]=I164),"")</f>
        <v/>
      </c>
      <c r="R164" s="92" t="str" cm="1">
        <f t="array" ref="R164">IF(ISNUMBER(O164),_xlfn._xlws.FILTER(PartsDB[Hrs_Eng]*O164,PartsDB[Catalog]=I164),"")</f>
        <v/>
      </c>
      <c r="S164" s="92" t="str" cm="1">
        <f t="array" ref="S164">IF(ISNUMBER(O164),_xlfn._xlws.FILTER(PartsDB[Hrs_PanelAssy]*M164*O164,PartsDB[Catalog]=I164),"")</f>
        <v/>
      </c>
    </row>
    <row r="165" spans="1:19" ht="16.5" thickTop="1" thickBot="1" x14ac:dyDescent="0.3">
      <c r="A165" s="96" t="str">
        <f>IF(B165="","",MAX(A$4:A164)+1)</f>
        <v/>
      </c>
      <c r="B165" s="99" t="str">
        <f t="shared" si="10"/>
        <v/>
      </c>
      <c r="C165" s="35"/>
      <c r="D165" s="35"/>
      <c r="E165" s="35"/>
      <c r="F165" s="35"/>
      <c r="G165" s="36"/>
      <c r="O165" s="19"/>
      <c r="P165" s="3"/>
      <c r="Q165" s="93" t="str" cm="1">
        <f t="array" ref="Q165">IF(ISNUMBER(O165),_xlfn._xlws.FILTER(PartsDB[Hrs_ShopAssy]*N165*O165,PartsDB[Catalog]=I165),"")</f>
        <v/>
      </c>
      <c r="R165" s="92" t="str" cm="1">
        <f t="array" ref="R165">IF(ISNUMBER(O165),_xlfn._xlws.FILTER(PartsDB[Hrs_Eng]*O165,PartsDB[Catalog]=I165),"")</f>
        <v/>
      </c>
      <c r="S165" s="92" t="str" cm="1">
        <f t="array" ref="S165">IF(ISNUMBER(O165),_xlfn._xlws.FILTER(PartsDB[Hrs_PanelAssy]*M165*O165,PartsDB[Catalog]=I165),"")</f>
        <v/>
      </c>
    </row>
    <row r="166" spans="1:19" ht="16.5" thickTop="1" thickBot="1" x14ac:dyDescent="0.3">
      <c r="A166" s="96" t="str">
        <f>IF(B166="","",MAX(A$4:A165)+1)</f>
        <v/>
      </c>
      <c r="B166" s="99" t="str">
        <f t="shared" si="10"/>
        <v/>
      </c>
      <c r="C166" s="35"/>
      <c r="D166" s="35"/>
      <c r="E166" s="35"/>
      <c r="F166" s="35"/>
      <c r="G166" s="36"/>
      <c r="O166" s="19"/>
      <c r="P166" s="3"/>
      <c r="Q166" s="93" t="str" cm="1">
        <f t="array" ref="Q166">IF(ISNUMBER(O166),_xlfn._xlws.FILTER(PartsDB[Hrs_ShopAssy]*N166*O166,PartsDB[Catalog]=I166),"")</f>
        <v/>
      </c>
      <c r="R166" s="92" t="str" cm="1">
        <f t="array" ref="R166">IF(ISNUMBER(O166),_xlfn._xlws.FILTER(PartsDB[Hrs_Eng]*O166,PartsDB[Catalog]=I166),"")</f>
        <v/>
      </c>
      <c r="S166" s="92" t="str" cm="1">
        <f t="array" ref="S166">IF(ISNUMBER(O166),_xlfn._xlws.FILTER(PartsDB[Hrs_PanelAssy]*M166*O166,PartsDB[Catalog]=I166),"")</f>
        <v/>
      </c>
    </row>
    <row r="167" spans="1:19" ht="16.5" thickTop="1" thickBot="1" x14ac:dyDescent="0.3">
      <c r="A167" s="96" t="str">
        <f>IF(B167="","",MAX(A$4:A166)+1)</f>
        <v/>
      </c>
      <c r="B167" s="99" t="str">
        <f t="shared" si="10"/>
        <v/>
      </c>
      <c r="C167" s="35"/>
      <c r="D167" s="35"/>
      <c r="E167" s="35"/>
      <c r="F167" s="35"/>
      <c r="G167" s="36"/>
      <c r="O167" s="19"/>
      <c r="P167" s="3"/>
      <c r="Q167" s="93" t="str" cm="1">
        <f t="array" ref="Q167">IF(ISNUMBER(O167),_xlfn._xlws.FILTER(PartsDB[Hrs_ShopAssy]*N167*O167,PartsDB[Catalog]=I167),"")</f>
        <v/>
      </c>
      <c r="R167" s="92" t="str" cm="1">
        <f t="array" ref="R167">IF(ISNUMBER(O167),_xlfn._xlws.FILTER(PartsDB[Hrs_Eng]*O167,PartsDB[Catalog]=I167),"")</f>
        <v/>
      </c>
      <c r="S167" s="92" t="str" cm="1">
        <f t="array" ref="S167">IF(ISNUMBER(O167),_xlfn._xlws.FILTER(PartsDB[Hrs_PanelAssy]*M167*O167,PartsDB[Catalog]=I167),"")</f>
        <v/>
      </c>
    </row>
    <row r="168" spans="1:19" ht="16.5" thickTop="1" thickBot="1" x14ac:dyDescent="0.3">
      <c r="A168" s="96" t="str">
        <f>IF(B168="","",MAX(A$4:A167)+1)</f>
        <v/>
      </c>
      <c r="B168" s="99" t="str">
        <f t="shared" si="10"/>
        <v/>
      </c>
      <c r="C168" s="35"/>
      <c r="D168" s="35"/>
      <c r="E168" s="35"/>
      <c r="F168" s="35"/>
      <c r="G168" s="36"/>
      <c r="O168" s="19"/>
      <c r="P168" s="3"/>
      <c r="Q168" s="93" t="str" cm="1">
        <f t="array" ref="Q168">IF(ISNUMBER(O168),_xlfn._xlws.FILTER(PartsDB[Hrs_ShopAssy]*N168*O168,PartsDB[Catalog]=I168),"")</f>
        <v/>
      </c>
      <c r="R168" s="92" t="str" cm="1">
        <f t="array" ref="R168">IF(ISNUMBER(O168),_xlfn._xlws.FILTER(PartsDB[Hrs_Eng]*O168,PartsDB[Catalog]=I168),"")</f>
        <v/>
      </c>
      <c r="S168" s="92" t="str" cm="1">
        <f t="array" ref="S168">IF(ISNUMBER(O168),_xlfn._xlws.FILTER(PartsDB[Hrs_PanelAssy]*M168*O168,PartsDB[Catalog]=I168),"")</f>
        <v/>
      </c>
    </row>
    <row r="169" spans="1:19" ht="16.5" thickTop="1" thickBot="1" x14ac:dyDescent="0.3">
      <c r="A169" s="96" t="str">
        <f>IF(B169="","",MAX(A$4:A168)+1)</f>
        <v/>
      </c>
      <c r="B169" s="99" t="str">
        <f t="shared" si="10"/>
        <v/>
      </c>
      <c r="C169" s="35"/>
      <c r="D169" s="35"/>
      <c r="E169" s="35"/>
      <c r="F169" s="35"/>
      <c r="G169" s="36"/>
      <c r="O169" s="19"/>
      <c r="P169" s="3"/>
      <c r="Q169" s="93" t="str" cm="1">
        <f t="array" ref="Q169">IF(ISNUMBER(O169),_xlfn._xlws.FILTER(PartsDB[Hrs_ShopAssy]*N169*O169,PartsDB[Catalog]=I169),"")</f>
        <v/>
      </c>
      <c r="R169" s="92" t="str" cm="1">
        <f t="array" ref="R169">IF(ISNUMBER(O169),_xlfn._xlws.FILTER(PartsDB[Hrs_Eng]*O169,PartsDB[Catalog]=I169),"")</f>
        <v/>
      </c>
      <c r="S169" s="92" t="str" cm="1">
        <f t="array" ref="S169">IF(ISNUMBER(O169),_xlfn._xlws.FILTER(PartsDB[Hrs_PanelAssy]*M169*O169,PartsDB[Catalog]=I169),"")</f>
        <v/>
      </c>
    </row>
    <row r="170" spans="1:19" ht="16.5" thickTop="1" thickBot="1" x14ac:dyDescent="0.3">
      <c r="A170" s="96" t="str">
        <f>IF(B170="","",MAX(A$4:A169)+1)</f>
        <v/>
      </c>
      <c r="B170" s="99" t="str">
        <f t="shared" si="10"/>
        <v/>
      </c>
      <c r="C170" s="35"/>
      <c r="D170" s="35"/>
      <c r="E170" s="35"/>
      <c r="F170" s="35"/>
      <c r="G170" s="36"/>
      <c r="O170" s="19"/>
      <c r="P170" s="3"/>
      <c r="Q170" s="93" t="str" cm="1">
        <f t="array" ref="Q170">IF(ISNUMBER(O170),_xlfn._xlws.FILTER(PartsDB[Hrs_ShopAssy]*N170*O170,PartsDB[Catalog]=I170),"")</f>
        <v/>
      </c>
      <c r="R170" s="92" t="str" cm="1">
        <f t="array" ref="R170">IF(ISNUMBER(O170),_xlfn._xlws.FILTER(PartsDB[Hrs_Eng]*O170,PartsDB[Catalog]=I170),"")</f>
        <v/>
      </c>
      <c r="S170" s="92" t="str" cm="1">
        <f t="array" ref="S170">IF(ISNUMBER(O170),_xlfn._xlws.FILTER(PartsDB[Hrs_PanelAssy]*M170*O170,PartsDB[Catalog]=I170),"")</f>
        <v/>
      </c>
    </row>
    <row r="171" spans="1:19" ht="16.5" thickTop="1" thickBot="1" x14ac:dyDescent="0.3">
      <c r="A171" s="96" t="str">
        <f>IF(B171="","",MAX(A$4:A170)+1)</f>
        <v/>
      </c>
      <c r="B171" s="99" t="str">
        <f t="shared" si="10"/>
        <v/>
      </c>
      <c r="C171" s="35"/>
      <c r="D171" s="35"/>
      <c r="E171" s="35"/>
      <c r="F171" s="35"/>
      <c r="G171" s="36"/>
      <c r="O171" s="19"/>
      <c r="P171" s="3"/>
      <c r="Q171" s="93" t="str" cm="1">
        <f t="array" ref="Q171">IF(ISNUMBER(O171),_xlfn._xlws.FILTER(PartsDB[Hrs_ShopAssy]*N171*O171,PartsDB[Catalog]=I171),"")</f>
        <v/>
      </c>
      <c r="R171" s="92" t="str" cm="1">
        <f t="array" ref="R171">IF(ISNUMBER(O171),_xlfn._xlws.FILTER(PartsDB[Hrs_Eng]*O171,PartsDB[Catalog]=I171),"")</f>
        <v/>
      </c>
      <c r="S171" s="92" t="str" cm="1">
        <f t="array" ref="S171">IF(ISNUMBER(O171),_xlfn._xlws.FILTER(PartsDB[Hrs_PanelAssy]*M171*O171,PartsDB[Catalog]=I171),"")</f>
        <v/>
      </c>
    </row>
    <row r="172" spans="1:19" ht="16.5" thickTop="1" thickBot="1" x14ac:dyDescent="0.3">
      <c r="A172" s="96" t="str">
        <f>IF(B172="","",MAX(A$4:A171)+1)</f>
        <v/>
      </c>
      <c r="B172" s="99" t="str">
        <f t="shared" si="10"/>
        <v/>
      </c>
      <c r="C172" s="35"/>
      <c r="D172" s="35"/>
      <c r="E172" s="35"/>
      <c r="F172" s="35"/>
      <c r="G172" s="36"/>
      <c r="O172" s="19"/>
      <c r="P172" s="3"/>
      <c r="Q172" s="93" t="str" cm="1">
        <f t="array" ref="Q172">IF(ISNUMBER(O172),_xlfn._xlws.FILTER(PartsDB[Hrs_ShopAssy]*N172*O172,PartsDB[Catalog]=I172),"")</f>
        <v/>
      </c>
      <c r="R172" s="92" t="str" cm="1">
        <f t="array" ref="R172">IF(ISNUMBER(O172),_xlfn._xlws.FILTER(PartsDB[Hrs_Eng]*O172,PartsDB[Catalog]=I172),"")</f>
        <v/>
      </c>
      <c r="S172" s="92" t="str" cm="1">
        <f t="array" ref="S172">IF(ISNUMBER(O172),_xlfn._xlws.FILTER(PartsDB[Hrs_PanelAssy]*M172*O172,PartsDB[Catalog]=I172),"")</f>
        <v/>
      </c>
    </row>
    <row r="173" spans="1:19" ht="16.5" thickTop="1" thickBot="1" x14ac:dyDescent="0.3">
      <c r="A173" s="96" t="str">
        <f>IF(B173="","",MAX(A$4:A172)+1)</f>
        <v/>
      </c>
      <c r="B173" s="99" t="str">
        <f t="shared" si="10"/>
        <v/>
      </c>
      <c r="C173" s="35"/>
      <c r="D173" s="35"/>
      <c r="E173" s="35"/>
      <c r="F173" s="35"/>
      <c r="G173" s="36"/>
      <c r="O173" s="19"/>
      <c r="P173" s="3"/>
      <c r="Q173" s="93" t="str" cm="1">
        <f t="array" ref="Q173">IF(ISNUMBER(O173),_xlfn._xlws.FILTER(PartsDB[Hrs_ShopAssy]*N173*O173,PartsDB[Catalog]=I173),"")</f>
        <v/>
      </c>
      <c r="R173" s="92" t="str" cm="1">
        <f t="array" ref="R173">IF(ISNUMBER(O173),_xlfn._xlws.FILTER(PartsDB[Hrs_Eng]*O173,PartsDB[Catalog]=I173),"")</f>
        <v/>
      </c>
      <c r="S173" s="92" t="str" cm="1">
        <f t="array" ref="S173">IF(ISNUMBER(O173),_xlfn._xlws.FILTER(PartsDB[Hrs_PanelAssy]*M173*O173,PartsDB[Catalog]=I173),"")</f>
        <v/>
      </c>
    </row>
    <row r="174" spans="1:19" ht="16.5" thickTop="1" thickBot="1" x14ac:dyDescent="0.3">
      <c r="A174" s="96" t="str">
        <f>IF(B174="","",MAX(A$4:A173)+1)</f>
        <v/>
      </c>
      <c r="B174" s="99" t="str">
        <f t="shared" si="10"/>
        <v/>
      </c>
      <c r="C174" s="35"/>
      <c r="D174" s="35"/>
      <c r="E174" s="35"/>
      <c r="F174" s="35"/>
      <c r="G174" s="36"/>
      <c r="O174" s="19"/>
      <c r="P174" s="3"/>
      <c r="Q174" s="93" t="str" cm="1">
        <f t="array" ref="Q174">IF(ISNUMBER(O174),_xlfn._xlws.FILTER(PartsDB[Hrs_ShopAssy]*N174*O174,PartsDB[Catalog]=I174),"")</f>
        <v/>
      </c>
      <c r="R174" s="92" t="str" cm="1">
        <f t="array" ref="R174">IF(ISNUMBER(O174),_xlfn._xlws.FILTER(PartsDB[Hrs_Eng]*O174,PartsDB[Catalog]=I174),"")</f>
        <v/>
      </c>
      <c r="S174" s="92" t="str" cm="1">
        <f t="array" ref="S174">IF(ISNUMBER(O174),_xlfn._xlws.FILTER(PartsDB[Hrs_PanelAssy]*M174*O174,PartsDB[Catalog]=I174),"")</f>
        <v/>
      </c>
    </row>
    <row r="175" spans="1:19" ht="16.5" thickTop="1" thickBot="1" x14ac:dyDescent="0.3">
      <c r="A175" s="96" t="str">
        <f>IF(B175="","",MAX(A$4:A174)+1)</f>
        <v/>
      </c>
      <c r="B175" s="99" t="str">
        <f t="shared" si="10"/>
        <v/>
      </c>
      <c r="C175" s="35"/>
      <c r="D175" s="35"/>
      <c r="E175" s="35"/>
      <c r="F175" s="35"/>
      <c r="G175" s="36"/>
      <c r="O175" s="19"/>
      <c r="P175" s="3"/>
      <c r="Q175" s="93" t="str" cm="1">
        <f t="array" ref="Q175">IF(ISNUMBER(O175),_xlfn._xlws.FILTER(PartsDB[Hrs_ShopAssy]*N175*O175,PartsDB[Catalog]=I175),"")</f>
        <v/>
      </c>
      <c r="R175" s="92" t="str" cm="1">
        <f t="array" ref="R175">IF(ISNUMBER(O175),_xlfn._xlws.FILTER(PartsDB[Hrs_Eng]*O175,PartsDB[Catalog]=I175),"")</f>
        <v/>
      </c>
      <c r="S175" s="92" t="str" cm="1">
        <f t="array" ref="S175">IF(ISNUMBER(O175),_xlfn._xlws.FILTER(PartsDB[Hrs_PanelAssy]*M175*O175,PartsDB[Catalog]=I175),"")</f>
        <v/>
      </c>
    </row>
    <row r="176" spans="1:19" ht="16.5" thickTop="1" thickBot="1" x14ac:dyDescent="0.3">
      <c r="A176" s="96" t="str">
        <f>IF(B176="","",MAX(A$4:A175)+1)</f>
        <v/>
      </c>
      <c r="B176" s="99" t="str">
        <f t="shared" si="10"/>
        <v/>
      </c>
      <c r="C176" s="35"/>
      <c r="D176" s="35"/>
      <c r="E176" s="35"/>
      <c r="F176" s="35"/>
      <c r="G176" s="36"/>
      <c r="O176" s="19"/>
      <c r="P176" s="3"/>
      <c r="Q176" s="93" t="str" cm="1">
        <f t="array" ref="Q176">IF(ISNUMBER(O176),_xlfn._xlws.FILTER(PartsDB[Hrs_ShopAssy]*N176*O176,PartsDB[Catalog]=I176),"")</f>
        <v/>
      </c>
      <c r="R176" s="92" t="str" cm="1">
        <f t="array" ref="R176">IF(ISNUMBER(O176),_xlfn._xlws.FILTER(PartsDB[Hrs_Eng]*O176,PartsDB[Catalog]=I176),"")</f>
        <v/>
      </c>
      <c r="S176" s="92" t="str" cm="1">
        <f t="array" ref="S176">IF(ISNUMBER(O176),_xlfn._xlws.FILTER(PartsDB[Hrs_PanelAssy]*M176*O176,PartsDB[Catalog]=I176),"")</f>
        <v/>
      </c>
    </row>
    <row r="177" spans="1:19" ht="16.5" thickTop="1" thickBot="1" x14ac:dyDescent="0.3">
      <c r="A177" s="96" t="str">
        <f>IF(B177="","",MAX(A$4:A176)+1)</f>
        <v/>
      </c>
      <c r="B177" s="99" t="str">
        <f t="shared" si="10"/>
        <v/>
      </c>
      <c r="C177" s="35"/>
      <c r="D177" s="35"/>
      <c r="E177" s="35"/>
      <c r="F177" s="35"/>
      <c r="G177" s="36"/>
      <c r="O177" s="19"/>
      <c r="P177" s="3"/>
      <c r="Q177" s="93" t="str" cm="1">
        <f t="array" ref="Q177">IF(ISNUMBER(O177),_xlfn._xlws.FILTER(PartsDB[Hrs_ShopAssy]*N177*O177,PartsDB[Catalog]=I177),"")</f>
        <v/>
      </c>
      <c r="R177" s="92" t="str" cm="1">
        <f t="array" ref="R177">IF(ISNUMBER(O177),_xlfn._xlws.FILTER(PartsDB[Hrs_Eng]*O177,PartsDB[Catalog]=I177),"")</f>
        <v/>
      </c>
      <c r="S177" s="92" t="str" cm="1">
        <f t="array" ref="S177">IF(ISNUMBER(O177),_xlfn._xlws.FILTER(PartsDB[Hrs_PanelAssy]*M177*O177,PartsDB[Catalog]=I177),"")</f>
        <v/>
      </c>
    </row>
    <row r="178" spans="1:19" ht="16.5" thickTop="1" thickBot="1" x14ac:dyDescent="0.3">
      <c r="A178" s="96" t="str">
        <f>IF(B178="","",MAX(A$4:A177)+1)</f>
        <v/>
      </c>
      <c r="B178" s="99" t="str">
        <f t="shared" si="10"/>
        <v/>
      </c>
      <c r="C178" s="35"/>
      <c r="D178" s="35"/>
      <c r="E178" s="35"/>
      <c r="F178" s="35"/>
      <c r="G178" s="36"/>
      <c r="O178" s="19"/>
      <c r="P178" s="3"/>
      <c r="Q178" s="93" t="str" cm="1">
        <f t="array" ref="Q178">IF(ISNUMBER(O178),_xlfn._xlws.FILTER(PartsDB[Hrs_ShopAssy]*N178*O178,PartsDB[Catalog]=I178),"")</f>
        <v/>
      </c>
      <c r="R178" s="92" t="str" cm="1">
        <f t="array" ref="R178">IF(ISNUMBER(O178),_xlfn._xlws.FILTER(PartsDB[Hrs_Eng]*O178,PartsDB[Catalog]=I178),"")</f>
        <v/>
      </c>
      <c r="S178" s="92" t="str" cm="1">
        <f t="array" ref="S178">IF(ISNUMBER(O178),_xlfn._xlws.FILTER(PartsDB[Hrs_PanelAssy]*M178*O178,PartsDB[Catalog]=I178),"")</f>
        <v/>
      </c>
    </row>
    <row r="179" spans="1:19" ht="16.5" thickTop="1" thickBot="1" x14ac:dyDescent="0.3">
      <c r="A179" s="96" t="str">
        <f>IF(B179="","",MAX(A$4:A178)+1)</f>
        <v/>
      </c>
      <c r="B179" s="99" t="str">
        <f t="shared" si="10"/>
        <v/>
      </c>
      <c r="C179" s="35"/>
      <c r="D179" s="35"/>
      <c r="E179" s="35"/>
      <c r="F179" s="35"/>
      <c r="G179" s="36"/>
      <c r="O179" s="19"/>
      <c r="P179" s="3"/>
      <c r="Q179" s="93" t="str" cm="1">
        <f t="array" ref="Q179">IF(ISNUMBER(O179),_xlfn._xlws.FILTER(PartsDB[Hrs_ShopAssy]*N179*O179,PartsDB[Catalog]=I179),"")</f>
        <v/>
      </c>
      <c r="R179" s="92" t="str" cm="1">
        <f t="array" ref="R179">IF(ISNUMBER(O179),_xlfn._xlws.FILTER(PartsDB[Hrs_Eng]*O179,PartsDB[Catalog]=I179),"")</f>
        <v/>
      </c>
      <c r="S179" s="92" t="str" cm="1">
        <f t="array" ref="S179">IF(ISNUMBER(O179),_xlfn._xlws.FILTER(PartsDB[Hrs_PanelAssy]*M179*O179,PartsDB[Catalog]=I179),"")</f>
        <v/>
      </c>
    </row>
    <row r="180" spans="1:19" ht="16.5" thickTop="1" thickBot="1" x14ac:dyDescent="0.3">
      <c r="A180" s="96" t="str">
        <f>IF(B180="","",MAX(A$4:A179)+1)</f>
        <v/>
      </c>
      <c r="B180" s="99" t="str">
        <f t="shared" si="10"/>
        <v/>
      </c>
      <c r="C180" s="35"/>
      <c r="D180" s="35"/>
      <c r="E180" s="35"/>
      <c r="F180" s="35"/>
      <c r="G180" s="36"/>
      <c r="O180" s="19"/>
      <c r="P180" s="3"/>
      <c r="Q180" s="93" t="str" cm="1">
        <f t="array" ref="Q180">IF(ISNUMBER(O180),_xlfn._xlws.FILTER(PartsDB[Hrs_ShopAssy]*N180*O180,PartsDB[Catalog]=I180),"")</f>
        <v/>
      </c>
      <c r="R180" s="92" t="str" cm="1">
        <f t="array" ref="R180">IF(ISNUMBER(O180),_xlfn._xlws.FILTER(PartsDB[Hrs_Eng]*O180,PartsDB[Catalog]=I180),"")</f>
        <v/>
      </c>
      <c r="S180" s="92" t="str" cm="1">
        <f t="array" ref="S180">IF(ISNUMBER(O180),_xlfn._xlws.FILTER(PartsDB[Hrs_PanelAssy]*M180*O180,PartsDB[Catalog]=I180),"")</f>
        <v/>
      </c>
    </row>
    <row r="181" spans="1:19" ht="16.5" thickTop="1" thickBot="1" x14ac:dyDescent="0.3">
      <c r="A181" s="96" t="str">
        <f>IF(B181="","",MAX(A$4:A180)+1)</f>
        <v/>
      </c>
      <c r="B181" s="99" t="str">
        <f t="shared" si="10"/>
        <v/>
      </c>
      <c r="C181" s="35"/>
      <c r="D181" s="35"/>
      <c r="E181" s="35"/>
      <c r="F181" s="35"/>
      <c r="G181" s="36"/>
      <c r="O181" s="19" t="str">
        <f t="shared" ref="O181:O201" si="13">IF(ISNUMBER(J181),J181,"")</f>
        <v/>
      </c>
      <c r="P181" s="3" t="str">
        <f t="shared" ref="P181:P199" si="14">IF(ISNUMBER(O181),O181*K181,"")</f>
        <v/>
      </c>
      <c r="Q181" s="93" t="str" cm="1">
        <f t="array" ref="Q181">IF(ISNUMBER(O181),_xlfn._xlws.FILTER(PartsDB[Hrs_ShopAssy]*N181*O181,PartsDB[Catalog]=I181),"")</f>
        <v/>
      </c>
      <c r="R181" s="92" t="str" cm="1">
        <f t="array" ref="R181">IF(ISNUMBER(O181),_xlfn._xlws.FILTER(PartsDB[Hrs_Eng]*O181,PartsDB[Catalog]=I181),"")</f>
        <v/>
      </c>
      <c r="S181" s="92" t="str" cm="1">
        <f t="array" ref="S181">IF(ISNUMBER(O181),_xlfn._xlws.FILTER(PartsDB[Hrs_PanelAssy]*M181*O181,PartsDB[Catalog]=I181),"")</f>
        <v/>
      </c>
    </row>
    <row r="182" spans="1:19" ht="16.5" thickTop="1" thickBot="1" x14ac:dyDescent="0.3">
      <c r="A182" s="96" t="str">
        <f>IF(B182="","",MAX(A$4:A181)+1)</f>
        <v/>
      </c>
      <c r="B182" s="99" t="str">
        <f t="shared" si="10"/>
        <v/>
      </c>
      <c r="C182" s="35"/>
      <c r="D182" s="35"/>
      <c r="E182" s="35"/>
      <c r="F182" s="35"/>
      <c r="G182" s="36"/>
      <c r="O182" s="19" t="str">
        <f t="shared" si="13"/>
        <v/>
      </c>
      <c r="P182" s="3" t="str">
        <f t="shared" si="14"/>
        <v/>
      </c>
      <c r="Q182" s="93" t="str" cm="1">
        <f t="array" ref="Q182">IF(ISNUMBER(O182),_xlfn._xlws.FILTER(PartsDB[Hrs_ShopAssy]*N182*O182,PartsDB[Catalog]=I182),"")</f>
        <v/>
      </c>
      <c r="R182" s="92" t="str" cm="1">
        <f t="array" ref="R182">IF(ISNUMBER(O182),_xlfn._xlws.FILTER(PartsDB[Hrs_Eng]*O182,PartsDB[Catalog]=I182),"")</f>
        <v/>
      </c>
      <c r="S182" s="92" t="str" cm="1">
        <f t="array" ref="S182">IF(ISNUMBER(O182),_xlfn._xlws.FILTER(PartsDB[Hrs_PanelAssy]*M182*O182,PartsDB[Catalog]=I182),"")</f>
        <v/>
      </c>
    </row>
    <row r="183" spans="1:19" ht="16.5" thickTop="1" thickBot="1" x14ac:dyDescent="0.3">
      <c r="A183" s="96" t="str">
        <f>IF(B183="","",MAX(A$4:A182)+1)</f>
        <v/>
      </c>
      <c r="B183" s="99" t="str">
        <f t="shared" si="10"/>
        <v/>
      </c>
      <c r="C183" s="35"/>
      <c r="D183" s="35"/>
      <c r="E183" s="35"/>
      <c r="F183" s="35"/>
      <c r="G183" s="36"/>
      <c r="O183" s="19" t="str">
        <f t="shared" si="13"/>
        <v/>
      </c>
      <c r="P183" s="3" t="str">
        <f t="shared" si="14"/>
        <v/>
      </c>
      <c r="Q183" s="93" t="str" cm="1">
        <f t="array" ref="Q183">IF(ISNUMBER(O183),_xlfn._xlws.FILTER(PartsDB[Hrs_ShopAssy]*N183*O183,PartsDB[Catalog]=I183),"")</f>
        <v/>
      </c>
      <c r="R183" s="92" t="str" cm="1">
        <f t="array" ref="R183">IF(ISNUMBER(O183),_xlfn._xlws.FILTER(PartsDB[Hrs_Eng]*O183,PartsDB[Catalog]=I183),"")</f>
        <v/>
      </c>
      <c r="S183" s="92" t="str" cm="1">
        <f t="array" ref="S183">IF(ISNUMBER(O183),_xlfn._xlws.FILTER(PartsDB[Hrs_PanelAssy]*M183*O183,PartsDB[Catalog]=I183),"")</f>
        <v/>
      </c>
    </row>
    <row r="184" spans="1:19" ht="16.5" thickTop="1" thickBot="1" x14ac:dyDescent="0.3">
      <c r="A184" s="96" t="str">
        <f>IF(B184="","",MAX(A$4:A183)+1)</f>
        <v/>
      </c>
      <c r="B184" s="99" t="str">
        <f t="shared" si="10"/>
        <v/>
      </c>
      <c r="C184" s="35"/>
      <c r="D184" s="35"/>
      <c r="E184" s="35"/>
      <c r="F184" s="35"/>
      <c r="G184" s="36"/>
      <c r="O184" s="19" t="str">
        <f t="shared" si="13"/>
        <v/>
      </c>
      <c r="P184" s="3" t="str">
        <f t="shared" si="14"/>
        <v/>
      </c>
      <c r="Q184" s="93" t="str" cm="1">
        <f t="array" ref="Q184">IF(ISNUMBER(O184),_xlfn._xlws.FILTER(PartsDB[Hrs_ShopAssy]*N184*O184,PartsDB[Catalog]=I184),"")</f>
        <v/>
      </c>
      <c r="R184" s="92" t="str" cm="1">
        <f t="array" ref="R184">IF(ISNUMBER(O184),_xlfn._xlws.FILTER(PartsDB[Hrs_Eng]*O184,PartsDB[Catalog]=I184),"")</f>
        <v/>
      </c>
      <c r="S184" s="92" t="str" cm="1">
        <f t="array" ref="S184">IF(ISNUMBER(O184),_xlfn._xlws.FILTER(PartsDB[Hrs_PanelAssy]*M184*O184,PartsDB[Catalog]=I184),"")</f>
        <v/>
      </c>
    </row>
    <row r="185" spans="1:19" ht="16.5" thickTop="1" thickBot="1" x14ac:dyDescent="0.3">
      <c r="A185" s="96" t="str">
        <f>IF(B185="","",MAX(A$4:A184)+1)</f>
        <v/>
      </c>
      <c r="B185" s="99" t="str">
        <f t="shared" si="10"/>
        <v/>
      </c>
      <c r="C185" s="35"/>
      <c r="D185" s="35"/>
      <c r="E185" s="35"/>
      <c r="F185" s="35"/>
      <c r="G185" s="36"/>
      <c r="O185" s="19" t="str">
        <f t="shared" si="13"/>
        <v/>
      </c>
      <c r="P185" s="3" t="str">
        <f t="shared" si="14"/>
        <v/>
      </c>
      <c r="Q185" s="93" t="str" cm="1">
        <f t="array" ref="Q185">IF(ISNUMBER(O185),_xlfn._xlws.FILTER(PartsDB[Hrs_ShopAssy]*N185*O185,PartsDB[Catalog]=I185),"")</f>
        <v/>
      </c>
      <c r="R185" s="92" t="str" cm="1">
        <f t="array" ref="R185">IF(ISNUMBER(O185),_xlfn._xlws.FILTER(PartsDB[Hrs_Eng]*O185,PartsDB[Catalog]=I185),"")</f>
        <v/>
      </c>
      <c r="S185" s="92" t="str" cm="1">
        <f t="array" ref="S185">IF(ISNUMBER(O185),_xlfn._xlws.FILTER(PartsDB[Hrs_PanelAssy]*M185*O185,PartsDB[Catalog]=I185),"")</f>
        <v/>
      </c>
    </row>
    <row r="186" spans="1:19" ht="16.5" thickTop="1" thickBot="1" x14ac:dyDescent="0.3">
      <c r="A186" s="96" t="str">
        <f>IF(B186="","",MAX(A$4:A185)+1)</f>
        <v/>
      </c>
      <c r="B186" s="99" t="str">
        <f t="shared" si="10"/>
        <v/>
      </c>
      <c r="C186" s="35"/>
      <c r="D186" s="35"/>
      <c r="E186" s="35"/>
      <c r="F186" s="35"/>
      <c r="G186" s="36"/>
      <c r="O186" s="19" t="str">
        <f t="shared" si="13"/>
        <v/>
      </c>
      <c r="P186" s="3" t="str">
        <f t="shared" si="14"/>
        <v/>
      </c>
      <c r="Q186" s="93" t="str" cm="1">
        <f t="array" ref="Q186">IF(ISNUMBER(O186),_xlfn._xlws.FILTER(PartsDB[Hrs_ShopAssy]*N186*O186,PartsDB[Catalog]=I186),"")</f>
        <v/>
      </c>
      <c r="R186" s="92" t="str" cm="1">
        <f t="array" ref="R186">IF(ISNUMBER(O186),_xlfn._xlws.FILTER(PartsDB[Hrs_Eng]*O186,PartsDB[Catalog]=I186),"")</f>
        <v/>
      </c>
      <c r="S186" s="92" t="str" cm="1">
        <f t="array" ref="S186">IF(ISNUMBER(O186),_xlfn._xlws.FILTER(PartsDB[Hrs_PanelAssy]*M186*O186,PartsDB[Catalog]=I186),"")</f>
        <v/>
      </c>
    </row>
    <row r="187" spans="1:19" ht="16.5" thickTop="1" thickBot="1" x14ac:dyDescent="0.3">
      <c r="A187" s="96" t="str">
        <f>IF(B187="","",MAX(A$4:A186)+1)</f>
        <v/>
      </c>
      <c r="B187" s="99" t="str">
        <f t="shared" si="10"/>
        <v/>
      </c>
      <c r="C187" s="35"/>
      <c r="D187" s="35"/>
      <c r="E187" s="35"/>
      <c r="F187" s="35"/>
      <c r="G187" s="36"/>
      <c r="O187" s="19" t="str">
        <f t="shared" si="13"/>
        <v/>
      </c>
      <c r="P187" s="3" t="str">
        <f t="shared" si="14"/>
        <v/>
      </c>
      <c r="Q187" s="93" t="str" cm="1">
        <f t="array" ref="Q187">IF(ISNUMBER(O187),_xlfn._xlws.FILTER(PartsDB[Hrs_ShopAssy]*N187*O187,PartsDB[Catalog]=I187),"")</f>
        <v/>
      </c>
      <c r="R187" s="92" t="str" cm="1">
        <f t="array" ref="R187">IF(ISNUMBER(O187),_xlfn._xlws.FILTER(PartsDB[Hrs_Eng]*O187,PartsDB[Catalog]=I187),"")</f>
        <v/>
      </c>
      <c r="S187" s="92" t="str" cm="1">
        <f t="array" ref="S187">IF(ISNUMBER(O187),_xlfn._xlws.FILTER(PartsDB[Hrs_PanelAssy]*M187*O187,PartsDB[Catalog]=I187),"")</f>
        <v/>
      </c>
    </row>
    <row r="188" spans="1:19" ht="16.5" thickTop="1" thickBot="1" x14ac:dyDescent="0.3">
      <c r="A188" s="96" t="str">
        <f>IF(B188="","",MAX(A$4:A187)+1)</f>
        <v/>
      </c>
      <c r="B188" s="99" t="str">
        <f t="shared" si="10"/>
        <v/>
      </c>
      <c r="C188" s="35"/>
      <c r="D188" s="35"/>
      <c r="E188" s="35"/>
      <c r="F188" s="35"/>
      <c r="G188" s="36"/>
      <c r="O188" s="19" t="str">
        <f t="shared" si="13"/>
        <v/>
      </c>
      <c r="P188" s="3" t="str">
        <f t="shared" si="14"/>
        <v/>
      </c>
      <c r="Q188" s="93" t="str" cm="1">
        <f t="array" ref="Q188">IF(ISNUMBER(O188),_xlfn._xlws.FILTER(PartsDB[Hrs_ShopAssy]*N188*O188,PartsDB[Catalog]=I188),"")</f>
        <v/>
      </c>
      <c r="R188" s="92" t="str" cm="1">
        <f t="array" ref="R188">IF(ISNUMBER(O188),_xlfn._xlws.FILTER(PartsDB[Hrs_Eng]*O188,PartsDB[Catalog]=I188),"")</f>
        <v/>
      </c>
      <c r="S188" s="92" t="str" cm="1">
        <f t="array" ref="S188">IF(ISNUMBER(O188),_xlfn._xlws.FILTER(PartsDB[Hrs_PanelAssy]*M188*O188,PartsDB[Catalog]=I188),"")</f>
        <v/>
      </c>
    </row>
    <row r="189" spans="1:19" ht="16.5" thickTop="1" thickBot="1" x14ac:dyDescent="0.3">
      <c r="A189" s="96" t="str">
        <f>IF(B189="","",MAX(A$4:A188)+1)</f>
        <v/>
      </c>
      <c r="B189" s="99" t="str">
        <f t="shared" si="10"/>
        <v/>
      </c>
      <c r="C189" s="35"/>
      <c r="D189" s="35"/>
      <c r="E189" s="35"/>
      <c r="F189" s="35"/>
      <c r="G189" s="36"/>
      <c r="O189" s="19" t="str">
        <f t="shared" si="13"/>
        <v/>
      </c>
      <c r="P189" s="3" t="str">
        <f t="shared" si="14"/>
        <v/>
      </c>
      <c r="Q189" s="93" t="str" cm="1">
        <f t="array" ref="Q189">IF(ISNUMBER(O189),_xlfn._xlws.FILTER(PartsDB[Hrs_ShopAssy]*N189*O189,PartsDB[Catalog]=I189),"")</f>
        <v/>
      </c>
      <c r="R189" s="92" t="str" cm="1">
        <f t="array" ref="R189">IF(ISNUMBER(O189),_xlfn._xlws.FILTER(PartsDB[Hrs_Eng]*O189,PartsDB[Catalog]=I189),"")</f>
        <v/>
      </c>
      <c r="S189" s="92" t="str" cm="1">
        <f t="array" ref="S189">IF(ISNUMBER(O189),_xlfn._xlws.FILTER(PartsDB[Hrs_PanelAssy]*M189*O189,PartsDB[Catalog]=I189),"")</f>
        <v/>
      </c>
    </row>
    <row r="190" spans="1:19" ht="16.5" thickTop="1" thickBot="1" x14ac:dyDescent="0.3">
      <c r="A190" s="96" t="str">
        <f>IF(B190="","",MAX(A$4:A189)+1)</f>
        <v/>
      </c>
      <c r="B190" s="99" t="str">
        <f t="shared" si="10"/>
        <v/>
      </c>
      <c r="C190" s="35"/>
      <c r="D190" s="35"/>
      <c r="E190" s="35"/>
      <c r="F190" s="35"/>
      <c r="G190" s="36"/>
      <c r="O190" s="19" t="str">
        <f t="shared" si="13"/>
        <v/>
      </c>
      <c r="P190" s="3" t="str">
        <f t="shared" si="14"/>
        <v/>
      </c>
      <c r="Q190" s="93" t="str" cm="1">
        <f t="array" ref="Q190">IF(ISNUMBER(O190),_xlfn._xlws.FILTER(PartsDB[Hrs_ShopAssy]*N190*O190,PartsDB[Catalog]=I190),"")</f>
        <v/>
      </c>
      <c r="R190" s="92" t="str" cm="1">
        <f t="array" ref="R190">IF(ISNUMBER(O190),_xlfn._xlws.FILTER(PartsDB[Hrs_Eng]*O190,PartsDB[Catalog]=I190),"")</f>
        <v/>
      </c>
      <c r="S190" s="92" t="str" cm="1">
        <f t="array" ref="S190">IF(ISNUMBER(O190),_xlfn._xlws.FILTER(PartsDB[Hrs_PanelAssy]*M190*O190,PartsDB[Catalog]=I190),"")</f>
        <v/>
      </c>
    </row>
    <row r="191" spans="1:19" ht="16.5" thickTop="1" thickBot="1" x14ac:dyDescent="0.3">
      <c r="A191" s="96" t="str">
        <f>IF(B191="","",MAX(A$4:A190)+1)</f>
        <v/>
      </c>
      <c r="B191" s="99" t="str">
        <f t="shared" si="10"/>
        <v/>
      </c>
      <c r="C191" s="35"/>
      <c r="D191" s="35"/>
      <c r="E191" s="35"/>
      <c r="F191" s="35"/>
      <c r="G191" s="36"/>
      <c r="O191" s="19" t="str">
        <f t="shared" si="13"/>
        <v/>
      </c>
      <c r="P191" s="3" t="str">
        <f t="shared" si="14"/>
        <v/>
      </c>
      <c r="Q191" s="93" t="str" cm="1">
        <f t="array" ref="Q191">IF(ISNUMBER(O191),_xlfn._xlws.FILTER(PartsDB[Hrs_ShopAssy]*N191*O191,PartsDB[Catalog]=I191),"")</f>
        <v/>
      </c>
      <c r="R191" s="92" t="str" cm="1">
        <f t="array" ref="R191">IF(ISNUMBER(O191),_xlfn._xlws.FILTER(PartsDB[Hrs_Eng]*O191,PartsDB[Catalog]=I191),"")</f>
        <v/>
      </c>
      <c r="S191" s="92" t="str" cm="1">
        <f t="array" ref="S191">IF(ISNUMBER(O191),_xlfn._xlws.FILTER(PartsDB[Hrs_PanelAssy]*M191*O191,PartsDB[Catalog]=I191),"")</f>
        <v/>
      </c>
    </row>
    <row r="192" spans="1:19" ht="16.5" thickTop="1" thickBot="1" x14ac:dyDescent="0.3">
      <c r="A192" s="96" t="str">
        <f>IF(B192="","",MAX(A$4:A191)+1)</f>
        <v/>
      </c>
      <c r="B192" s="99" t="str">
        <f t="shared" si="10"/>
        <v/>
      </c>
      <c r="C192" s="35"/>
      <c r="D192" s="35"/>
      <c r="E192" s="35"/>
      <c r="F192" s="35"/>
      <c r="G192" s="36"/>
      <c r="O192" s="19" t="str">
        <f t="shared" si="13"/>
        <v/>
      </c>
      <c r="P192" s="3" t="str">
        <f t="shared" si="14"/>
        <v/>
      </c>
      <c r="Q192" s="93" t="str" cm="1">
        <f t="array" ref="Q192">IF(ISNUMBER(O192),_xlfn._xlws.FILTER(PartsDB[Hrs_ShopAssy]*N192*O192,PartsDB[Catalog]=I192),"")</f>
        <v/>
      </c>
      <c r="R192" s="92" t="str" cm="1">
        <f t="array" ref="R192">IF(ISNUMBER(O192),_xlfn._xlws.FILTER(PartsDB[Hrs_Eng]*O192,PartsDB[Catalog]=I192),"")</f>
        <v/>
      </c>
      <c r="S192" s="92" t="str" cm="1">
        <f t="array" ref="S192">IF(ISNUMBER(O192),_xlfn._xlws.FILTER(PartsDB[Hrs_PanelAssy]*M192*O192,PartsDB[Catalog]=I192),"")</f>
        <v/>
      </c>
    </row>
    <row r="193" spans="1:19" ht="16.5" thickTop="1" thickBot="1" x14ac:dyDescent="0.3">
      <c r="A193" s="96" t="str">
        <f>IF(B193="","",MAX(A$4:A192)+1)</f>
        <v/>
      </c>
      <c r="B193" s="99" t="str">
        <f t="shared" si="10"/>
        <v/>
      </c>
      <c r="C193" s="35"/>
      <c r="D193" s="35"/>
      <c r="E193" s="35"/>
      <c r="F193" s="35"/>
      <c r="G193" s="36"/>
      <c r="O193" s="19" t="str">
        <f t="shared" si="13"/>
        <v/>
      </c>
      <c r="P193" s="3" t="str">
        <f t="shared" si="14"/>
        <v/>
      </c>
      <c r="Q193" s="93" t="str" cm="1">
        <f t="array" ref="Q193">IF(ISNUMBER(O193),_xlfn._xlws.FILTER(PartsDB[Hrs_ShopAssy]*N193*O193,PartsDB[Catalog]=I193),"")</f>
        <v/>
      </c>
      <c r="R193" s="92" t="str" cm="1">
        <f t="array" ref="R193">IF(ISNUMBER(O193),_xlfn._xlws.FILTER(PartsDB[Hrs_Eng]*O193,PartsDB[Catalog]=I193),"")</f>
        <v/>
      </c>
      <c r="S193" s="92" t="str" cm="1">
        <f t="array" ref="S193">IF(ISNUMBER(O193),_xlfn._xlws.FILTER(PartsDB[Hrs_PanelAssy]*M193*O193,PartsDB[Catalog]=I193),"")</f>
        <v/>
      </c>
    </row>
    <row r="194" spans="1:19" ht="16.5" thickTop="1" thickBot="1" x14ac:dyDescent="0.3">
      <c r="A194" s="96" t="str">
        <f>IF(B194="","",MAX(A$4:A193)+1)</f>
        <v/>
      </c>
      <c r="B194" s="99" t="str">
        <f t="shared" si="10"/>
        <v/>
      </c>
      <c r="C194" s="35"/>
      <c r="D194" s="35"/>
      <c r="E194" s="35"/>
      <c r="F194" s="35"/>
      <c r="G194" s="36"/>
      <c r="O194" s="19" t="str">
        <f t="shared" si="13"/>
        <v/>
      </c>
      <c r="P194" s="3" t="str">
        <f t="shared" si="14"/>
        <v/>
      </c>
      <c r="Q194" s="93" t="str" cm="1">
        <f t="array" ref="Q194">IF(ISNUMBER(O194),_xlfn._xlws.FILTER(PartsDB[Hrs_ShopAssy]*N194*O194,PartsDB[Catalog]=I194),"")</f>
        <v/>
      </c>
      <c r="R194" s="92" t="str" cm="1">
        <f t="array" ref="R194">IF(ISNUMBER(O194),_xlfn._xlws.FILTER(PartsDB[Hrs_Eng]*O194,PartsDB[Catalog]=I194),"")</f>
        <v/>
      </c>
      <c r="S194" s="92" t="str" cm="1">
        <f t="array" ref="S194">IF(ISNUMBER(O194),_xlfn._xlws.FILTER(PartsDB[Hrs_PanelAssy]*M194*O194,PartsDB[Catalog]=I194),"")</f>
        <v/>
      </c>
    </row>
    <row r="195" spans="1:19" ht="16.5" thickTop="1" thickBot="1" x14ac:dyDescent="0.3">
      <c r="A195" s="96" t="str">
        <f>IF(B195="","",MAX(A$4:A194)+1)</f>
        <v/>
      </c>
      <c r="B195" s="99" t="str">
        <f t="shared" si="10"/>
        <v/>
      </c>
      <c r="C195" s="35"/>
      <c r="D195" s="35"/>
      <c r="E195" s="35"/>
      <c r="F195" s="35"/>
      <c r="G195" s="36"/>
      <c r="O195" s="19" t="str">
        <f t="shared" si="13"/>
        <v/>
      </c>
      <c r="P195" s="3" t="str">
        <f t="shared" si="14"/>
        <v/>
      </c>
      <c r="Q195" s="93" t="str" cm="1">
        <f t="array" ref="Q195">IF(ISNUMBER(O195),_xlfn._xlws.FILTER(PartsDB[Hrs_ShopAssy]*N195*O195,PartsDB[Catalog]=I195),"")</f>
        <v/>
      </c>
      <c r="R195" s="92" t="str" cm="1">
        <f t="array" ref="R195">IF(ISNUMBER(O195),_xlfn._xlws.FILTER(PartsDB[Hrs_Eng]*O195,PartsDB[Catalog]=I195),"")</f>
        <v/>
      </c>
      <c r="S195" s="92" t="str" cm="1">
        <f t="array" ref="S195">IF(ISNUMBER(O195),_xlfn._xlws.FILTER(PartsDB[Hrs_PanelAssy]*M195*O195,PartsDB[Catalog]=I195),"")</f>
        <v/>
      </c>
    </row>
    <row r="196" spans="1:19" ht="16.5" thickTop="1" thickBot="1" x14ac:dyDescent="0.3">
      <c r="A196" s="96" t="str">
        <f>IF(B196="","",MAX(A$4:A195)+1)</f>
        <v/>
      </c>
      <c r="B196" s="99" t="str">
        <f t="shared" si="10"/>
        <v/>
      </c>
      <c r="C196" s="35"/>
      <c r="D196" s="35"/>
      <c r="E196" s="35"/>
      <c r="F196" s="35"/>
      <c r="G196" s="36"/>
      <c r="O196" s="19" t="str">
        <f t="shared" si="13"/>
        <v/>
      </c>
      <c r="P196" s="3" t="str">
        <f t="shared" si="14"/>
        <v/>
      </c>
      <c r="Q196" s="93" t="str" cm="1">
        <f t="array" ref="Q196">IF(ISNUMBER(O196),_xlfn._xlws.FILTER(PartsDB[Hrs_ShopAssy]*N196*O196,PartsDB[Catalog]=I196),"")</f>
        <v/>
      </c>
      <c r="R196" s="92" t="str" cm="1">
        <f t="array" ref="R196">IF(ISNUMBER(O196),_xlfn._xlws.FILTER(PartsDB[Hrs_Eng]*O196,PartsDB[Catalog]=I196),"")</f>
        <v/>
      </c>
      <c r="S196" s="92" t="str" cm="1">
        <f t="array" ref="S196">IF(ISNUMBER(O196),_xlfn._xlws.FILTER(PartsDB[Hrs_PanelAssy]*M196*O196,PartsDB[Catalog]=I196),"")</f>
        <v/>
      </c>
    </row>
    <row r="197" spans="1:19" ht="16.5" thickTop="1" thickBot="1" x14ac:dyDescent="0.3">
      <c r="A197" s="96" t="str">
        <f>IF(B197="","",MAX(A$4:A196)+1)</f>
        <v/>
      </c>
      <c r="B197" s="99" t="str">
        <f t="shared" ref="B197:B200" si="15">IF(OR(ISBLANK($B$2),ISBLANK(D197)),"",$B$2)</f>
        <v/>
      </c>
      <c r="C197" s="35"/>
      <c r="D197" s="35"/>
      <c r="E197" s="35"/>
      <c r="F197" s="35"/>
      <c r="G197" s="36"/>
      <c r="O197" s="19" t="str">
        <f t="shared" si="13"/>
        <v/>
      </c>
      <c r="P197" s="3" t="str">
        <f t="shared" si="14"/>
        <v/>
      </c>
      <c r="Q197" s="93" t="str" cm="1">
        <f t="array" ref="Q197">IF(ISNUMBER(O197),_xlfn._xlws.FILTER(PartsDB[Hrs_ShopAssy]*N197*O197,PartsDB[Catalog]=I197),"")</f>
        <v/>
      </c>
      <c r="R197" s="92" t="str" cm="1">
        <f t="array" ref="R197">IF(ISNUMBER(O197),_xlfn._xlws.FILTER(PartsDB[Hrs_Eng]*O197,PartsDB[Catalog]=I197),"")</f>
        <v/>
      </c>
      <c r="S197" s="92" t="str" cm="1">
        <f t="array" ref="S197">IF(ISNUMBER(O197),_xlfn._xlws.FILTER(PartsDB[Hrs_PanelAssy]*M197*O197,PartsDB[Catalog]=I197),"")</f>
        <v/>
      </c>
    </row>
    <row r="198" spans="1:19" ht="16.5" thickTop="1" thickBot="1" x14ac:dyDescent="0.3">
      <c r="A198" s="96" t="str">
        <f>IF(B198="","",MAX(A$4:A197)+1)</f>
        <v/>
      </c>
      <c r="B198" s="99" t="str">
        <f t="shared" si="15"/>
        <v/>
      </c>
      <c r="C198" s="35"/>
      <c r="D198" s="35"/>
      <c r="E198" s="35"/>
      <c r="F198" s="35"/>
      <c r="G198" s="36"/>
      <c r="O198" s="19" t="str">
        <f t="shared" si="13"/>
        <v/>
      </c>
      <c r="P198" s="3" t="str">
        <f t="shared" si="14"/>
        <v/>
      </c>
      <c r="Q198" s="93" t="str" cm="1">
        <f t="array" ref="Q198">IF(ISNUMBER(O198),_xlfn._xlws.FILTER(PartsDB[Hrs_ShopAssy]*N198*O198,PartsDB[Catalog]=I198),"")</f>
        <v/>
      </c>
      <c r="R198" s="92" t="str" cm="1">
        <f t="array" ref="R198">IF(ISNUMBER(O198),_xlfn._xlws.FILTER(PartsDB[Hrs_Eng]*O198,PartsDB[Catalog]=I198),"")</f>
        <v/>
      </c>
      <c r="S198" s="92" t="str" cm="1">
        <f t="array" ref="S198">IF(ISNUMBER(O198),_xlfn._xlws.FILTER(PartsDB[Hrs_PanelAssy]*M198*O198,PartsDB[Catalog]=I198),"")</f>
        <v/>
      </c>
    </row>
    <row r="199" spans="1:19" ht="16.5" thickTop="1" thickBot="1" x14ac:dyDescent="0.3">
      <c r="A199" s="96" t="str">
        <f>IF(B199="","",MAX(A$4:A198)+1)</f>
        <v/>
      </c>
      <c r="B199" s="99" t="str">
        <f t="shared" si="15"/>
        <v/>
      </c>
      <c r="C199" s="35"/>
      <c r="D199" s="35"/>
      <c r="E199" s="35"/>
      <c r="F199" s="35"/>
      <c r="G199" s="36"/>
      <c r="O199" s="19" t="str">
        <f t="shared" si="13"/>
        <v/>
      </c>
      <c r="P199" s="3" t="str">
        <f t="shared" si="14"/>
        <v/>
      </c>
      <c r="Q199" s="93" t="str" cm="1">
        <f t="array" ref="Q199">IF(ISNUMBER(O199),_xlfn._xlws.FILTER(PartsDB[Hrs_ShopAssy]*N199*O199,PartsDB[Catalog]=I199),"")</f>
        <v/>
      </c>
      <c r="R199" s="92" t="str" cm="1">
        <f t="array" ref="R199">IF(ISNUMBER(O199),_xlfn._xlws.FILTER(PartsDB[Hrs_Eng]*O199,PartsDB[Catalog]=I199),"")</f>
        <v/>
      </c>
      <c r="S199" s="92" t="str" cm="1">
        <f t="array" ref="S199">IF(ISNUMBER(O199),_xlfn._xlws.FILTER(PartsDB[Hrs_PanelAssy]*M199*O199,PartsDB[Catalog]=I199),"")</f>
        <v/>
      </c>
    </row>
    <row r="200" spans="1:19" ht="16.5" thickTop="1" thickBot="1" x14ac:dyDescent="0.3">
      <c r="A200" s="96" t="str">
        <f>IF(B200="","",MAX(A$4:A199)+1)</f>
        <v/>
      </c>
      <c r="B200" s="99" t="str">
        <f t="shared" si="15"/>
        <v/>
      </c>
      <c r="C200" s="35"/>
      <c r="D200" s="35"/>
      <c r="E200" s="35"/>
      <c r="F200" s="35"/>
      <c r="G200" s="36"/>
      <c r="O200" s="19" t="str">
        <f t="shared" si="13"/>
        <v/>
      </c>
      <c r="P200" s="22">
        <f>SUM(P4:P199)</f>
        <v>30962.257479999997</v>
      </c>
      <c r="Q200" s="92">
        <f t="shared" ref="Q200:S200" si="16">SUM(Q4:Q199)</f>
        <v>11.2</v>
      </c>
      <c r="R200" s="92">
        <f t="shared" si="16"/>
        <v>71.5</v>
      </c>
      <c r="S200" s="92">
        <f t="shared" si="16"/>
        <v>66</v>
      </c>
    </row>
    <row r="201" spans="1:19" ht="15.75" thickTop="1" x14ac:dyDescent="0.25">
      <c r="A201" s="97"/>
      <c r="B201" s="95"/>
      <c r="C201" s="86"/>
      <c r="D201" s="86"/>
      <c r="E201" s="86"/>
      <c r="F201" s="86"/>
      <c r="G201" s="95"/>
      <c r="H201" s="127"/>
      <c r="I201" s="86"/>
      <c r="J201" s="86"/>
      <c r="K201" s="88"/>
      <c r="L201" s="86"/>
      <c r="M201" s="86"/>
      <c r="N201" s="86"/>
      <c r="O201" s="87" t="str">
        <f t="shared" si="13"/>
        <v/>
      </c>
      <c r="P201" s="88" t="str">
        <f t="shared" ref="P201" si="17">IF(ISNUMBER(O201),O201*K201,"")</f>
        <v/>
      </c>
      <c r="Q201" s="94"/>
      <c r="R201" s="94"/>
      <c r="S201" s="94"/>
    </row>
  </sheetData>
  <sheetProtection algorithmName="SHA-512" hashValue="Xa9D/Na5WaOH1zRxNTeGoVbAV5j1ASVATUp+9kLbNXz9zte4Ih/OZEixn3WDa7gOGtEbNrhM+1FMGVNvtnajGg==" saltValue="XsnEj9YK4662RmqOR7zOOA==" spinCount="100000" sheet="1" objects="1" scenarios="1"/>
  <protectedRanges>
    <protectedRange sqref="T4:U200" name="Range4"/>
    <protectedRange sqref="O4:O199" name="Range3"/>
    <protectedRange sqref="C4:H47 C59:C60 H59:H60 C51:H58 C48:C50 H48:H50 C61:H199" name="Range2"/>
    <protectedRange sqref="A2:D2" name="Range1"/>
    <protectedRange sqref="D59:G60 D50:G50" name="Range2_1"/>
    <protectedRange sqref="D48:G49" name="Range2_2"/>
  </protectedRanges>
  <conditionalFormatting sqref="O3:O201">
    <cfRule type="expression" dxfId="0" priority="3">
      <formula>J3&lt;&gt;O3</formula>
    </cfRule>
  </conditionalFormatting>
  <dataValidations count="1">
    <dataValidation type="list" allowBlank="1" showInputMessage="1" showErrorMessage="1" sqref="F4" xr:uid="{D9B06C91-44BE-4777-BECD-E0E642CA32FD}">
      <formula1>AssemblyPartsList</formula1>
    </dataValidation>
  </dataValidations>
  <hyperlinks>
    <hyperlink ref="H1" location="Est_Summary!A1" display="Est_Summary!A1" xr:uid="{CF0D2881-BBB3-4CC3-A8D8-175C0F016ED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ToggleSheetProtection">
                <anchor moveWithCells="1" sizeWithCells="1">
                  <from>
                    <xdr:col>4</xdr:col>
                    <xdr:colOff>447675</xdr:colOff>
                    <xdr:row>0</xdr:row>
                    <xdr:rowOff>85725</xdr:rowOff>
                  </from>
                  <to>
                    <xdr:col>5</xdr:col>
                    <xdr:colOff>895350</xdr:colOff>
                    <xdr:row>1</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9B37E-83DB-4127-9EF7-003EFC419C99}">
          <x14:formula1>
            <xm:f>Assemblies!$K$2:$K$200</xm:f>
          </x14:formula1>
          <xm:sqref>E4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CoverPage</vt:lpstr>
      <vt:lpstr>PartDB_Lookup</vt:lpstr>
      <vt:lpstr>Est_Summary</vt:lpstr>
      <vt:lpstr>MotorList</vt:lpstr>
      <vt:lpstr>EstDetail-###Master</vt:lpstr>
      <vt:lpstr>OptionsList</vt:lpstr>
      <vt:lpstr>NECMtrFLC</vt:lpstr>
      <vt:lpstr>Assemblies</vt:lpstr>
      <vt:lpstr>PartsDB</vt:lpstr>
      <vt:lpstr>VerHistory</vt:lpstr>
      <vt:lpstr>EstDetail-1010</vt:lpstr>
      <vt:lpstr>EstDetail-1020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Popovich</dc:creator>
  <cp:lastModifiedBy>Andrew Popovich</cp:lastModifiedBy>
  <cp:lastPrinted>2025-07-28T12:22:42Z</cp:lastPrinted>
  <dcterms:created xsi:type="dcterms:W3CDTF">2025-06-25T11:25:15Z</dcterms:created>
  <dcterms:modified xsi:type="dcterms:W3CDTF">2025-09-10T12:05:20Z</dcterms:modified>
</cp:coreProperties>
</file>